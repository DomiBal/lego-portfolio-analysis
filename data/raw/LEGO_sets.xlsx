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O_sets" sheetId="1" r:id="rId5"/>
    <sheet state="visible" name="Minifigures" sheetId="2" r:id="rId6"/>
    <sheet state="visible" name="wiah_list" sheetId="3" r:id="rId7"/>
  </sheets>
  <definedNames>
    <definedName hidden="1" localSheetId="0" name="_xlnm._FilterDatabase">LEGO_sets!$B$21:$P$1073</definedName>
    <definedName hidden="1" localSheetId="1" name="_xlnm._FilterDatabase">Minifigures!$B$22:$Q$1137</definedName>
    <definedName hidden="1" localSheetId="2" name="_xlnm._FilterDatabase">wiah_list!$B$21:$P$121</definedName>
  </definedNames>
  <calcPr/>
</workbook>
</file>

<file path=xl/sharedStrings.xml><?xml version="1.0" encoding="utf-8"?>
<sst xmlns="http://schemas.openxmlformats.org/spreadsheetml/2006/main" count="1905" uniqueCount="788">
  <si>
    <t>LEGO sets</t>
  </si>
  <si>
    <t>Suma</t>
  </si>
  <si>
    <t>Počet</t>
  </si>
  <si>
    <t>Porovnanie cien</t>
  </si>
  <si>
    <t>Majiteľ</t>
  </si>
  <si>
    <t>Platba</t>
  </si>
  <si>
    <t>Séria</t>
  </si>
  <si>
    <t>Kúpa</t>
  </si>
  <si>
    <t>Ľuboš</t>
  </si>
  <si>
    <t>Domča</t>
  </si>
  <si>
    <t>Technic</t>
  </si>
  <si>
    <t>Spolu</t>
  </si>
  <si>
    <t>Icons</t>
  </si>
  <si>
    <t>DC</t>
  </si>
  <si>
    <t>Harry Potter</t>
  </si>
  <si>
    <t>Marvel</t>
  </si>
  <si>
    <t>Extra</t>
  </si>
  <si>
    <t>Speed</t>
  </si>
  <si>
    <t>Set</t>
  </si>
  <si>
    <t>Názov setu</t>
  </si>
  <si>
    <t>Minifigs</t>
  </si>
  <si>
    <t>Rok setu</t>
  </si>
  <si>
    <t>Cena</t>
  </si>
  <si>
    <t>Dátum</t>
  </si>
  <si>
    <t>TECH</t>
  </si>
  <si>
    <t>Batmobil 1989</t>
  </si>
  <si>
    <t>Batwing 1989</t>
  </si>
  <si>
    <t>Tumbler</t>
  </si>
  <si>
    <t>Batmobil z klasického TV seriálu</t>
  </si>
  <si>
    <t>Kreatívne osobnosti (Hans Christian Andersen)</t>
  </si>
  <si>
    <t>Pocta Charlesovi Dickensovi</t>
  </si>
  <si>
    <t>Star Wars</t>
  </si>
  <si>
    <t>Pocta knihám Julesa Vernea</t>
  </si>
  <si>
    <t>Štartovacia plocha pre mikroraketu</t>
  </si>
  <si>
    <t>Pocta knihám Jane Austenovej</t>
  </si>
  <si>
    <t>Zväčšený malý astronaut</t>
  </si>
  <si>
    <t>Africka savana Diorama</t>
  </si>
  <si>
    <t>Metlobalový tréning</t>
  </si>
  <si>
    <t>Draco v Zakázanom lese</t>
  </si>
  <si>
    <t>Hedviga</t>
  </si>
  <si>
    <t>Grimmwauldovo námeste č. 12</t>
  </si>
  <si>
    <t>Expecto Patronum</t>
  </si>
  <si>
    <t>Rokfortský hrad</t>
  </si>
  <si>
    <t>Lietajúce auto Ford Anglia</t>
  </si>
  <si>
    <t>Čarodejnícke obchody Šikmá ulička</t>
  </si>
  <si>
    <t>Knižná zarážka: Rokfortský expres</t>
  </si>
  <si>
    <t>Hagrid™ a Harryho útek z Privátnej cesty</t>
  </si>
  <si>
    <t>Kotlík: Tajná učebňa elixírov</t>
  </si>
  <si>
    <t>Krotitelia duchov</t>
  </si>
  <si>
    <t>Stroj času z Návratu do budúcnosti</t>
  </si>
  <si>
    <t>Duna: Ornithopter</t>
  </si>
  <si>
    <t>McLaren MP4/4 a Ayrton Senna</t>
  </si>
  <si>
    <t>Lamborghini Countach 5000 Quattrovalhole</t>
  </si>
  <si>
    <t>Knižná zarážka: Sherlock Holmes</t>
  </si>
  <si>
    <t>Williams Racing FW14B a Nigel Mansell</t>
  </si>
  <si>
    <t>Star Trek: U.S.S. Enterprise NCC-1701-D</t>
  </si>
  <si>
    <t>Lietajúci stroj Leonarda da Vinciho</t>
  </si>
  <si>
    <t>Pirátska loď kapitána Jacka Sparrowa</t>
  </si>
  <si>
    <t>Knižná zarážka: Pán prsteňov – Balrog</t>
  </si>
  <si>
    <t>Ferrari F2004 a Michael Schumacher</t>
  </si>
  <si>
    <t>Star Trek: Type-15 Shuttlepod</t>
  </si>
  <si>
    <t>Kompas kapitána Jacka Sparrowa</t>
  </si>
  <si>
    <t>Loď strážcov</t>
  </si>
  <si>
    <t>Sanctum Sanctotum</t>
  </si>
  <si>
    <t>Strážcovia Galaxie: Milano</t>
  </si>
  <si>
    <t>APXGP Team Race Car from F1® The Movie</t>
  </si>
  <si>
    <t>Stroj času z filmu Návrat do budúcnosti</t>
  </si>
  <si>
    <t>Sněžný spíder</t>
  </si>
  <si>
    <t>AAT v29</t>
  </si>
  <si>
    <t>Vojenský transportér</t>
  </si>
  <si>
    <t>Imperialna vysadkova lod vs. Rebelsky prieskumny rychlik</t>
  </si>
  <si>
    <t>Stíhačka TIE a stojan v hangáre impéria</t>
  </si>
  <si>
    <t>Perníkový transportér AT-AT</t>
  </si>
  <si>
    <t>Slave I (Otrok)</t>
  </si>
  <si>
    <t>BB-8</t>
  </si>
  <si>
    <t>Millennium  Falcon</t>
  </si>
  <si>
    <t>Imperial star destroyer</t>
  </si>
  <si>
    <t>DO</t>
  </si>
  <si>
    <t>Raketoplán Imperia</t>
  </si>
  <si>
    <t>R2D2</t>
  </si>
  <si>
    <t>Bojová loď republiky</t>
  </si>
  <si>
    <t>Duel on Mandalore</t>
  </si>
  <si>
    <t>Boba Fett ship</t>
  </si>
  <si>
    <t>AT-AT</t>
  </si>
  <si>
    <t>The Razorcrest</t>
  </si>
  <si>
    <t>Jediska stihacka Obi-Wana Kenobiho</t>
  </si>
  <si>
    <t>BD-1</t>
  </si>
  <si>
    <t>Inkvizitor transport ship Scythe</t>
  </si>
  <si>
    <t>AT-TE</t>
  </si>
  <si>
    <t>Stíhačka X-wing</t>
  </si>
  <si>
    <t>Hviezdy superdesktruktor Executor</t>
  </si>
  <si>
    <t>Yodova jediská stíhačka</t>
  </si>
  <si>
    <t>Jedisky raketoplan T-6 Ahsoky Tano</t>
  </si>
  <si>
    <t>Zakladna Rebelov Yavin 4</t>
  </si>
  <si>
    <t>Venator</t>
  </si>
  <si>
    <t>Bojový balíček Klonového vojaka a Bojového droida</t>
  </si>
  <si>
    <t>Cynder Onyx</t>
  </si>
  <si>
    <t>Tantive IV</t>
  </si>
  <si>
    <t>R2D2 medium</t>
  </si>
  <si>
    <t>Droideka</t>
  </si>
  <si>
    <t>Stíhačka Tie</t>
  </si>
  <si>
    <t>Dart Maul Sith Infiltrator</t>
  </si>
  <si>
    <t>Ahsoka Tano a súboj na planéte Peridea</t>
  </si>
  <si>
    <t>Súboj Paza Viszly a Moff Gideon</t>
  </si>
  <si>
    <t>Nastup na palubu Tantive IV</t>
  </si>
  <si>
    <t>Temný Falcon</t>
  </si>
  <si>
    <t>Y-Wing Captain Rex</t>
  </si>
  <si>
    <t>Kreativne hranie: Stavanie droidov</t>
  </si>
  <si>
    <t>Stíhačka TIE ＆ X-wing</t>
  </si>
  <si>
    <t>Pustny Skif a Sarlaccova jama</t>
  </si>
  <si>
    <t>Jabbov Nakladny Cln</t>
  </si>
  <si>
    <t xml:space="preserve">C-3PO </t>
  </si>
  <si>
    <t>Povstalecká stíhačka U-Wing</t>
  </si>
  <si>
    <t>Plo Koon a jeho jediska mikrostihacka</t>
  </si>
  <si>
    <t>Ahsoka a jediská stíhačka Interceptor</t>
  </si>
  <si>
    <t>ARC-170 Starfighter</t>
  </si>
  <si>
    <t>Kylo Renova veliteľská loď</t>
  </si>
  <si>
    <t>Jango Fett vesmirna lod triedy Firespray</t>
  </si>
  <si>
    <t>Astro-droid Chopper (C1-10P)™</t>
  </si>
  <si>
    <t>Choditko AT-ST</t>
  </si>
  <si>
    <t>Hviezda smrti</t>
  </si>
  <si>
    <t>Bojový droid so STAP</t>
  </si>
  <si>
    <t>Stíhačka V-19 Torrent Starfighter</t>
  </si>
  <si>
    <t>Hviezdna lod Janga Fetta</t>
  </si>
  <si>
    <t>Bezpečnostný droid K-2SO™</t>
  </si>
  <si>
    <t>Bitks o Feluciu separatistov MTT</t>
  </si>
  <si>
    <t>Mandalorian, Grogu a spídrová motorka</t>
  </si>
  <si>
    <t>Cobb Vanth a jeho spíder</t>
  </si>
  <si>
    <t>AT-AT™</t>
  </si>
  <si>
    <t>Útočný krížnik triedy Venator</t>
  </si>
  <si>
    <t>Bojový balíček obliehania Mandalore</t>
  </si>
  <si>
    <t>Astromechanický droid BB-8™</t>
  </si>
  <si>
    <t>N/A</t>
  </si>
  <si>
    <t>SW collect global</t>
  </si>
  <si>
    <t>Motorová súprava</t>
  </si>
  <si>
    <t>Odťahový pickup</t>
  </si>
  <si>
    <t>Bugatti Chiron</t>
  </si>
  <si>
    <t>Porsche 911 RSR</t>
  </si>
  <si>
    <t>Lamborghini Sian</t>
  </si>
  <si>
    <t>Buldozér CAT D11</t>
  </si>
  <si>
    <t>McLaren F1</t>
  </si>
  <si>
    <t>Ferrari Daytona SP3</t>
  </si>
  <si>
    <t>Výkonný buldozér</t>
  </si>
  <si>
    <t>Mercedes AMG</t>
  </si>
  <si>
    <t>McLaren P1</t>
  </si>
  <si>
    <t>Oracle Red Bull Racing RB20</t>
  </si>
  <si>
    <t>Ferrari SF-24 F1</t>
  </si>
  <si>
    <t>Auto McLaren MCL39 F1</t>
  </si>
  <si>
    <t>Logo McLaren P1</t>
  </si>
  <si>
    <t>Figúrky</t>
  </si>
  <si>
    <t>Použité + 80 % Nové</t>
  </si>
  <si>
    <t>Nové</t>
  </si>
  <si>
    <t>#</t>
  </si>
  <si>
    <t>Minifigs Price</t>
  </si>
  <si>
    <t>Použitý</t>
  </si>
  <si>
    <t>Nový</t>
  </si>
  <si>
    <t>Najdrahšia figúrka (Nový)</t>
  </si>
  <si>
    <t>Boba Fett</t>
  </si>
  <si>
    <t>Ensign Ro Laren</t>
  </si>
  <si>
    <t>Batman</t>
  </si>
  <si>
    <t>Drax</t>
  </si>
  <si>
    <t>Ron Weasly</t>
  </si>
  <si>
    <t>Joshua Pearce</t>
  </si>
  <si>
    <t>Jane Austenová</t>
  </si>
  <si>
    <t/>
  </si>
  <si>
    <t>Total</t>
  </si>
  <si>
    <t>T</t>
  </si>
  <si>
    <t>Figúrka</t>
  </si>
  <si>
    <t>Označenie</t>
  </si>
  <si>
    <t>Collectorka</t>
  </si>
  <si>
    <t>Poznámka</t>
  </si>
  <si>
    <t>Joker</t>
  </si>
  <si>
    <t>SH0608</t>
  </si>
  <si>
    <t>SH0607</t>
  </si>
  <si>
    <t>Vicki Vale</t>
  </si>
  <si>
    <t>SH0609</t>
  </si>
  <si>
    <t>SH0671</t>
  </si>
  <si>
    <t>Lawrence the Boombox Goon</t>
  </si>
  <si>
    <t>SH0672</t>
  </si>
  <si>
    <t>SH0972</t>
  </si>
  <si>
    <t>SH0791</t>
  </si>
  <si>
    <t>SH0986</t>
  </si>
  <si>
    <t>Hans CHristian Andersen</t>
  </si>
  <si>
    <t>GEN107</t>
  </si>
  <si>
    <t>Chlapec s praclíkom</t>
  </si>
  <si>
    <t>GEN108</t>
  </si>
  <si>
    <t>Ebenezer Scrooge</t>
  </si>
  <si>
    <t>HOL211</t>
  </si>
  <si>
    <t>Bob Cratchit</t>
  </si>
  <si>
    <t>HOL213</t>
  </si>
  <si>
    <t>Tiny Tim</t>
  </si>
  <si>
    <t>HOL212</t>
  </si>
  <si>
    <t>Jules Verne</t>
  </si>
  <si>
    <t>GEN183</t>
  </si>
  <si>
    <t>Classic Space, Little - White</t>
  </si>
  <si>
    <t>SP141</t>
  </si>
  <si>
    <t>Classic Space, Little - Blue</t>
  </si>
  <si>
    <t>SP140</t>
  </si>
  <si>
    <t>GEN194</t>
  </si>
  <si>
    <t>Cho Chang</t>
  </si>
  <si>
    <t>HP418</t>
  </si>
  <si>
    <t>Draco Malfoy</t>
  </si>
  <si>
    <t>HP254</t>
  </si>
  <si>
    <t>S lampášom svietiacim v tme</t>
  </si>
  <si>
    <t>HP237</t>
  </si>
  <si>
    <t>Hedvig, Harry's owl</t>
  </si>
  <si>
    <t>Kreacher</t>
  </si>
  <si>
    <t>HP341</t>
  </si>
  <si>
    <t>Nymphadora Tonks</t>
  </si>
  <si>
    <t>HP336</t>
  </si>
  <si>
    <t>Sirius Black</t>
  </si>
  <si>
    <t>HP337</t>
  </si>
  <si>
    <t>Kingsley Shacklebolt</t>
  </si>
  <si>
    <t>HP335</t>
  </si>
  <si>
    <t>Molly Weasley</t>
  </si>
  <si>
    <t>HP340</t>
  </si>
  <si>
    <t>Fred Weasley</t>
  </si>
  <si>
    <t>HP342</t>
  </si>
  <si>
    <t>George Weasley</t>
  </si>
  <si>
    <t>HP343</t>
  </si>
  <si>
    <t>HP339</t>
  </si>
  <si>
    <t>HP338</t>
  </si>
  <si>
    <t>Crookshanks, Hermione's cat</t>
  </si>
  <si>
    <t>Remus Lupin</t>
  </si>
  <si>
    <t>HP420</t>
  </si>
  <si>
    <t>2 rovnake sety</t>
  </si>
  <si>
    <t>HP419</t>
  </si>
  <si>
    <t>Architect of Hogwarts</t>
  </si>
  <si>
    <t>HP464</t>
  </si>
  <si>
    <t>HP481</t>
  </si>
  <si>
    <t>HP482</t>
  </si>
  <si>
    <t>Scabbers, Ron's rat</t>
  </si>
  <si>
    <t>HP550</t>
  </si>
  <si>
    <t>HP316</t>
  </si>
  <si>
    <t>HP213</t>
  </si>
  <si>
    <t>Death Eater</t>
  </si>
  <si>
    <t>HP599</t>
  </si>
  <si>
    <t>Rubeus Hagrid</t>
  </si>
  <si>
    <t>HP613</t>
  </si>
  <si>
    <t>HP614</t>
  </si>
  <si>
    <t>Professor Severus Snape</t>
  </si>
  <si>
    <t>HP493</t>
  </si>
  <si>
    <t xml:space="preserve">Hermione Granger </t>
  </si>
  <si>
    <t>HP468</t>
  </si>
  <si>
    <t>Dr Emmett ‘Doc’ Brown</t>
  </si>
  <si>
    <t>BTF002</t>
  </si>
  <si>
    <t>Marty McFly</t>
  </si>
  <si>
    <t>BTF001</t>
  </si>
  <si>
    <t>Leto Atreides</t>
  </si>
  <si>
    <t>DUN004</t>
  </si>
  <si>
    <t>Chani</t>
  </si>
  <si>
    <t>DUN007</t>
  </si>
  <si>
    <t>Lady Jessica</t>
  </si>
  <si>
    <t>DUN002</t>
  </si>
  <si>
    <t>Liet Kynes</t>
  </si>
  <si>
    <t>DUN006</t>
  </si>
  <si>
    <t>Baron Harkonnen</t>
  </si>
  <si>
    <t>DUN008</t>
  </si>
  <si>
    <t>Gurney Halleck</t>
  </si>
  <si>
    <t>DUN005</t>
  </si>
  <si>
    <t>Paul Atreides</t>
  </si>
  <si>
    <t>DUN001</t>
  </si>
  <si>
    <t>Duncan Idaho</t>
  </si>
  <si>
    <t>DUN003</t>
  </si>
  <si>
    <t>Ayrton Senna</t>
  </si>
  <si>
    <t>TWN497</t>
  </si>
  <si>
    <t>Dr. Watson</t>
  </si>
  <si>
    <t>TWN521</t>
  </si>
  <si>
    <t>Irene Adler</t>
  </si>
  <si>
    <t>TWN522</t>
  </si>
  <si>
    <t>Paige</t>
  </si>
  <si>
    <t>TWN523</t>
  </si>
  <si>
    <t>Sherlock Holmes</t>
  </si>
  <si>
    <t>TWN524</t>
  </si>
  <si>
    <t>Nigel Mansell</t>
  </si>
  <si>
    <t>TWN519</t>
  </si>
  <si>
    <t>Captain Jean-Luc Picard</t>
  </si>
  <si>
    <t>TREK006</t>
  </si>
  <si>
    <t>Lieutenant Commander Data</t>
  </si>
  <si>
    <t>TREK005</t>
  </si>
  <si>
    <t>s mačkou Spot</t>
  </si>
  <si>
    <t>Lieutenant Worf</t>
  </si>
  <si>
    <t>TREK008</t>
  </si>
  <si>
    <t>Dr. Beverly Crusher</t>
  </si>
  <si>
    <t>TREK001</t>
  </si>
  <si>
    <t>Lieutenant Commander Geordi La Forge</t>
  </si>
  <si>
    <t>TREK004</t>
  </si>
  <si>
    <t>Commander William Riker</t>
  </si>
  <si>
    <t>TREK003</t>
  </si>
  <si>
    <t>Counsellor Deanna Troi</t>
  </si>
  <si>
    <t>TREK007</t>
  </si>
  <si>
    <t>Guinan</t>
  </si>
  <si>
    <t>TREK009</t>
  </si>
  <si>
    <t>Wesley Crusher</t>
  </si>
  <si>
    <t>TREK002</t>
  </si>
  <si>
    <t>Leonardo da Vinci</t>
  </si>
  <si>
    <t>TWN518</t>
  </si>
  <si>
    <t>Hector Barbossa</t>
  </si>
  <si>
    <t>POC051</t>
  </si>
  <si>
    <t>Captain Jack Sparrow</t>
  </si>
  <si>
    <t>POC044</t>
  </si>
  <si>
    <t>Elizabeth Swann</t>
  </si>
  <si>
    <t>POC050</t>
  </si>
  <si>
    <t>Will Turner</t>
  </si>
  <si>
    <t>POC045</t>
  </si>
  <si>
    <t>Black Pearl Figurehead</t>
  </si>
  <si>
    <t>POC052</t>
  </si>
  <si>
    <t>Joshamee Gibbs</t>
  </si>
  <si>
    <t>POC046</t>
  </si>
  <si>
    <t>Marty</t>
  </si>
  <si>
    <t>POC049</t>
  </si>
  <si>
    <t>Anamaria</t>
  </si>
  <si>
    <t>POC048</t>
  </si>
  <si>
    <t>Cotton</t>
  </si>
  <si>
    <t>POC047</t>
  </si>
  <si>
    <t>Gandalf Šedý</t>
  </si>
  <si>
    <t>LOR153</t>
  </si>
  <si>
    <t>Michael Schumacher</t>
  </si>
  <si>
    <t>TWN542</t>
  </si>
  <si>
    <t>TREK010</t>
  </si>
  <si>
    <t>Star-Lord</t>
  </si>
  <si>
    <t>SH0744</t>
  </si>
  <si>
    <t>Groot</t>
  </si>
  <si>
    <t>SH0743</t>
  </si>
  <si>
    <t>Mantis</t>
  </si>
  <si>
    <t>SH0745</t>
  </si>
  <si>
    <t>Rocket</t>
  </si>
  <si>
    <t>SH0742</t>
  </si>
  <si>
    <t>Thor</t>
  </si>
  <si>
    <t>SH0734</t>
  </si>
  <si>
    <t>Chitauri warrior</t>
  </si>
  <si>
    <t>SH0730</t>
  </si>
  <si>
    <t>Master Mordo</t>
  </si>
  <si>
    <t>SH0832</t>
  </si>
  <si>
    <t>Spider-Man</t>
  </si>
  <si>
    <t>SH0829</t>
  </si>
  <si>
    <t>Iron Man</t>
  </si>
  <si>
    <t>SH0828</t>
  </si>
  <si>
    <t>The Scarlet Witch</t>
  </si>
  <si>
    <t>SH0831</t>
  </si>
  <si>
    <t>Sinister Strange</t>
  </si>
  <si>
    <t>SH0830</t>
  </si>
  <si>
    <t>Dead Strange</t>
  </si>
  <si>
    <t>SH0833</t>
  </si>
  <si>
    <t>Ebony Maw</t>
  </si>
  <si>
    <t>SH0827</t>
  </si>
  <si>
    <t>Doctor Strange</t>
  </si>
  <si>
    <t>SH0802</t>
  </si>
  <si>
    <t>Wong</t>
  </si>
  <si>
    <t>SH0826</t>
  </si>
  <si>
    <t>SH0977</t>
  </si>
  <si>
    <t>Gamora</t>
  </si>
  <si>
    <t>SH0976</t>
  </si>
  <si>
    <t>SH0975</t>
  </si>
  <si>
    <t>Baby Groot</t>
  </si>
  <si>
    <t>SH0978</t>
  </si>
  <si>
    <t>SH0936</t>
  </si>
  <si>
    <t>SC141</t>
  </si>
  <si>
    <t>Sonny Hayes</t>
  </si>
  <si>
    <t>SC140</t>
  </si>
  <si>
    <t>SC138</t>
  </si>
  <si>
    <t>Doc Brown</t>
  </si>
  <si>
    <t>SC139</t>
  </si>
  <si>
    <t>Battle Droid</t>
  </si>
  <si>
    <t>SW0001C</t>
  </si>
  <si>
    <t>Pilot Battle Droid</t>
  </si>
  <si>
    <t>SW1338</t>
  </si>
  <si>
    <t>Astromech Droid QT-KT</t>
  </si>
  <si>
    <t>SW1393</t>
  </si>
  <si>
    <t>Imperial Stormtrooper</t>
  </si>
  <si>
    <t>SW1275</t>
  </si>
  <si>
    <t>Imperial Stortrooper Female</t>
  </si>
  <si>
    <t>SW1326</t>
  </si>
  <si>
    <t>Rebel Fleet Trooper Male</t>
  </si>
  <si>
    <t>SW1392</t>
  </si>
  <si>
    <t>SW1285</t>
  </si>
  <si>
    <t>Vojak povstaleckej flotily</t>
  </si>
  <si>
    <t>SW1391</t>
  </si>
  <si>
    <t>TIE Pilot</t>
  </si>
  <si>
    <t>SW1331</t>
  </si>
  <si>
    <t>Darth Vader - Gingerbread</t>
  </si>
  <si>
    <t>SW1483</t>
  </si>
  <si>
    <t>Bespin Guard</t>
  </si>
  <si>
    <t>SW0611</t>
  </si>
  <si>
    <t>SW0610</t>
  </si>
  <si>
    <t>Han Solo</t>
  </si>
  <si>
    <t>SW0612</t>
  </si>
  <si>
    <t>Stormtrooper</t>
  </si>
  <si>
    <t>SW0585</t>
  </si>
  <si>
    <t>SW0661</t>
  </si>
  <si>
    <t>Mynock, 2x Porg</t>
  </si>
  <si>
    <t>C3-PO</t>
  </si>
  <si>
    <t>SW0700</t>
  </si>
  <si>
    <t>Chewbacca</t>
  </si>
  <si>
    <t>SW0532</t>
  </si>
  <si>
    <t>Finn</t>
  </si>
  <si>
    <t>SW0676</t>
  </si>
  <si>
    <t>SW0879</t>
  </si>
  <si>
    <t xml:space="preserve">Han Solo The Force Awakens </t>
  </si>
  <si>
    <t>SW0841</t>
  </si>
  <si>
    <t>Princess Leia</t>
  </si>
  <si>
    <t>SW0878</t>
  </si>
  <si>
    <t>Rey</t>
  </si>
  <si>
    <t>SW0677</t>
  </si>
  <si>
    <t>Imperial Crewmember</t>
  </si>
  <si>
    <t>SW1044</t>
  </si>
  <si>
    <t>Imperial Officer</t>
  </si>
  <si>
    <t>SW1043</t>
  </si>
  <si>
    <t>SW1051</t>
  </si>
  <si>
    <t>Darth Vader</t>
  </si>
  <si>
    <t>SW1141</t>
  </si>
  <si>
    <t>SW1142</t>
  </si>
  <si>
    <t>Luke Skywalker</t>
  </si>
  <si>
    <t>SW0635</t>
  </si>
  <si>
    <t>R2-D2</t>
  </si>
  <si>
    <t>SW1085</t>
  </si>
  <si>
    <t>Clone Trooper Commander</t>
  </si>
  <si>
    <t>SW1146</t>
  </si>
  <si>
    <t>Mace Windu</t>
  </si>
  <si>
    <t>SW1165</t>
  </si>
  <si>
    <t>Ahsoka Tano</t>
  </si>
  <si>
    <t>SW1096</t>
  </si>
  <si>
    <t>Darth Maul</t>
  </si>
  <si>
    <t>SW1155</t>
  </si>
  <si>
    <t>SW1158</t>
  </si>
  <si>
    <t>Mandalorian</t>
  </si>
  <si>
    <t>SW1135</t>
  </si>
  <si>
    <t>AT-AT Driver</t>
  </si>
  <si>
    <t>SW1176</t>
  </si>
  <si>
    <t>SW1104</t>
  </si>
  <si>
    <t>General Veers</t>
  </si>
  <si>
    <t>SW1175</t>
  </si>
  <si>
    <t>SW1139</t>
  </si>
  <si>
    <t>Snowtrooper</t>
  </si>
  <si>
    <t>SW1178</t>
  </si>
  <si>
    <t>SW1180</t>
  </si>
  <si>
    <t>SW1181</t>
  </si>
  <si>
    <t>SW1179</t>
  </si>
  <si>
    <t>Snowtrooper Commander</t>
  </si>
  <si>
    <t>SW1177</t>
  </si>
  <si>
    <t>Grogu in a pram</t>
  </si>
  <si>
    <t>SW1113</t>
  </si>
  <si>
    <t>Kuiil</t>
  </si>
  <si>
    <t>SW1244</t>
  </si>
  <si>
    <t>Blurrg</t>
  </si>
  <si>
    <t>SW1242</t>
  </si>
  <si>
    <t>Mythrol</t>
  </si>
  <si>
    <t>SW1243</t>
  </si>
  <si>
    <t>Obi Wan Kenobi</t>
  </si>
  <si>
    <t>SW1220</t>
  </si>
  <si>
    <t>R4-P17</t>
  </si>
  <si>
    <t>SW1221</t>
  </si>
  <si>
    <t>Taun WE</t>
  </si>
  <si>
    <t>SW1216</t>
  </si>
  <si>
    <t>SW1213</t>
  </si>
  <si>
    <t>Ben Kenobi</t>
  </si>
  <si>
    <t>SW1224</t>
  </si>
  <si>
    <t>Fifth Brother</t>
  </si>
  <si>
    <t>SW1223</t>
  </si>
  <si>
    <t>Grand Inquisitor</t>
  </si>
  <si>
    <t>SW1222</t>
  </si>
  <si>
    <t>Reva (Third Sister)</t>
  </si>
  <si>
    <t>SW1237</t>
  </si>
  <si>
    <t>212th Clone Gunner</t>
  </si>
  <si>
    <t>SW1236</t>
  </si>
  <si>
    <t>212th Clone Trooper</t>
  </si>
  <si>
    <t>SW1235</t>
  </si>
  <si>
    <t>Commander Cody</t>
  </si>
  <si>
    <t>SW1233</t>
  </si>
  <si>
    <t>Dwarf Spider Droid</t>
  </si>
  <si>
    <t>SW1234</t>
  </si>
  <si>
    <t>Astromech droid R2-D0</t>
  </si>
  <si>
    <t>SW1202</t>
  </si>
  <si>
    <t>SW1267</t>
  </si>
  <si>
    <t xml:space="preserve">Astromech Droid, R2-D2 </t>
  </si>
  <si>
    <t>Yoda - Olive Green, Open Robe with Small Creases</t>
  </si>
  <si>
    <t>SW1288</t>
  </si>
  <si>
    <t>Ashoka Tano</t>
  </si>
  <si>
    <t>SW1300</t>
  </si>
  <si>
    <t>Marrok Inquisitor</t>
  </si>
  <si>
    <t>SW1301</t>
  </si>
  <si>
    <t>Professor Huzang</t>
  </si>
  <si>
    <t>SW1299</t>
  </si>
  <si>
    <t>Sabine Wren</t>
  </si>
  <si>
    <t>SW1302</t>
  </si>
  <si>
    <t>Astromech droid R2-BHD</t>
  </si>
  <si>
    <t>SW1280</t>
  </si>
  <si>
    <t>Astromech droid R2-D2</t>
  </si>
  <si>
    <t>C-3PO</t>
  </si>
  <si>
    <t>SW1201</t>
  </si>
  <si>
    <t>General Jan Dodonna</t>
  </si>
  <si>
    <t>SW1140</t>
  </si>
  <si>
    <t xml:space="preserve">Han Solo </t>
  </si>
  <si>
    <t>SW1284</t>
  </si>
  <si>
    <t>SW1283</t>
  </si>
  <si>
    <t>Pilot rebelov Garven Dreis</t>
  </si>
  <si>
    <t>SW1281</t>
  </si>
  <si>
    <t>Pilot Y-kridla Jon"DUTCH" Vander</t>
  </si>
  <si>
    <t>SW1279</t>
  </si>
  <si>
    <t>Princezna Leia - Oslavny outfit</t>
  </si>
  <si>
    <t>SW1282</t>
  </si>
  <si>
    <t>Rebel Crew - zena</t>
  </si>
  <si>
    <t>SW1286</t>
  </si>
  <si>
    <t>Admiral Yularen</t>
  </si>
  <si>
    <t>SW1316</t>
  </si>
  <si>
    <t>Clone Trooper Captain Rex</t>
  </si>
  <si>
    <t>SW1315</t>
  </si>
  <si>
    <t>Battle Droid - Tan, Angled Arms, Light Bluish Gray Clip on Back</t>
  </si>
  <si>
    <t>SW1320</t>
  </si>
  <si>
    <t>Battle Droid - Tan, Straight Arms</t>
  </si>
  <si>
    <t>SW0001D</t>
  </si>
  <si>
    <t>Clone Shock Trooper, Coruscant Guard (Phase 2) - Nougat Head</t>
  </si>
  <si>
    <t>SW1305</t>
  </si>
  <si>
    <t>Clone Trooper (Phase 2) - Nougat Head</t>
  </si>
  <si>
    <t>SW1319</t>
  </si>
  <si>
    <t>Super Battle Droid - Pearl Dark Gray, Narrow Head, Chest Light Indent</t>
  </si>
  <si>
    <t>SW1321</t>
  </si>
  <si>
    <t>Fem</t>
  </si>
  <si>
    <t>SW1351</t>
  </si>
  <si>
    <t>Jod</t>
  </si>
  <si>
    <t>SW1353</t>
  </si>
  <si>
    <t>KB</t>
  </si>
  <si>
    <t>SW1352</t>
  </si>
  <si>
    <t>Neel</t>
  </si>
  <si>
    <t>SW1350</t>
  </si>
  <si>
    <t>Wim</t>
  </si>
  <si>
    <t>SW1349</t>
  </si>
  <si>
    <t>Astromech droid R2-D1</t>
  </si>
  <si>
    <t>Darth Malak</t>
  </si>
  <si>
    <t>SW1325</t>
  </si>
  <si>
    <t>SW1340</t>
  </si>
  <si>
    <t>Mouse droid</t>
  </si>
  <si>
    <t>SW1339</t>
  </si>
  <si>
    <t>Anakin Skywalker</t>
  </si>
  <si>
    <t>SW1332</t>
  </si>
  <si>
    <t>SW1333</t>
  </si>
  <si>
    <t>Qui-Gon Jinn</t>
  </si>
  <si>
    <t>SW1334</t>
  </si>
  <si>
    <t>Saw Gerrera</t>
  </si>
  <si>
    <t>SW1335</t>
  </si>
  <si>
    <t>SW1354</t>
  </si>
  <si>
    <t>Ezra Bridger</t>
  </si>
  <si>
    <t>SW1355</t>
  </si>
  <si>
    <t>Grand Admiral Thrawn</t>
  </si>
  <si>
    <t>SW1356</t>
  </si>
  <si>
    <t>Morgan Elsbeth</t>
  </si>
  <si>
    <t>SW1357</t>
  </si>
  <si>
    <t>Night Trooper</t>
  </si>
  <si>
    <t>SW1358</t>
  </si>
  <si>
    <t>Imperial Praetorian Guard</t>
  </si>
  <si>
    <t>SW1343</t>
  </si>
  <si>
    <t>Moff Gideon</t>
  </si>
  <si>
    <t>SW1342</t>
  </si>
  <si>
    <t>Paz Vizsla</t>
  </si>
  <si>
    <t>SW1341</t>
  </si>
  <si>
    <t>Captain Antilles</t>
  </si>
  <si>
    <t>SW1328</t>
  </si>
  <si>
    <t>Clone ARC Trooper Fives</t>
  </si>
  <si>
    <t>SW1329</t>
  </si>
  <si>
    <t>SW1249</t>
  </si>
  <si>
    <t>Imperial Stortrooper</t>
  </si>
  <si>
    <t>SW1327</t>
  </si>
  <si>
    <t>Beach Luke</t>
  </si>
  <si>
    <t>SW1365</t>
  </si>
  <si>
    <t>Bounty Hunter C-3PO</t>
  </si>
  <si>
    <t>SW1368</t>
  </si>
  <si>
    <t>Darth Dev</t>
  </si>
  <si>
    <t>SW1366</t>
  </si>
  <si>
    <t>Darth Jar Jar</t>
  </si>
  <si>
    <t>SW1367</t>
  </si>
  <si>
    <t>Darth Rey</t>
  </si>
  <si>
    <t>SW1364</t>
  </si>
  <si>
    <t>Jedi Vader</t>
  </si>
  <si>
    <t>SW1363</t>
  </si>
  <si>
    <t>Droid L0-LA59</t>
  </si>
  <si>
    <t>SW1394</t>
  </si>
  <si>
    <t>Princezna Leia Mlada</t>
  </si>
  <si>
    <t>SW1348</t>
  </si>
  <si>
    <t>Astromech Droid, L3-GO</t>
  </si>
  <si>
    <t>SW1362</t>
  </si>
  <si>
    <t>Imperial TIE Fighter</t>
  </si>
  <si>
    <t>SW1260</t>
  </si>
  <si>
    <t>Rebel Pilot</t>
  </si>
  <si>
    <t>SW1359</t>
  </si>
  <si>
    <t>Sig Greebling</t>
  </si>
  <si>
    <t>SW1361</t>
  </si>
  <si>
    <t>Yesi Scala</t>
  </si>
  <si>
    <t>SW1360</t>
  </si>
  <si>
    <t>Cal Kestis</t>
  </si>
  <si>
    <t>SW1377</t>
  </si>
  <si>
    <t>Commander Praji</t>
  </si>
  <si>
    <t>SW1374</t>
  </si>
  <si>
    <t>SW1273</t>
  </si>
  <si>
    <t xml:space="preserve">Imperial Crew </t>
  </si>
  <si>
    <t>SW1373</t>
  </si>
  <si>
    <t>Imperial Gunner</t>
  </si>
  <si>
    <t>SW1376</t>
  </si>
  <si>
    <t>Imperial Navy Trooper</t>
  </si>
  <si>
    <t>SW1375</t>
  </si>
  <si>
    <t>Boba Fett - Helmet,Jet</t>
  </si>
  <si>
    <t>SW1274</t>
  </si>
  <si>
    <t>SW1371</t>
  </si>
  <si>
    <t>Lando Calrissian - Skiff</t>
  </si>
  <si>
    <t>SW1369</t>
  </si>
  <si>
    <t>SW1370</t>
  </si>
  <si>
    <t>Nien Nunb</t>
  </si>
  <si>
    <t>SW1372</t>
  </si>
  <si>
    <t>Astromech Droid R2-D2</t>
  </si>
  <si>
    <t>SW1385</t>
  </si>
  <si>
    <t>Bib Fortuna</t>
  </si>
  <si>
    <t>SW1383</t>
  </si>
  <si>
    <t>Gamorrean Guar Olive</t>
  </si>
  <si>
    <t>SW1196</t>
  </si>
  <si>
    <t>Jabba the Hutt</t>
  </si>
  <si>
    <t>SW1388</t>
  </si>
  <si>
    <t>Kithaba</t>
  </si>
  <si>
    <t>SW1386</t>
  </si>
  <si>
    <t>Max Rebo</t>
  </si>
  <si>
    <t>SW0486</t>
  </si>
  <si>
    <t>Princess Leia - Jabba Slave</t>
  </si>
  <si>
    <t>SW1389</t>
  </si>
  <si>
    <t>Salacious B.Crumb</t>
  </si>
  <si>
    <t>SW1387</t>
  </si>
  <si>
    <t>Vizam</t>
  </si>
  <si>
    <t>SW1390</t>
  </si>
  <si>
    <t>Wooof</t>
  </si>
  <si>
    <t>SW1384</t>
  </si>
  <si>
    <t>SW1209</t>
  </si>
  <si>
    <t>Cassian Andor</t>
  </si>
  <si>
    <t>SW1410</t>
  </si>
  <si>
    <t>Dedra Meero</t>
  </si>
  <si>
    <t>SW1411</t>
  </si>
  <si>
    <t>ISB Tactical Agent</t>
  </si>
  <si>
    <t>SW1409</t>
  </si>
  <si>
    <t>K-2SO Droid</t>
  </si>
  <si>
    <t>SW1412</t>
  </si>
  <si>
    <t>Plo Koon - tmavohnedy</t>
  </si>
  <si>
    <t>SW1414</t>
  </si>
  <si>
    <t>SW1396</t>
  </si>
  <si>
    <t>SW1398</t>
  </si>
  <si>
    <t>R7-A7</t>
  </si>
  <si>
    <t>SW1397</t>
  </si>
  <si>
    <t>Clone Trooper Pilot</t>
  </si>
  <si>
    <t>SW1402</t>
  </si>
  <si>
    <t>Clone Trooper Pilot Captain Jag</t>
  </si>
  <si>
    <t>SW1401</t>
  </si>
  <si>
    <t>Clone Trooper Pilot Odd Ball</t>
  </si>
  <si>
    <t>SW1399</t>
  </si>
  <si>
    <t>R4-P44</t>
  </si>
  <si>
    <t>SW1400</t>
  </si>
  <si>
    <t>Boba Fett mlady</t>
  </si>
  <si>
    <t>SW1407</t>
  </si>
  <si>
    <t>Jango Fett - Potlacene</t>
  </si>
  <si>
    <t>SW1406</t>
  </si>
  <si>
    <t>Astromech Droid, C1-10P (Chopper)</t>
  </si>
  <si>
    <t>SW1308</t>
  </si>
  <si>
    <t>Imperia AT-ST Driver</t>
  </si>
  <si>
    <t>SW1420</t>
  </si>
  <si>
    <t>5D6-RA-7 Protocol Droid</t>
  </si>
  <si>
    <t>SW1473</t>
  </si>
  <si>
    <t>Admiral (Colonel) Wullf Yularen</t>
  </si>
  <si>
    <t>SW1470</t>
  </si>
  <si>
    <t>Admiral Motti</t>
  </si>
  <si>
    <t>SW1468</t>
  </si>
  <si>
    <t>Director Orson Callan Krennic</t>
  </si>
  <si>
    <t>SW1482</t>
  </si>
  <si>
    <t>Emperor Palpatine</t>
  </si>
  <si>
    <t>SW1263</t>
  </si>
  <si>
    <t>Galen Erso</t>
  </si>
  <si>
    <t>SW1481</t>
  </si>
  <si>
    <t>General Tagge</t>
  </si>
  <si>
    <t>SW1469</t>
  </si>
  <si>
    <t>Grand Moff Wilhuff Tarkin</t>
  </si>
  <si>
    <t>SW1471</t>
  </si>
  <si>
    <t>SW1457</t>
  </si>
  <si>
    <t>Han Solo - Stormtrooper Outfit</t>
  </si>
  <si>
    <t>SW1458</t>
  </si>
  <si>
    <t>Hot Tub Stormtrooper</t>
  </si>
  <si>
    <t>SW1479</t>
  </si>
  <si>
    <t>Imperial Crew</t>
  </si>
  <si>
    <t>SW1462</t>
  </si>
  <si>
    <t>Imperial Dignitary</t>
  </si>
  <si>
    <t>SW1477</t>
  </si>
  <si>
    <t>SW1472</t>
  </si>
  <si>
    <t>SW1474</t>
  </si>
  <si>
    <t>Imperial Navy Officer</t>
  </si>
  <si>
    <t>SW1465</t>
  </si>
  <si>
    <t>SW1475</t>
  </si>
  <si>
    <t xml:space="preserve">Imperial Royal Guard </t>
  </si>
  <si>
    <t>SW1478</t>
  </si>
  <si>
    <t>Imperial Shuttle Pilot</t>
  </si>
  <si>
    <t>SW1480</t>
  </si>
  <si>
    <t>Imperial Stormtrooper - Female</t>
  </si>
  <si>
    <t>SW1464</t>
  </si>
  <si>
    <t>SW1456</t>
  </si>
  <si>
    <t>Imperial Stormtrooper - Male</t>
  </si>
  <si>
    <t>SW1455</t>
  </si>
  <si>
    <t>SW1463</t>
  </si>
  <si>
    <t>SW1454</t>
  </si>
  <si>
    <t xml:space="preserve">Interrogation Droid </t>
  </si>
  <si>
    <t>SW1461</t>
  </si>
  <si>
    <t>SW1453</t>
  </si>
  <si>
    <t>Luke Skywalker - Jedi</t>
  </si>
  <si>
    <t>SW1476</t>
  </si>
  <si>
    <t>Luke Skywalker - Stormtrooper Outfit</t>
  </si>
  <si>
    <t>SW1460</t>
  </si>
  <si>
    <t>Mouse Droid</t>
  </si>
  <si>
    <t>SW0156</t>
  </si>
  <si>
    <t>Obi-Wan Kenobi - Old</t>
  </si>
  <si>
    <t>SW1467</t>
  </si>
  <si>
    <t>SW1459</t>
  </si>
  <si>
    <t>R3-T6</t>
  </si>
  <si>
    <t>SW1466</t>
  </si>
  <si>
    <t>Battle Droid - Tan, Angled Arms, 1 x 2 Plate on Back</t>
  </si>
  <si>
    <t>SW0001A</t>
  </si>
  <si>
    <t>Asajj Ventress - Dark Purple Torso</t>
  </si>
  <si>
    <t>SW1426</t>
  </si>
  <si>
    <t>Clone Trooper Pilot (Phase 1) - Yellow Markings, Nougat Head</t>
  </si>
  <si>
    <t>SW1425</t>
  </si>
  <si>
    <t>Obi-Wan Kenobi - Clone Wars, Printed Arms and Legs</t>
  </si>
  <si>
    <t>SW1424</t>
  </si>
  <si>
    <t xml:space="preserve">Jango Fett - Nougat Head, Plain Arms </t>
  </si>
  <si>
    <t>SW1433</t>
  </si>
  <si>
    <t>Lama Su</t>
  </si>
  <si>
    <t>SW1434</t>
  </si>
  <si>
    <t xml:space="preserve">Aayla Secura </t>
  </si>
  <si>
    <t>SW1428</t>
  </si>
  <si>
    <t>Battle Droid - Tan,Angled Arm and Straight Arm</t>
  </si>
  <si>
    <t>Battle Droid Pilot - Blue Torso with Tan Insignia and Chest Badger,angled Arm and Straight Arm</t>
  </si>
  <si>
    <t>Clone Trooper Commander Bly</t>
  </si>
  <si>
    <t>SW1429</t>
  </si>
  <si>
    <t>Commando Droid - Pearl Dark Gray</t>
  </si>
  <si>
    <t>SW1427</t>
  </si>
  <si>
    <t xml:space="preserve">Din Grogu </t>
  </si>
  <si>
    <t>The Mandalorian</t>
  </si>
  <si>
    <t>SW1488</t>
  </si>
  <si>
    <t>Cad Bane - Black Head</t>
  </si>
  <si>
    <t>SW1490</t>
  </si>
  <si>
    <t>Cobb Vanth</t>
  </si>
  <si>
    <t>SW1489</t>
  </si>
  <si>
    <t>Clone Trooper, 501st Legion</t>
  </si>
  <si>
    <t>SW1278</t>
  </si>
  <si>
    <t>Mandalorian Super Commando Female</t>
  </si>
  <si>
    <t>SW1487</t>
  </si>
  <si>
    <t>Mandalorian Super Commando Male</t>
  </si>
  <si>
    <t>SW1486</t>
  </si>
  <si>
    <t>WishList</t>
  </si>
  <si>
    <t>Priorita</t>
  </si>
  <si>
    <t>Určite!</t>
  </si>
  <si>
    <t>Možno...</t>
  </si>
  <si>
    <t>LOTR</t>
  </si>
  <si>
    <t>Editions</t>
  </si>
  <si>
    <t>vydanie</t>
  </si>
  <si>
    <t>Pozn</t>
  </si>
  <si>
    <t>Výskumné centrum</t>
  </si>
  <si>
    <t>Ženy z NASA</t>
  </si>
  <si>
    <t>POCTA AMELII EARHARTOVEJ</t>
  </si>
  <si>
    <t>Pocta Jane Goodallovej</t>
  </si>
  <si>
    <t>Eiffelov byt</t>
  </si>
  <si>
    <t>Pocta Galileovi</t>
  </si>
  <si>
    <t>Šalupa Shackletona</t>
  </si>
  <si>
    <t>Avengers 2: Vek Ultrona Stíhačka Quinjet</t>
  </si>
  <si>
    <t>Helicarrier S.H.I.E.L.D.</t>
  </si>
  <si>
    <t>Koenigsegg Sadair's Spear</t>
  </si>
  <si>
    <t>Prilba Charles Leclerc zo Scuderia Ferrari HP</t>
  </si>
  <si>
    <t>Prilba Lewis Hamilton zo Scuderia Ferrari HP</t>
  </si>
  <si>
    <t>Stiahcka N1 Mandalorian</t>
  </si>
  <si>
    <t>Tie bombarder</t>
  </si>
  <si>
    <t>Corusantsky delovy cln</t>
  </si>
  <si>
    <t>vyradený</t>
  </si>
  <si>
    <t>UCS Super Star Destroyer</t>
  </si>
  <si>
    <t>helmet senna</t>
  </si>
  <si>
    <t>helmet verstapen</t>
  </si>
  <si>
    <t>helmet alonso</t>
  </si>
  <si>
    <t>helmet norris/piastri</t>
  </si>
  <si>
    <t>PÁN PRSTEŇOV – VODODOL</t>
  </si>
  <si>
    <t>Pán prsteňov: Barad-dûr™</t>
  </si>
  <si>
    <t>Pán prsteňov: Kraj</t>
  </si>
  <si>
    <t>Vývoj STEM</t>
  </si>
  <si>
    <t>Iron Man Mark 3: zberateľská edícia</t>
  </si>
  <si>
    <t>Gringottova kúzelnícka banka – zberateľská edícia</t>
  </si>
  <si>
    <t>Brloh – zberateľská edícia</t>
  </si>
  <si>
    <t>Pán prsteňov: Sauronova helma</t>
  </si>
  <si>
    <t>LOTR: Minas Tirith</t>
  </si>
  <si>
    <t>Tiena a fantom</t>
  </si>
  <si>
    <t>Bojovy Balik</t>
  </si>
  <si>
    <t>Sandcrawler</t>
  </si>
  <si>
    <t>jumanji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</si>
</sst>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[$€]"/>
    <numFmt numFmtId="165" formatCode="m&quot;/&quot;yyyy"/>
    <numFmt numFmtId="166" formatCode="M/d/yyyy"/>
  </numFmts>
  <fonts count="30">
    <font>
      <sz val="10.0"/>
      <color rgb="FF000000"/>
      <name val="Arial"/>
      <scheme val="minor"/>
    </font>
    <font>
      <sz val="12.0"/>
      <color theme="1"/>
      <name val="Proxima Nova"/>
    </font>
    <font>
      <b/>
      <sz val="25.0"/>
      <color theme="1"/>
      <name val="Proxima Nova"/>
    </font>
    <font/>
    <font>
      <u/>
      <sz val="26.0"/>
      <color rgb="FF0000FF"/>
      <name val="Proxima Nova"/>
    </font>
    <font>
      <color theme="1"/>
      <name val="Proxima Nova"/>
    </font>
    <font>
      <b/>
      <sz val="12.0"/>
      <color theme="1"/>
      <name val="Proxima Nova"/>
    </font>
    <font>
      <b/>
      <sz val="12.0"/>
      <color rgb="FFFFFFFF"/>
      <name val="Proxima Nova"/>
    </font>
    <font>
      <i/>
      <sz val="12.0"/>
      <color theme="1"/>
      <name val="Proxima Nova"/>
    </font>
    <font>
      <b/>
      <sz val="12.0"/>
      <color rgb="FF000000"/>
      <name val="Proxima Nova"/>
    </font>
    <font>
      <b/>
      <i/>
      <sz val="12.0"/>
      <color rgb="FF000000"/>
      <name val="Proxima Nova"/>
    </font>
    <font>
      <b/>
      <sz val="27.0"/>
      <color theme="1"/>
      <name val="Proxima Nova"/>
    </font>
    <font>
      <u/>
      <sz val="12.0"/>
      <color rgb="FF0000FF"/>
      <name val="Proxima Nova"/>
    </font>
    <font>
      <color rgb="FF202124"/>
      <name val="Proxima Nova"/>
    </font>
    <font>
      <color rgb="FF000000"/>
      <name val="Proxima Nova"/>
    </font>
    <font>
      <color rgb="FFFFFFFF"/>
      <name val="Proxima Nova"/>
    </font>
    <font>
      <b/>
      <sz val="27.0"/>
      <color rgb="FFFFFFFF"/>
      <name val="Proxima Nova"/>
    </font>
    <font>
      <sz val="14.0"/>
      <color theme="1"/>
      <name val="Proxima Nova"/>
    </font>
    <font>
      <sz val="30.0"/>
      <color theme="1"/>
      <name val="Proxima Nova"/>
    </font>
    <font>
      <b/>
      <sz val="29.0"/>
      <color theme="1"/>
      <name val="Proxima Nova"/>
    </font>
    <font>
      <u/>
      <sz val="20.0"/>
      <color rgb="FF0000FF"/>
      <name val="Proxima Nova"/>
    </font>
    <font>
      <b/>
      <sz val="23.0"/>
      <color theme="1"/>
      <name val="Proxima Nova"/>
    </font>
    <font>
      <b/>
      <i/>
      <sz val="12.0"/>
      <color rgb="FFFFFFFF"/>
      <name val="Proxima Nova"/>
    </font>
    <font>
      <color rgb="FF000000"/>
      <name val="Arial"/>
      <scheme val="minor"/>
    </font>
    <font>
      <u/>
      <sz val="12.0"/>
      <color rgb="FF0000FF"/>
      <name val="Proxima Nova"/>
    </font>
    <font>
      <sz val="12.0"/>
      <color rgb="FF000000"/>
      <name val="Proxima Nova"/>
    </font>
    <font>
      <sz val="12.0"/>
      <color rgb="FFFFFFFF"/>
      <name val="Proxima Nova"/>
    </font>
    <font>
      <sz val="12.0"/>
      <color theme="1"/>
      <name val="Arial"/>
      <scheme val="minor"/>
    </font>
    <font>
      <b/>
      <u/>
      <sz val="23.0"/>
      <color rgb="FF0000FF"/>
      <name val="Proxima Nova"/>
    </font>
    <font>
      <i/>
      <sz val="12.0"/>
      <color rgb="FFFFFFFF"/>
      <name val="Proxima Nova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980000"/>
        <bgColor rgb="FF980000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8F9FA"/>
        <bgColor rgb="FFF8F9FA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</fills>
  <borders count="71">
    <border/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FFFF00"/>
      </left>
      <right style="thin">
        <color rgb="FFFFFF00"/>
      </right>
      <top style="thin">
        <color rgb="FFFFFF00"/>
      </top>
    </border>
    <border>
      <left style="thin">
        <color rgb="FFFFFF00"/>
      </left>
      <top style="thin">
        <color rgb="FFFFFF00"/>
      </top>
    </border>
    <border>
      <top style="thin">
        <color rgb="FFFFFF00"/>
      </top>
    </border>
    <border>
      <right style="thin">
        <color rgb="FFFFFF00"/>
      </right>
      <top style="thin">
        <color rgb="FFFFFF00"/>
      </top>
    </border>
    <border>
      <left style="thin">
        <color rgb="FFFF9900"/>
      </left>
      <top style="thin">
        <color rgb="FFFF9900"/>
      </top>
    </border>
    <border>
      <top style="thin">
        <color rgb="FFFF9900"/>
      </top>
    </border>
    <border>
      <right style="thin">
        <color rgb="FFFF9900"/>
      </right>
      <top style="thin">
        <color rgb="FFFF9900"/>
      </top>
    </border>
    <border>
      <top style="thin">
        <color rgb="FFFFFF00"/>
      </top>
      <bottom style="thin">
        <color rgb="FFFFFF00"/>
      </bottom>
    </border>
    <border>
      <left style="thin">
        <color rgb="FFFFFF00"/>
      </left>
    </border>
    <border>
      <right style="thin">
        <color rgb="FFFFFF00"/>
      </right>
    </border>
    <border>
      <left style="thin">
        <color rgb="FFFF9900"/>
      </left>
    </border>
    <border>
      <right style="thin">
        <color rgb="FFFF9900"/>
      </right>
    </border>
    <border>
      <left style="thin">
        <color rgb="FFFFFF00"/>
      </left>
      <bottom style="thin">
        <color rgb="FFFFFF00"/>
      </bottom>
    </border>
    <border>
      <bottom style="thin">
        <color rgb="FFFFFF00"/>
      </bottom>
    </border>
    <border>
      <right style="thin">
        <color rgb="FFFFFF00"/>
      </right>
      <bottom style="thin">
        <color rgb="FFFFFF00"/>
      </bottom>
    </border>
    <border>
      <left style="thin">
        <color rgb="FFFF9900"/>
      </left>
      <bottom style="thin">
        <color rgb="FFFF9900"/>
      </bottom>
    </border>
    <border>
      <bottom style="thin">
        <color rgb="FFFF9900"/>
      </bottom>
    </border>
    <border>
      <right style="thin">
        <color rgb="FFFF9900"/>
      </right>
      <bottom style="thin">
        <color rgb="FFFF9900"/>
      </bottom>
    </border>
    <border>
      <left style="thin">
        <color rgb="FFFFFF00"/>
      </left>
      <right style="thin">
        <color rgb="FFFFFF00"/>
      </right>
      <bottom style="thin">
        <color rgb="FFFFFF00"/>
      </bottom>
    </border>
    <border>
      <left style="thin">
        <color rgb="FF980000"/>
      </left>
      <right style="thin">
        <color rgb="FFFFFFFF"/>
      </right>
      <top style="thin">
        <color rgb="FF98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980000"/>
      </top>
      <bottom style="thin">
        <color rgb="FFFFFFFF"/>
      </bottom>
    </border>
    <border>
      <left style="thin">
        <color rgb="FFFFFFFF"/>
      </left>
      <right style="thin">
        <color rgb="FF980000"/>
      </right>
      <top style="thin">
        <color rgb="FF980000"/>
      </top>
      <bottom style="thin">
        <color rgb="FFFFFFFF"/>
      </bottom>
    </border>
    <border>
      <left style="thin">
        <color rgb="FF980000"/>
      </left>
      <right style="thin">
        <color rgb="FFFFFFFF"/>
      </right>
      <top style="thin">
        <color rgb="FF980000"/>
      </top>
    </border>
    <border>
      <left style="thin">
        <color rgb="FFFFFFFF"/>
      </left>
      <right style="thin">
        <color rgb="FFFFFFFF"/>
      </right>
      <top style="thin">
        <color rgb="FF980000"/>
      </top>
    </border>
    <border>
      <left style="thin">
        <color rgb="FFFFFFFF"/>
      </left>
      <right style="thin">
        <color rgb="FF980000"/>
      </right>
      <top style="thin">
        <color rgb="FF980000"/>
      </top>
    </border>
    <border>
      <left style="thin">
        <color rgb="FF98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980000"/>
      </right>
      <top style="thin">
        <color rgb="FFFFFFFF"/>
      </top>
      <bottom style="thin">
        <color rgb="FFFFFFFF"/>
      </bottom>
    </border>
    <border>
      <left style="thin">
        <color rgb="FF980000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980000"/>
      </right>
      <top style="thin">
        <color rgb="FFFFFFFF"/>
      </top>
    </border>
    <border>
      <left style="thin">
        <color rgb="FF980000"/>
      </left>
      <top style="thin">
        <color rgb="FF980000"/>
      </top>
    </border>
    <border>
      <top style="thin">
        <color rgb="FF980000"/>
      </top>
    </border>
    <border>
      <right style="thin">
        <color rgb="FF980000"/>
      </right>
      <top style="thin">
        <color rgb="FF980000"/>
      </top>
    </border>
    <border>
      <left style="thin">
        <color rgb="FF980000"/>
      </left>
    </border>
    <border>
      <right style="thin">
        <color rgb="FF980000"/>
      </right>
    </border>
    <border>
      <left style="thin">
        <color rgb="FF980000"/>
      </left>
      <bottom style="thin">
        <color rgb="FF980000"/>
      </bottom>
    </border>
    <border>
      <bottom style="thin">
        <color rgb="FF980000"/>
      </bottom>
    </border>
    <border>
      <right style="thin">
        <color rgb="FF980000"/>
      </right>
      <bottom style="thin">
        <color rgb="FF980000"/>
      </bottom>
    </border>
    <border>
      <left style="thin">
        <color rgb="FF980000"/>
      </left>
      <right style="thin">
        <color rgb="FFFFFFFF"/>
      </right>
      <top style="thin">
        <color rgb="FFFFFFFF"/>
      </top>
      <bottom style="thin">
        <color rgb="FF98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980000"/>
      </bottom>
    </border>
    <border>
      <left style="thin">
        <color rgb="FFFFFFFF"/>
      </left>
      <right style="thin">
        <color rgb="FF980000"/>
      </right>
      <top style="thin">
        <color rgb="FFFFFFFF"/>
      </top>
      <bottom style="thin">
        <color rgb="FF98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top style="thin">
        <color rgb="FFF8F9FA"/>
      </top>
      <bottom style="thin">
        <color rgb="FFF8F9FA"/>
      </bottom>
    </border>
    <border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top style="thin">
        <color rgb="FFF8F9FA"/>
      </top>
    </border>
    <border>
      <right style="thin">
        <color rgb="FFF8F9FA"/>
      </right>
      <top style="thin">
        <color rgb="FFF8F9FA"/>
      </top>
    </border>
    <border>
      <left style="thin">
        <color rgb="FF980000"/>
      </left>
      <top style="thin">
        <color rgb="FF980000"/>
      </top>
      <bottom style="thin">
        <color rgb="FFFFFFFF"/>
      </bottom>
    </border>
    <border>
      <right style="thin">
        <color rgb="FFFFFFFF"/>
      </right>
      <top style="thin">
        <color rgb="FF980000"/>
      </top>
      <bottom style="thin">
        <color rgb="FFFFFFFF"/>
      </bottom>
    </border>
    <border>
      <left style="thin">
        <color rgb="FFFFFFFF"/>
      </left>
      <top style="thin">
        <color rgb="FF980000"/>
      </top>
      <bottom style="thin">
        <color rgb="FFFFFFFF"/>
      </bottom>
    </border>
    <border>
      <right style="thin">
        <color rgb="FF980000"/>
      </right>
      <top style="thin">
        <color rgb="FF980000"/>
      </top>
      <bottom style="thin">
        <color rgb="FFFFFFFF"/>
      </bottom>
    </border>
    <border>
      <top style="thin">
        <color rgb="FF980000"/>
      </top>
      <bottom style="thin">
        <color rgb="FFFFFFFF"/>
      </bottom>
    </border>
    <border>
      <left style="thin">
        <color rgb="FF980000"/>
      </left>
      <top style="thin">
        <color rgb="FFFFFFFF"/>
      </top>
      <bottom style="thin">
        <color rgb="FFFFFFFF"/>
      </bottom>
    </border>
    <border>
      <right style="thin">
        <color rgb="FF980000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980000"/>
      </left>
      <top style="thin">
        <color rgb="FFFFFFFF"/>
      </top>
      <bottom style="thin">
        <color rgb="FF980000"/>
      </bottom>
    </border>
    <border>
      <right style="thin">
        <color rgb="FFFFFFFF"/>
      </right>
      <top style="thin">
        <color rgb="FFFFFFFF"/>
      </top>
      <bottom style="thin">
        <color rgb="FF980000"/>
      </bottom>
    </border>
    <border>
      <left style="thin">
        <color rgb="FFFFFFFF"/>
      </left>
      <top style="thin">
        <color rgb="FFFFFFFF"/>
      </top>
      <bottom style="thin">
        <color rgb="FF980000"/>
      </bottom>
    </border>
    <border>
      <right style="thin">
        <color rgb="FF980000"/>
      </right>
      <top style="thin">
        <color rgb="FFFFFFFF"/>
      </top>
      <bottom style="thin">
        <color rgb="FF980000"/>
      </bottom>
    </border>
    <border>
      <top style="thin">
        <color rgb="FFFFFFFF"/>
      </top>
      <bottom style="thin">
        <color rgb="FF98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0" fillId="2" fontId="1" numFmtId="0" xfId="0" applyFont="1"/>
    <xf borderId="3" fillId="2" fontId="2" numFmtId="0" xfId="0" applyAlignment="1" applyBorder="1" applyFont="1">
      <alignment horizontal="center" readingOrder="0" vertical="center"/>
    </xf>
    <xf borderId="4" fillId="0" fontId="3" numFmtId="0" xfId="0" applyBorder="1" applyFont="1"/>
    <xf borderId="5" fillId="0" fontId="3" numFmtId="0" xfId="0" applyBorder="1" applyFont="1"/>
    <xf borderId="6" fillId="3" fontId="1" numFmtId="0" xfId="0" applyAlignment="1" applyBorder="1" applyFill="1" applyFont="1">
      <alignment horizontal="center" readingOrder="0" vertical="center"/>
    </xf>
    <xf borderId="7" fillId="4" fontId="2" numFmtId="164" xfId="0" applyAlignment="1" applyBorder="1" applyFill="1" applyFont="1" applyNumberFormat="1">
      <alignment horizontal="right" vertical="center"/>
    </xf>
    <xf borderId="8" fillId="0" fontId="3" numFmtId="0" xfId="0" applyBorder="1" applyFont="1"/>
    <xf borderId="9" fillId="2" fontId="1" numFmtId="0" xfId="0" applyBorder="1" applyFont="1"/>
    <xf borderId="7" fillId="4" fontId="2" numFmtId="0" xfId="0" applyAlignment="1" applyBorder="1" applyFont="1">
      <alignment horizontal="center" vertical="center"/>
    </xf>
    <xf borderId="6" fillId="3" fontId="4" numFmtId="0" xfId="0" applyAlignment="1" applyBorder="1" applyFont="1">
      <alignment horizontal="center" readingOrder="0" vertical="center"/>
    </xf>
    <xf borderId="7" fillId="0" fontId="3" numFmtId="0" xfId="0" applyBorder="1" applyFont="1"/>
    <xf borderId="0" fillId="0" fontId="5" numFmtId="0" xfId="0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2" fontId="1" numFmtId="0" xfId="0" applyBorder="1" applyFont="1"/>
    <xf borderId="14" fillId="2" fontId="1" numFmtId="0" xfId="0" applyBorder="1" applyFont="1"/>
    <xf borderId="0" fillId="0" fontId="6" numFmtId="0" xfId="0" applyFont="1"/>
    <xf borderId="21" fillId="5" fontId="7" numFmtId="0" xfId="0" applyAlignment="1" applyBorder="1" applyFill="1" applyFont="1">
      <alignment horizontal="center" readingOrder="0" vertical="center"/>
    </xf>
    <xf borderId="22" fillId="5" fontId="7" numFmtId="0" xfId="0" applyAlignment="1" applyBorder="1" applyFont="1">
      <alignment horizontal="center" readingOrder="0" vertical="center"/>
    </xf>
    <xf borderId="23" fillId="5" fontId="7" numFmtId="0" xfId="0" applyAlignment="1" applyBorder="1" applyFont="1">
      <alignment horizontal="center" readingOrder="0" vertical="center"/>
    </xf>
    <xf borderId="24" fillId="5" fontId="7" numFmtId="0" xfId="0" applyAlignment="1" applyBorder="1" applyFont="1">
      <alignment horizontal="center" readingOrder="0" vertical="center"/>
    </xf>
    <xf borderId="25" fillId="5" fontId="7" numFmtId="0" xfId="0" applyAlignment="1" applyBorder="1" applyFont="1">
      <alignment horizontal="center" readingOrder="0" vertical="center"/>
    </xf>
    <xf borderId="26" fillId="5" fontId="7" numFmtId="0" xfId="0" applyAlignment="1" applyBorder="1" applyFont="1">
      <alignment horizontal="center" readingOrder="0" vertical="center"/>
    </xf>
    <xf borderId="27" fillId="6" fontId="6" numFmtId="0" xfId="0" applyAlignment="1" applyBorder="1" applyFill="1" applyFont="1">
      <alignment horizontal="center" readingOrder="0" vertical="center"/>
    </xf>
    <xf borderId="28" fillId="6" fontId="8" numFmtId="164" xfId="0" applyAlignment="1" applyBorder="1" applyFont="1" applyNumberFormat="1">
      <alignment readingOrder="0"/>
    </xf>
    <xf borderId="29" fillId="6" fontId="1" numFmtId="0" xfId="0" applyAlignment="1" applyBorder="1" applyFont="1">
      <alignment horizontal="center" vertical="center"/>
    </xf>
    <xf borderId="21" fillId="6" fontId="6" numFmtId="0" xfId="0" applyAlignment="1" applyBorder="1" applyFont="1">
      <alignment horizontal="center" readingOrder="0" vertical="center"/>
    </xf>
    <xf borderId="30" fillId="7" fontId="9" numFmtId="0" xfId="0" applyAlignment="1" applyBorder="1" applyFill="1" applyFont="1">
      <alignment horizontal="center" readingOrder="0" vertical="center"/>
    </xf>
    <xf borderId="31" fillId="7" fontId="10" numFmtId="164" xfId="0" applyAlignment="1" applyBorder="1" applyFont="1" applyNumberFormat="1">
      <alignment readingOrder="0"/>
    </xf>
    <xf borderId="32" fillId="7" fontId="9" numFmtId="0" xfId="0" applyAlignment="1" applyBorder="1" applyFont="1">
      <alignment horizontal="center" vertical="center"/>
    </xf>
    <xf borderId="33" fillId="0" fontId="11" numFmtId="9" xfId="0" applyAlignment="1" applyBorder="1" applyFont="1" applyNumberFormat="1">
      <alignment horizontal="center" vertical="center"/>
    </xf>
    <xf borderId="34" fillId="0" fontId="3" numFmtId="0" xfId="0" applyBorder="1" applyFont="1"/>
    <xf borderId="35" fillId="0" fontId="3" numFmtId="0" xfId="0" applyBorder="1" applyFont="1"/>
    <xf borderId="36" fillId="0" fontId="3" numFmtId="0" xfId="0" applyBorder="1" applyFont="1"/>
    <xf borderId="37" fillId="0" fontId="3" numFmtId="0" xfId="0" applyBorder="1" applyFont="1"/>
    <xf borderId="38" fillId="0" fontId="3" numFmtId="0" xfId="0" applyBorder="1" applyFont="1"/>
    <xf borderId="39" fillId="0" fontId="3" numFmtId="0" xfId="0" applyBorder="1" applyFont="1"/>
    <xf borderId="40" fillId="0" fontId="3" numFmtId="0" xfId="0" applyBorder="1" applyFont="1"/>
    <xf borderId="41" fillId="6" fontId="6" numFmtId="0" xfId="0" applyAlignment="1" applyBorder="1" applyFont="1">
      <alignment horizontal="center" readingOrder="0" vertical="center"/>
    </xf>
    <xf borderId="42" fillId="6" fontId="8" numFmtId="164" xfId="0" applyAlignment="1" applyBorder="1" applyFont="1" applyNumberFormat="1">
      <alignment readingOrder="0"/>
    </xf>
    <xf borderId="43" fillId="6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center" vertical="center"/>
    </xf>
    <xf borderId="44" fillId="5" fontId="7" numFmtId="0" xfId="0" applyAlignment="1" applyBorder="1" applyFont="1">
      <alignment horizontal="center" readingOrder="0" vertical="center"/>
    </xf>
    <xf borderId="45" fillId="0" fontId="3" numFmtId="0" xfId="0" applyBorder="1" applyFont="1"/>
    <xf borderId="46" fillId="5" fontId="7" numFmtId="0" xfId="0" applyAlignment="1" applyBorder="1" applyFont="1">
      <alignment horizontal="center" readingOrder="0" vertical="center"/>
    </xf>
    <xf borderId="47" fillId="0" fontId="3" numFmtId="0" xfId="0" applyBorder="1" applyFont="1"/>
    <xf borderId="45" fillId="5" fontId="7" numFmtId="0" xfId="0" applyAlignment="1" applyBorder="1" applyFont="1">
      <alignment horizontal="center" readingOrder="0" vertical="center"/>
    </xf>
    <xf borderId="28" fillId="5" fontId="7" numFmtId="0" xfId="0" applyAlignment="1" applyBorder="1" applyFont="1">
      <alignment horizontal="center" readingOrder="0" vertical="center"/>
    </xf>
    <xf borderId="28" fillId="0" fontId="1" numFmtId="0" xfId="0" applyAlignment="1" applyBorder="1" applyFont="1">
      <alignment readingOrder="0"/>
    </xf>
    <xf borderId="0" fillId="0" fontId="8" numFmtId="164" xfId="0" applyAlignment="1" applyFont="1" applyNumberFormat="1">
      <alignment readingOrder="0"/>
    </xf>
    <xf borderId="44" fillId="4" fontId="1" numFmtId="0" xfId="0" applyAlignment="1" applyBorder="1" applyFont="1">
      <alignment readingOrder="0"/>
    </xf>
    <xf borderId="44" fillId="4" fontId="12" numFmtId="0" xfId="0" applyAlignment="1" applyBorder="1" applyFont="1">
      <alignment readingOrder="0"/>
    </xf>
    <xf borderId="46" fillId="4" fontId="1" numFmtId="0" xfId="0" applyAlignment="1" applyBorder="1" applyFont="1">
      <alignment readingOrder="0"/>
    </xf>
    <xf borderId="46" fillId="4" fontId="1" numFmtId="0" xfId="0" applyAlignment="1" applyBorder="1" applyFont="1">
      <alignment horizontal="center" readingOrder="0"/>
    </xf>
    <xf borderId="45" fillId="4" fontId="1" numFmtId="0" xfId="0" applyAlignment="1" applyBorder="1" applyFont="1">
      <alignment readingOrder="0"/>
    </xf>
    <xf borderId="28" fillId="4" fontId="1" numFmtId="164" xfId="0" applyAlignment="1" applyBorder="1" applyFont="1" applyNumberFormat="1">
      <alignment readingOrder="0"/>
    </xf>
    <xf borderId="44" fillId="4" fontId="1" numFmtId="165" xfId="0" applyAlignment="1" applyBorder="1" applyFont="1" applyNumberFormat="1">
      <alignment readingOrder="0"/>
    </xf>
    <xf borderId="28" fillId="4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8" fontId="13" numFmtId="0" xfId="0" applyAlignment="1" applyFill="1" applyFont="1">
      <alignment readingOrder="0"/>
    </xf>
    <xf borderId="48" fillId="4" fontId="1" numFmtId="0" xfId="0" applyAlignment="1" applyBorder="1" applyFont="1">
      <alignment readingOrder="0"/>
    </xf>
    <xf borderId="49" fillId="0" fontId="3" numFmtId="0" xfId="0" applyBorder="1" applyFont="1"/>
    <xf borderId="44" fillId="4" fontId="1" numFmtId="0" xfId="0" applyAlignment="1" applyBorder="1" applyFont="1">
      <alignment horizontal="right" readingOrder="0"/>
    </xf>
    <xf borderId="45" fillId="4" fontId="1" numFmtId="165" xfId="0" applyAlignment="1" applyBorder="1" applyFont="1" applyNumberFormat="1">
      <alignment readingOrder="0"/>
    </xf>
    <xf borderId="0" fillId="0" fontId="14" numFmtId="0" xfId="0" applyFont="1"/>
    <xf borderId="0" fillId="0" fontId="15" numFmtId="0" xfId="0" applyFont="1"/>
    <xf borderId="0" fillId="5" fontId="5" numFmtId="0" xfId="0" applyFont="1"/>
    <xf borderId="0" fillId="5" fontId="16" numFmtId="0" xfId="0" applyAlignment="1" applyFont="1">
      <alignment horizontal="center" readingOrder="0" vertical="center"/>
    </xf>
    <xf borderId="33" fillId="9" fontId="17" numFmtId="0" xfId="0" applyAlignment="1" applyBorder="1" applyFill="1" applyFont="1">
      <alignment horizontal="center" readingOrder="0" vertical="center"/>
    </xf>
    <xf borderId="0" fillId="9" fontId="18" numFmtId="0" xfId="0" applyAlignment="1" applyFont="1">
      <alignment horizontal="center" readingOrder="0" vertical="center"/>
    </xf>
    <xf borderId="0" fillId="7" fontId="19" numFmtId="0" xfId="0" applyAlignment="1" applyFont="1">
      <alignment horizontal="center" vertical="center"/>
    </xf>
    <xf borderId="0" fillId="9" fontId="20" numFmtId="0" xfId="0" applyAlignment="1" applyFont="1">
      <alignment horizontal="center" readingOrder="0" vertical="center"/>
    </xf>
    <xf borderId="36" fillId="7" fontId="21" numFmtId="164" xfId="0" applyAlignment="1" applyBorder="1" applyFont="1" applyNumberFormat="1">
      <alignment horizontal="center" vertical="center"/>
    </xf>
    <xf borderId="36" fillId="7" fontId="21" numFmtId="164" xfId="0" applyAlignment="1" applyBorder="1" applyFont="1" applyNumberFormat="1">
      <alignment horizontal="center" readingOrder="0" vertical="center"/>
    </xf>
    <xf borderId="0" fillId="10" fontId="5" numFmtId="0" xfId="0" applyFill="1" applyFont="1"/>
    <xf borderId="0" fillId="0" fontId="6" numFmtId="0" xfId="0" applyAlignment="1" applyFont="1">
      <alignment horizontal="center"/>
    </xf>
    <xf borderId="50" fillId="2" fontId="6" numFmtId="0" xfId="0" applyAlignment="1" applyBorder="1" applyFont="1">
      <alignment horizontal="center" readingOrder="0"/>
    </xf>
    <xf borderId="51" fillId="0" fontId="3" numFmtId="0" xfId="0" applyBorder="1" applyFont="1"/>
    <xf borderId="52" fillId="2" fontId="6" numFmtId="0" xfId="0" applyAlignment="1" applyBorder="1" applyFont="1">
      <alignment horizontal="center" readingOrder="0"/>
    </xf>
    <xf borderId="53" fillId="0" fontId="3" numFmtId="0" xfId="0" applyBorder="1" applyFont="1"/>
    <xf borderId="0" fillId="10" fontId="6" numFmtId="0" xfId="0" applyAlignment="1" applyFont="1">
      <alignment horizontal="center" readingOrder="0"/>
    </xf>
    <xf borderId="21" fillId="2" fontId="6" numFmtId="0" xfId="0" applyAlignment="1" applyBorder="1" applyFont="1">
      <alignment horizontal="center" readingOrder="0"/>
    </xf>
    <xf borderId="54" fillId="0" fontId="3" numFmtId="0" xfId="0" applyBorder="1" applyFont="1"/>
    <xf borderId="22" fillId="2" fontId="6" numFmtId="0" xfId="0" applyAlignment="1" applyBorder="1" applyFont="1">
      <alignment horizontal="center" readingOrder="0"/>
    </xf>
    <xf borderId="23" fillId="2" fontId="6" numFmtId="0" xfId="0" applyAlignment="1" applyBorder="1" applyFont="1">
      <alignment horizontal="center" readingOrder="0"/>
    </xf>
    <xf borderId="0" fillId="0" fontId="9" numFmtId="0" xfId="0" applyAlignment="1" applyFont="1">
      <alignment horizontal="center"/>
    </xf>
    <xf borderId="0" fillId="0" fontId="7" numFmtId="0" xfId="0" applyAlignment="1" applyFont="1">
      <alignment horizontal="center"/>
    </xf>
    <xf borderId="55" fillId="6" fontId="6" numFmtId="0" xfId="0" applyAlignment="1" applyBorder="1" applyFont="1">
      <alignment horizontal="center" readingOrder="0"/>
    </xf>
    <xf borderId="44" fillId="6" fontId="8" numFmtId="164" xfId="0" applyAlignment="1" applyBorder="1" applyFont="1" applyNumberFormat="1">
      <alignment horizontal="center" readingOrder="0"/>
    </xf>
    <xf borderId="44" fillId="6" fontId="1" numFmtId="49" xfId="0" applyAlignment="1" applyBorder="1" applyFont="1" applyNumberFormat="1">
      <alignment horizontal="center" readingOrder="0"/>
    </xf>
    <xf borderId="56" fillId="0" fontId="3" numFmtId="0" xfId="0" applyBorder="1" applyFont="1"/>
    <xf borderId="27" fillId="6" fontId="6" numFmtId="0" xfId="0" applyAlignment="1" applyBorder="1" applyFont="1">
      <alignment horizontal="center" readingOrder="0"/>
    </xf>
    <xf borderId="44" fillId="6" fontId="1" numFmtId="0" xfId="0" applyAlignment="1" applyBorder="1" applyFont="1">
      <alignment readingOrder="0"/>
    </xf>
    <xf borderId="57" fillId="0" fontId="3" numFmtId="0" xfId="0" applyBorder="1" applyFont="1"/>
    <xf borderId="28" fillId="6" fontId="8" numFmtId="164" xfId="0" applyAlignment="1" applyBorder="1" applyFont="1" applyNumberFormat="1">
      <alignment horizontal="center" readingOrder="0"/>
    </xf>
    <xf borderId="29" fillId="6" fontId="8" numFmtId="164" xfId="0" applyAlignment="1" applyBorder="1" applyFont="1" applyNumberFormat="1">
      <alignment horizontal="center" readingOrder="0"/>
    </xf>
    <xf borderId="28" fillId="6" fontId="1" numFmtId="49" xfId="0" applyAlignment="1" applyBorder="1" applyFont="1" applyNumberFormat="1">
      <alignment horizontal="center" readingOrder="0"/>
    </xf>
    <xf borderId="29" fillId="6" fontId="1" numFmtId="49" xfId="0" applyAlignment="1" applyBorder="1" applyFont="1" applyNumberFormat="1">
      <alignment horizontal="center" readingOrder="0"/>
    </xf>
    <xf borderId="58" fillId="5" fontId="7" numFmtId="0" xfId="0" applyAlignment="1" applyBorder="1" applyFont="1">
      <alignment horizontal="center" readingOrder="0"/>
    </xf>
    <xf borderId="59" fillId="0" fontId="3" numFmtId="0" xfId="0" applyBorder="1" applyFont="1"/>
    <xf borderId="60" fillId="5" fontId="22" numFmtId="164" xfId="0" applyAlignment="1" applyBorder="1" applyFont="1" applyNumberFormat="1">
      <alignment horizontal="center" readingOrder="0"/>
    </xf>
    <xf borderId="60" fillId="5" fontId="7" numFmtId="49" xfId="0" applyAlignment="1" applyBorder="1" applyFont="1" applyNumberFormat="1">
      <alignment horizontal="center" readingOrder="0"/>
    </xf>
    <xf borderId="61" fillId="0" fontId="3" numFmtId="0" xfId="0" applyBorder="1" applyFont="1"/>
    <xf borderId="41" fillId="5" fontId="7" numFmtId="0" xfId="0" applyAlignment="1" applyBorder="1" applyFont="1">
      <alignment horizontal="center" readingOrder="0"/>
    </xf>
    <xf borderId="60" fillId="5" fontId="7" numFmtId="0" xfId="0" applyAlignment="1" applyBorder="1" applyFont="1">
      <alignment horizontal="center" readingOrder="0"/>
    </xf>
    <xf borderId="62" fillId="0" fontId="3" numFmtId="0" xfId="0" applyBorder="1" applyFont="1"/>
    <xf borderId="42" fillId="5" fontId="22" numFmtId="164" xfId="0" applyAlignment="1" applyBorder="1" applyFont="1" applyNumberFormat="1">
      <alignment horizontal="center" readingOrder="0"/>
    </xf>
    <xf borderId="43" fillId="5" fontId="22" numFmtId="164" xfId="0" applyAlignment="1" applyBorder="1" applyFont="1" applyNumberFormat="1">
      <alignment horizontal="center" readingOrder="0"/>
    </xf>
    <xf borderId="28" fillId="2" fontId="6" numFmtId="0" xfId="0" applyAlignment="1" applyBorder="1" applyFont="1">
      <alignment horizontal="center" readingOrder="0"/>
    </xf>
    <xf borderId="44" fillId="2" fontId="6" numFmtId="0" xfId="0" applyAlignment="1" applyBorder="1" applyFont="1">
      <alignment horizontal="center" readingOrder="0"/>
    </xf>
    <xf borderId="0" fillId="0" fontId="23" numFmtId="0" xfId="0" applyFont="1"/>
    <xf borderId="28" fillId="6" fontId="1" numFmtId="0" xfId="0" applyAlignment="1" applyBorder="1" applyFont="1">
      <alignment readingOrder="0"/>
    </xf>
    <xf borderId="28" fillId="6" fontId="24" numFmtId="49" xfId="0" applyAlignment="1" applyBorder="1" applyFont="1" applyNumberFormat="1">
      <alignment readingOrder="0"/>
    </xf>
    <xf borderId="28" fillId="6" fontId="1" numFmtId="164" xfId="0" applyAlignment="1" applyBorder="1" applyFont="1" applyNumberFormat="1">
      <alignment readingOrder="0"/>
    </xf>
    <xf borderId="44" fillId="6" fontId="1" numFmtId="0" xfId="0" applyBorder="1" applyFont="1"/>
    <xf borderId="28" fillId="6" fontId="6" numFmtId="0" xfId="0" applyAlignment="1" applyBorder="1" applyFont="1">
      <alignment horizontal="center"/>
    </xf>
    <xf borderId="0" fillId="0" fontId="25" numFmtId="0" xfId="0" applyFont="1"/>
    <xf borderId="0" fillId="0" fontId="26" numFmtId="0" xfId="0" applyFont="1"/>
    <xf borderId="44" fillId="6" fontId="25" numFmtId="0" xfId="0" applyAlignment="1" applyBorder="1" applyFont="1">
      <alignment horizontal="left" readingOrder="0"/>
    </xf>
    <xf borderId="28" fillId="6" fontId="1" numFmtId="49" xfId="0" applyAlignment="1" applyBorder="1" applyFont="1" applyNumberFormat="1">
      <alignment readingOrder="0"/>
    </xf>
    <xf borderId="44" fillId="6" fontId="25" numFmtId="0" xfId="0" applyBorder="1" applyFont="1"/>
    <xf borderId="6" fillId="3" fontId="27" numFmtId="0" xfId="0" applyAlignment="1" applyBorder="1" applyFont="1">
      <alignment horizontal="center" readingOrder="0" vertical="center"/>
    </xf>
    <xf borderId="63" fillId="3" fontId="28" numFmtId="0" xfId="0" applyAlignment="1" applyBorder="1" applyFont="1">
      <alignment horizontal="center" readingOrder="0" vertical="center"/>
    </xf>
    <xf borderId="64" fillId="0" fontId="3" numFmtId="0" xfId="0" applyBorder="1" applyFont="1"/>
    <xf borderId="65" fillId="0" fontId="3" numFmtId="0" xfId="0" applyBorder="1" applyFont="1"/>
    <xf borderId="66" fillId="0" fontId="3" numFmtId="0" xfId="0" applyBorder="1" applyFont="1"/>
    <xf borderId="67" fillId="0" fontId="3" numFmtId="0" xfId="0" applyBorder="1" applyFont="1"/>
    <xf borderId="68" fillId="0" fontId="3" numFmtId="0" xfId="0" applyBorder="1" applyFont="1"/>
    <xf borderId="69" fillId="0" fontId="3" numFmtId="0" xfId="0" applyBorder="1" applyFont="1"/>
    <xf borderId="70" fillId="0" fontId="3" numFmtId="0" xfId="0" applyBorder="1" applyFont="1"/>
    <xf borderId="0" fillId="0" fontId="7" numFmtId="0" xfId="0" applyFont="1"/>
    <xf borderId="22" fillId="6" fontId="8" numFmtId="164" xfId="0" applyAlignment="1" applyBorder="1" applyFont="1" applyNumberFormat="1">
      <alignment readingOrder="0"/>
    </xf>
    <xf borderId="23" fillId="6" fontId="1" numFmtId="0" xfId="0" applyAlignment="1" applyBorder="1" applyFont="1">
      <alignment horizontal="center" vertical="center"/>
    </xf>
    <xf borderId="0" fillId="0" fontId="29" numFmtId="164" xfId="0" applyAlignment="1" applyFont="1" applyNumberFormat="1">
      <alignment readingOrder="0"/>
    </xf>
    <xf borderId="0" fillId="0" fontId="26" numFmtId="0" xfId="0" applyAlignment="1" applyFont="1">
      <alignment horizontal="center" vertical="center"/>
    </xf>
    <xf borderId="57" fillId="5" fontId="7" numFmtId="0" xfId="0" applyAlignment="1" applyBorder="1" applyFont="1">
      <alignment horizontal="center" readingOrder="0" vertical="center"/>
    </xf>
    <xf borderId="44" fillId="4" fontId="1" numFmtId="0" xfId="0" applyAlignment="1" applyBorder="1" applyFont="1">
      <alignment readingOrder="0"/>
    </xf>
    <xf borderId="48" fillId="4" fontId="1" numFmtId="0" xfId="0" applyAlignment="1" applyBorder="1" applyFont="1">
      <alignment horizontal="center" readingOrder="0"/>
    </xf>
    <xf borderId="44" fillId="4" fontId="1" numFmtId="165" xfId="0" applyAlignment="1" applyBorder="1" applyFont="1" applyNumberFormat="1">
      <alignment horizontal="center" readingOrder="0"/>
    </xf>
    <xf borderId="44" fillId="4" fontId="1" numFmtId="0" xfId="0" applyAlignment="1" applyBorder="1" applyFont="1">
      <alignment horizontal="center" readingOrder="0"/>
    </xf>
    <xf borderId="45" fillId="4" fontId="1" numFmtId="164" xfId="0" applyAlignment="1" applyBorder="1" applyFont="1" applyNumberFormat="1">
      <alignment readingOrder="0"/>
    </xf>
    <xf borderId="0" fillId="0" fontId="1" numFmtId="166" xfId="0" applyFont="1" applyNumberFormat="1"/>
  </cellXfs>
  <cellStyles count="1">
    <cellStyle xfId="0" name="Normal" builtinId="0"/>
  </cellStyles>
  <dxfs count="3">
    <dxf>
      <font>
        <color rgb="FFF4CCCC"/>
      </font>
      <fill>
        <patternFill patternType="none"/>
      </fill>
      <border/>
    </dxf>
    <dxf>
      <font>
        <color rgb="FFFFF2CC"/>
      </font>
      <fill>
        <patternFill patternType="solid">
          <fgColor rgb="FFFFF2CC"/>
          <bgColor rgb="FFFFF2CC"/>
        </patternFill>
      </fill>
      <border/>
    </dxf>
    <dxf>
      <font>
        <color rgb="FFF4CCCC"/>
      </font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Pt>
            <c:idx val="1"/>
            <c:spPr>
              <a:solidFill>
                <a:srgbClr val="FFFF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LEGO_sets!$B$9:$B$10</c:f>
            </c:strRef>
          </c:cat>
          <c:val>
            <c:numRef>
              <c:f>LEGO_sets!$C$9:$C$10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Pt>
            <c:idx val="1"/>
            <c:spPr>
              <a:solidFill>
                <a:srgbClr val="FFFF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LEGO_sets!$F$9:$F$10</c:f>
            </c:strRef>
          </c:cat>
          <c:val>
            <c:numRef>
              <c:f>LEGO_sets!$G$9:$G$10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plotVisOnly val="1"/>
  </c:chart>
  <c:spPr>
    <a:solidFill>
      <a:srgbClr val="FFFFFF">
        <a:alpha val="0"/>
      </a:srgbClr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Pt>
            <c:idx val="1"/>
            <c:spPr>
              <a:solidFill>
                <a:srgbClr val="FFFF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wiah_list!$B$9:$B$10</c:f>
            </c:strRef>
          </c:cat>
          <c:val>
            <c:numRef>
              <c:f>wiah_list!$C$9:$C$10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plotVisOnly val="1"/>
  </c:chart>
  <c:spPr>
    <a:solidFill>
      <a:srgbClr val="FFFFFF">
        <a:alpha val="0"/>
      </a:srgbClr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Pt>
            <c:idx val="1"/>
            <c:spPr>
              <a:solidFill>
                <a:srgbClr val="FFFF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wiah_list!$F$9:$F$10</c:f>
            </c:strRef>
          </c:cat>
          <c:val>
            <c:numRef>
              <c:f>wiah_list!$G$9:$G$10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plotVisOnly val="1"/>
  </c:chart>
  <c:spPr>
    <a:solidFill>
      <a:srgbClr val="FFFFFF">
        <a:alpha val="0"/>
      </a:srgbClr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jpg"/><Relationship Id="rId4" Type="http://schemas.openxmlformats.org/officeDocument/2006/relationships/image" Target="../media/image4.jpg"/><Relationship Id="rId5" Type="http://schemas.openxmlformats.org/officeDocument/2006/relationships/image" Target="../media/image2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10</xdr:row>
      <xdr:rowOff>209550</xdr:rowOff>
    </xdr:from>
    <xdr:ext cx="3705225" cy="18383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85725</xdr:colOff>
      <xdr:row>10</xdr:row>
      <xdr:rowOff>209550</xdr:rowOff>
    </xdr:from>
    <xdr:ext cx="4076700" cy="18383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18</xdr:col>
      <xdr:colOff>0</xdr:colOff>
      <xdr:row>32</xdr:row>
      <xdr:rowOff>0</xdr:rowOff>
    </xdr:from>
    <xdr:ext cx="962025" cy="152400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33</xdr:row>
      <xdr:rowOff>0</xdr:rowOff>
    </xdr:from>
    <xdr:ext cx="962025" cy="161925"/>
    <xdr:pic>
      <xdr:nvPicPr>
        <xdr:cNvPr id="0" name="image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34</xdr:row>
      <xdr:rowOff>0</xdr:rowOff>
    </xdr:from>
    <xdr:ext cx="962025" cy="171450"/>
    <xdr:pic>
      <xdr:nvPicPr>
        <xdr:cNvPr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2</xdr:row>
      <xdr:rowOff>0</xdr:rowOff>
    </xdr:from>
    <xdr:ext cx="161925" cy="200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10</xdr:row>
      <xdr:rowOff>209550</xdr:rowOff>
    </xdr:from>
    <xdr:ext cx="2743200" cy="18383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38100</xdr:colOff>
      <xdr:row>10</xdr:row>
      <xdr:rowOff>209550</xdr:rowOff>
    </xdr:from>
    <xdr:ext cx="3467100" cy="18383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ego.com/en-sk/product/sanctum-sanctorum-76218" TargetMode="External"/><Relationship Id="rId42" Type="http://schemas.openxmlformats.org/officeDocument/2006/relationships/hyperlink" Target="https://www.lego.com/en-us/product/apxgp-team-race-car-from-f1-the-movie-77252" TargetMode="External"/><Relationship Id="rId41" Type="http://schemas.openxmlformats.org/officeDocument/2006/relationships/hyperlink" Target="https://www.lego.com/en-sk/product/guardians-of-the-galaxy-the-milano-76286" TargetMode="External"/><Relationship Id="rId44" Type="http://schemas.openxmlformats.org/officeDocument/2006/relationships/hyperlink" Target="https://www.lego.com/cs-cz/service/building-instructions/30384" TargetMode="External"/><Relationship Id="rId43" Type="http://schemas.openxmlformats.org/officeDocument/2006/relationships/hyperlink" Target="https://www.lego.com/sk-sk/product/time-machine-from-back-to-the-future-77256?ef_id=Cj0KCQiAqeDMBhDcARIsAJEbU9RWXMIXkx7SsUzN9INSo7zGftVKGhnmazYZjBTqt4zcgjaD6WXKk30aApLXEALw_wcB:G:s&amp;s_kwcid=AL!933!3!!!!x!!!19852151974!&amp;cmp=KAC-INI-GOOGEU-GO-SK_GL-SK-RE-SP-BUY-CREATE-MB_ALWAYS_ON-SHOP-BP-PMAX-ALL-CIDNA00000-PMAX-HIGH_PRIORITY&amp;gad_source=1&amp;gad_campaignid=19851769835&amp;gbraid=0AAAAADESMXI_wQq2uDYOwq8zmX_ohFzEU&amp;gclid=Cj0KCQiAqeDMBhDcARIsAJEbU9RWXMIXkx7SsUzN9INSo7zGftVKGhnmazYZjBTqt4zcgjaD6WXKk30aApLXEALw_wcB" TargetMode="External"/><Relationship Id="rId46" Type="http://schemas.openxmlformats.org/officeDocument/2006/relationships/hyperlink" Target="https://www.lego.com/sk-sk/product/trade-federation-troop-carrier-40686" TargetMode="External"/><Relationship Id="rId45" Type="http://schemas.openxmlformats.org/officeDocument/2006/relationships/hyperlink" Target="https://www.lego.com/sk-sk/product/aat-30680" TargetMode="External"/><Relationship Id="rId107" Type="http://schemas.openxmlformats.org/officeDocument/2006/relationships/hyperlink" Target="https://www.lego.com/sk-sk/product/at-at-75440" TargetMode="External"/><Relationship Id="rId106" Type="http://schemas.openxmlformats.org/officeDocument/2006/relationships/hyperlink" Target="https://www.lego.com/sk-sk/product/cobb-vanths-speeder-75437" TargetMode="External"/><Relationship Id="rId105" Type="http://schemas.openxmlformats.org/officeDocument/2006/relationships/hyperlink" Target="https://www.lego.com/sk-sk/product/the-mandalorian-grogus-speeder-bike-75436" TargetMode="External"/><Relationship Id="rId104" Type="http://schemas.openxmlformats.org/officeDocument/2006/relationships/hyperlink" Target="https://www.lego.com/sk-sk/product/battle-of-felucia-separatist-mtt-75435" TargetMode="External"/><Relationship Id="rId109" Type="http://schemas.openxmlformats.org/officeDocument/2006/relationships/hyperlink" Target="https://www.lego.com/sk-sk/product/siege-of-mandalore-battle-pack-75449?CMP=AFC-AffiliateSK-ilf/7Ea8IDc-3903209-1536590-15" TargetMode="External"/><Relationship Id="rId108" Type="http://schemas.openxmlformats.org/officeDocument/2006/relationships/hyperlink" Target="https://www.lego.com/sk-sk/product/venator-class-attack-cruiser-75441" TargetMode="External"/><Relationship Id="rId48" Type="http://schemas.openxmlformats.org/officeDocument/2006/relationships/hyperlink" Target="https://www.lego.com/sk-sk/product/tie-fighter-with-imperial-hangar-rack-40771" TargetMode="External"/><Relationship Id="rId47" Type="http://schemas.openxmlformats.org/officeDocument/2006/relationships/hyperlink" Target="https://www.lego.com/sk-sk/product/imperial-dropship-vs-rebel-scout-speeder-40755" TargetMode="External"/><Relationship Id="rId49" Type="http://schemas.openxmlformats.org/officeDocument/2006/relationships/hyperlink" Target="https://www.lego.com/sk-sk/product/gingerbread-at-at-walker-40806" TargetMode="External"/><Relationship Id="rId103" Type="http://schemas.openxmlformats.org/officeDocument/2006/relationships/hyperlink" Target="https://www.lego.com/sk-sk/product/k-2so-security-droid-75434" TargetMode="External"/><Relationship Id="rId102" Type="http://schemas.openxmlformats.org/officeDocument/2006/relationships/hyperlink" Target="https://www.lego.com/sk-sk/product/jango-fetts-starship-75433" TargetMode="External"/><Relationship Id="rId101" Type="http://schemas.openxmlformats.org/officeDocument/2006/relationships/hyperlink" Target="https://www.lego.com/sk-sk/product/v-19-torrent-starfighter-75432?ef_id=CjwKCAjwobnGBhBNEiwAu2mpFFZHQ02yyPSEXMtoo-8JTOnl0KMhIw9NcAH-BwfRVyyXTe6D4TUUzBoChvgQAvD_BwE:G:s&amp;s_kwcid=AL!933!3!!!!x!!!19843798746!&amp;cmp=KAC-INI-GOOGEU-GO-SK_GL-SK-RE-SP-BUY-CREATE-MB_ALWAYS_ON-SHOP-BP-PMAX-ALL-CIDNA00000-PMAX-LOW_PRIORITY&amp;gad_source=1&amp;gad_campaignid=19843839054&amp;gbraid=0AAAAADESMXLjO4prKLH3GLZx7Xug23v5M&amp;gclid=CjwKCAjwobnGBhBNEiwAu2mpFFZHQ02yyPSEXMtoo-8JTOnl0KMhIw9NcAH-BwfRVyyXTe6D4TUUzBoChvgQAvD_BwE" TargetMode="External"/><Relationship Id="rId100" Type="http://schemas.openxmlformats.org/officeDocument/2006/relationships/hyperlink" Target="https://www.lego.com/sk-sk/product/battle-droid-with-stap-75428?ef_id=CjwKCAjwobnGBhBNEiwAu2mpFBUWRrUWCH4IpStUmZJ1h_fSvPnaWFcAY7gtrn7zYR9uTPWfGEI3hBoCzJoQAvD_BwE:G:s&amp;s_kwcid=AL!933!3!!!!x!!!19851749246!&amp;cmp=KAC-INI-GOOGEU-GO-SK_GL-SK-RE-SP-BUY-CREATE-MB_ALWAYS_ON-SHOP-BP-PMAX-ALL-CIDNA00000-PMAX-MEDIUM_PRIORITY&amp;gad_source=1&amp;gad_campaignid=19852195591&amp;gbraid=0AAAAADESMXKQD60tekVHevPiFOwDjfLGz&amp;gclid=CjwKCAjwobnGBhBNEiwAu2mpFBUWRrUWCH4IpStUmZJ1h_fSvPnaWFcAY7gtrn7zYR9uTPWfGEI3hBoCzJoQAvD_BwE" TargetMode="External"/><Relationship Id="rId31" Type="http://schemas.openxmlformats.org/officeDocument/2006/relationships/hyperlink" Target="https://www.lego.com/sk-sk/product/williams-racing-fw14b-nigel-mansell-10353" TargetMode="External"/><Relationship Id="rId30" Type="http://schemas.openxmlformats.org/officeDocument/2006/relationships/hyperlink" Target="https://www.lego.com/sk-sk/product/sherlock-holmes-book-nook-10351?ef_id=Cj0KCQjwqebEBhD9ARIsAFZMbfxKTBEfCxZ-oUA7N0KOXl1TAuETYcWMr_MJxZFpMAy0BWWhKnkhR_YaAl5mEALw_wcB:G:s&amp;s_kwcid=AL!933!3!!!!x!!!19851749246!&amp;cmp=KAC-INI-GOOGEU-GO-SK_GL-SK-RE-SP-BUY-CREATE-MB_ALWAYS_ON-SHOP-BP-PMAX-ALL-CIDNA00000-PMAX-MEDIUM_PRIORITY&amp;gad_source=1&amp;gad_campaignid=19852195591&amp;gbraid=0AAAAADESMXIqyr7IEiCdgvLxkl51cPz2g&amp;gclid=Cj0KCQjwqebEBhD9ARIsAFZMbfxKTBEfCxZ-oUA7N0KOXl1TAuETYcWMr_MJxZFpMAy0BWWhKnkhR_YaAl5mEALw_wcB" TargetMode="External"/><Relationship Id="rId33" Type="http://schemas.openxmlformats.org/officeDocument/2006/relationships/hyperlink" Target="https://www.alza.sk/hracky/lego-icons-10363-lietajuci-stroj-leonarda-da-vinciho-d12717961.htm?kampan=adwhr_hracky_pla_all_vendor-vykonnostna-lego_ostatne_c_9208696__~153806787048~&amp;gad_source=1&amp;gad_campaignid=12648579983&amp;gbraid=0AAAAAD2xsm5sxqympqcSMwWUy59u8zB7n&amp;gclid=Cj0KCQjwgKjHBhChARIsAPJR3xcrV-2HrGz8eyK-_0yemO1_q1n-98lUdkEfV7OkwxhsB4qH04M8Wq8aArArEALw_wcB" TargetMode="External"/><Relationship Id="rId32" Type="http://schemas.openxmlformats.org/officeDocument/2006/relationships/hyperlink" Target="https://www.lego.com/sk-sk/product/star-trek-u-s-s-enterprise-ncc-1701-d-10356" TargetMode="External"/><Relationship Id="rId35" Type="http://schemas.openxmlformats.org/officeDocument/2006/relationships/hyperlink" Target="https://www.lego.com/sk-sk/product/the-lord-of-the-rings-balrog-book-nook-10367" TargetMode="External"/><Relationship Id="rId34" Type="http://schemas.openxmlformats.org/officeDocument/2006/relationships/hyperlink" Target="https://www.lego.com/sk-sk/product/captain-jack-sparrows-pirate-ship-10365?ef_id=CjwKCAjwobnGBhBNEiwAu2mpFMqCfkYsyNg7qRdPcuhKTqFcmR7Lb2DTO-AdgYzjxVPQaQE08W4JhRoCWm4QAvD_BwE:G:s&amp;s_kwcid=AL!933!3!!!!x!!!19852151974!&amp;cmp=KAC-INI-GOOGEU-GO-SK_GL-SK-RE-SP-BUY-CREATE-MB_ALWAYS_ON-SHOP-BP-PMAX-ALL-CIDNA00000-PMAX-HIGH_PRIORITY&amp;gad_source=1&amp;gad_campaignid=19851769835&amp;gbraid=0AAAAADESMXKUKmb455aRmzHfTCHGf9lrN&amp;gclid=CjwKCAjwobnGBhBNEiwAu2mpFMqCfkYsyNg7qRdPcuhKTqFcmR7Lb2DTO-AdgYzjxVPQaQE08W4JhRoCWm4QAvD_BwE" TargetMode="External"/><Relationship Id="rId37" Type="http://schemas.openxmlformats.org/officeDocument/2006/relationships/hyperlink" Target="https://www.lego.com/sk-sk/product/star-trek-type-15-shuttlepod-40768" TargetMode="External"/><Relationship Id="rId36" Type="http://schemas.openxmlformats.org/officeDocument/2006/relationships/hyperlink" Target="https://www.lego.com/sk-sk/product/ferrari-f2004-michael-schumacher-11375?ef_id=Cj0KCQiA7fbLBhDJARIsAOAqhseTOwGhdOLpmuIYFnEJ7rJvNXdnGF3qL0btFrWEAaQo882B8Y5jSSkaAuB4EALw_wcB:G:s&amp;s_kwcid=AL!933!3!!!!x!!!19843798746!&amp;cmp=KAC-INI-GOOGEU-GO-SK_GL-SK-RE-SP-BUY-CREATE-MB_ALWAYS_ON-SHOP-BP-PMAX-ALL-CIDNA00000-PMAX-LOW_PRIORITY&amp;gad_source=1&amp;gad_campaignid=19843839054&amp;gbraid=0AAAAADESMXIrt24-6nU4nMhr6NwXgr-bX&amp;gclid=Cj0KCQiA7fbLBhDJARIsAOAqhseTOwGhdOLpmuIYFnEJ7rJvNXdnGF3qL0btFrWEAaQo882B8Y5jSSkaAuB4EALw_wcB" TargetMode="External"/><Relationship Id="rId39" Type="http://schemas.openxmlformats.org/officeDocument/2006/relationships/hyperlink" Target="https://www.lego.com/en-sk/product/the-guardians-ship-76193" TargetMode="External"/><Relationship Id="rId38" Type="http://schemas.openxmlformats.org/officeDocument/2006/relationships/hyperlink" Target="https://www.lego.com/sk-sk/product/captain-jack-sparrows-compass-5009609" TargetMode="External"/><Relationship Id="rId20" Type="http://schemas.openxmlformats.org/officeDocument/2006/relationships/hyperlink" Target="https://www.lego.com/sk-sk/product/flying-ford-anglia-76424" TargetMode="External"/><Relationship Id="rId22" Type="http://schemas.openxmlformats.org/officeDocument/2006/relationships/hyperlink" Target="https://www.lego.com/sk-sk/product/book-nook-hogwarts-express-76450" TargetMode="External"/><Relationship Id="rId21" Type="http://schemas.openxmlformats.org/officeDocument/2006/relationships/hyperlink" Target="https://www.lego.com/en-sk/product/diagon-alley-wizarding-shops-76444" TargetMode="External"/><Relationship Id="rId24" Type="http://schemas.openxmlformats.org/officeDocument/2006/relationships/hyperlink" Target="https://www.lego.com/sk-sk/product/cauldron-secret-potions-classroom-76464?CMP=AFC-AffiliateSK-ilf/7Ea8IDc-3903209-1872692-15" TargetMode="External"/><Relationship Id="rId23" Type="http://schemas.openxmlformats.org/officeDocument/2006/relationships/hyperlink" Target="https://www.lego.com/sk-sk/product/hagrid-harrys-privet-drive-escape-76459?ef_id=CjwKCAjwzevPBhBaEiwAplAxvhOVpWwPK6gLviJS9ULlatZdHsoXSjmbpNitOSrwiXbTcrMrpudEjRoC9q0QAvD_BwE:G:s&amp;s_kwcid=AL!933!3!!!!x!!!19843798746!&amp;cmp=KAC-INI-GOOGEU-GO-SK_GL-SK-RE-SP-BUY-CREATE-MB_ALWAYS_ON-SHOP-BP-PMAX-ALL-CIDNA00000-PMAX-LOW_PRIORITY&amp;gad_source=1&amp;gad_campaignid=19843839054&amp;gbraid=0AAAAADESMXJv5qqmrTe1YAgrRJ8CkYeg9&amp;gclid=CjwKCAjwzevPBhBaEiwAplAxvhOVpWwPK6gLviJS9ULlatZdHsoXSjmbpNitOSrwiXbTcrMrpudEjRoC9q0QAvD_BwE" TargetMode="External"/><Relationship Id="rId126" Type="http://schemas.openxmlformats.org/officeDocument/2006/relationships/drawing" Target="../drawings/drawing1.xml"/><Relationship Id="rId26" Type="http://schemas.openxmlformats.org/officeDocument/2006/relationships/hyperlink" Target="https://www.lego.com/en-sk/product/back-to-the-future-time-machine-10300" TargetMode="External"/><Relationship Id="rId121" Type="http://schemas.openxmlformats.org/officeDocument/2006/relationships/hyperlink" Target="https://www.lego.com/en-us/product/mclaren-p1-42172" TargetMode="External"/><Relationship Id="rId25" Type="http://schemas.openxmlformats.org/officeDocument/2006/relationships/hyperlink" Target="https://www.lego.com/en-sk/product/ghostbusters-ecto-1-10274" TargetMode="External"/><Relationship Id="rId120" Type="http://schemas.openxmlformats.org/officeDocument/2006/relationships/hyperlink" Target="https://www.lego.com/en-us/product/mercedes-amg-f1-w14-e-performance-42171" TargetMode="External"/><Relationship Id="rId28" Type="http://schemas.openxmlformats.org/officeDocument/2006/relationships/hyperlink" Target="https://www.lego.com/sk-sk/product/mclaren-mp4-4-ayrton-senna-10330" TargetMode="External"/><Relationship Id="rId27" Type="http://schemas.openxmlformats.org/officeDocument/2006/relationships/hyperlink" Target="https://www.lego.com/en-sk/product/dune-atreides-royal-ornithopter-10327" TargetMode="External"/><Relationship Id="rId125" Type="http://schemas.openxmlformats.org/officeDocument/2006/relationships/hyperlink" Target="https://www.lego.com/sk-sk/product/mclaren-p1-logo-5008946" TargetMode="External"/><Relationship Id="rId29" Type="http://schemas.openxmlformats.org/officeDocument/2006/relationships/hyperlink" Target="https://www.lego.com/en-sk/product/lamborghini-countach-5000-quattrovalvole-10337" TargetMode="External"/><Relationship Id="rId124" Type="http://schemas.openxmlformats.org/officeDocument/2006/relationships/hyperlink" Target="https://www.lego.com/sk-sk/product/mclaren-mcl39-f1-car-42228?ef_id=CjwKCAjwhe3OBhABEiwA6392zG5WAZ-iwbrakbGV-xu8mP3LULvse5dKY1ddYpZ2NgZzyCuAdiNTlBoCdwUQAvD_BwE:G:s&amp;s_kwcid=AL!933!3!!!!x!!!19852151974!&amp;cmp=KAC-INI-GOOGEU-GO-SK_GL-SK-RE-SP-BUY-CREATE-MB_ALWAYS_ON-SHOP-BP-PMAX-ALL-CIDNA00000-PMAX-HIGH_PRIORITY&amp;gad_source=1&amp;gad_campaignid=19851769835&amp;gbraid=0AAAAADESMXIo3BnY38GEfvGLfuCaUIdwj&amp;gclid=CjwKCAjwhe3OBhABEiwA6392zG5WAZ-iwbrakbGV-xu8mP3LULvse5dKY1ddYpZ2NgZzyCuAdiNTlBoCdwUQAvD_BwE" TargetMode="External"/><Relationship Id="rId123" Type="http://schemas.openxmlformats.org/officeDocument/2006/relationships/hyperlink" Target="https://www.lego.com/en-us/product/ferrari-sf-24-f1-car-42207" TargetMode="External"/><Relationship Id="rId122" Type="http://schemas.openxmlformats.org/officeDocument/2006/relationships/hyperlink" Target="https://www.lego.com/en-us/product/oracle-red-bull-racing-rb20-f1-car-42206" TargetMode="External"/><Relationship Id="rId95" Type="http://schemas.openxmlformats.org/officeDocument/2006/relationships/hyperlink" Target="https://www.lego.com/sk-sk/product/kylo-rens-command-shuttle-75406?ef_id=CjwKCAjw2brFBhBOEiwAVJX5GMMWdkItGyy3NzfMQXUWCf63Ib7tiif7pInSnngCYqKhNxWbxq5l8hoCxTYQAvD_BwE:G:s&amp;s_kwcid=AL!933!3!!!!x!!!19843798746!&amp;cmp=KAC-INI-GOOGEU-GO-SK_GL-SK-RE-SP-BUY-CREATE-MB_ALWAYS_ON-SHOP-BP-PMAX-ALL-CIDNA00000-PMAX-LOW_PRIORITY&amp;gad_source=1&amp;gad_campaignid=19843839054&amp;gbraid=0AAAAADESMXKZ5qPwH4JLOKzGe7DVEVxSE&amp;gclid=CjwKCAjw2brFBhBOEiwAVJX5GMMWdkItGyy3NzfMQXUWCf63Ib7tiif7pInSnngCYqKhNxWbxq5l8hoCxTYQAvD_BwE" TargetMode="External"/><Relationship Id="rId94" Type="http://schemas.openxmlformats.org/officeDocument/2006/relationships/hyperlink" Target="https://www.lego.com/sk-sk/product/arc-170-starfighter-75402" TargetMode="External"/><Relationship Id="rId97" Type="http://schemas.openxmlformats.org/officeDocument/2006/relationships/hyperlink" Target="https://www.lego.com/sk-sk/product/chopper-c1-10p-astromech-droid-75416?ef_id=Cj0KCQjwqebEBhD9ARIsAFZMbfzTU026FqpE-oIiE76WuQVEq_I0-sIDtf1NKtmNWWQ0DiWwfy3P_1gaAuvhEALw_wcB:G:s&amp;s_kwcid=AL!933!3!!!!x!!!19851749246!&amp;cmp=KAC-INI-GOOGEU-GO-SK_GL-SK-RE-SP-BUY-CREATE-MB_ALWAYS_ON-SHOP-BP-PMAX-ALL-CIDNA00000-PMAX-MEDIUM_PRIORITY&amp;gad_source=1&amp;gad_campaignid=19852195591&amp;gbraid=0AAAAADESMXIqyr7IEiCdgvLxkl51cPz2g&amp;gclid=Cj0KCQjwqebEBhD9ARIsAFZMbfzTU026FqpE-oIiE76WuQVEq_I0-sIDtf1NKtmNWWQ0DiWwfy3P_1gaAuvhEALw_wcB" TargetMode="External"/><Relationship Id="rId96" Type="http://schemas.openxmlformats.org/officeDocument/2006/relationships/hyperlink" Target="https://www.lego.com/en-sk/product/jango-fett-s-firespray-class-starship-75409" TargetMode="External"/><Relationship Id="rId11" Type="http://schemas.openxmlformats.org/officeDocument/2006/relationships/hyperlink" Target="https://www.lego.com/sk-sk/product/40767" TargetMode="External"/><Relationship Id="rId99" Type="http://schemas.openxmlformats.org/officeDocument/2006/relationships/hyperlink" Target="https://www.lego.com/sk-sk/product/death-star-75419?ef_id=Cj0KCQjwgKjHBhChARIsAPJR3xdLmuIvr2sDlL5iLjSWFOKurTc2sHgP9uOKHlTd3g_rTS4Lv1niSXcaAgnBEALw_wcB:G:s&amp;s_kwcid=AL!933!3!!!!x!!!19852151974!&amp;cmp=KAC-INI-GOOGEU-GO-SK_GL-SK-RE-SP-BUY-CREATE-MB_ALWAYS_ON-SHOP-BP-PMAX-ALL-CIDNA00000-PMAX-HIGH_PRIORITY&amp;gad_source=1&amp;gad_campaignid=19851769835&amp;gbraid=0AAAAADESMXLGpFf6u9N11JUFF8DFkoXIf&amp;gclid=Cj0KCQjwgKjHBhChARIsAPJR3xdLmuIvr2sDlL5iLjSWFOKurTc2sHgP9uOKHlTd3g_rTS4Lv1niSXcaAgnBEALw_wcB" TargetMode="External"/><Relationship Id="rId10" Type="http://schemas.openxmlformats.org/officeDocument/2006/relationships/hyperlink" Target="https://www.lego.com/sk-sk/product/tribute-to-jane-austen-s-books-40766" TargetMode="External"/><Relationship Id="rId98" Type="http://schemas.openxmlformats.org/officeDocument/2006/relationships/hyperlink" Target="https://www.lego.com/sk-sk/product/at-st-walker-75417" TargetMode="External"/><Relationship Id="rId13" Type="http://schemas.openxmlformats.org/officeDocument/2006/relationships/hyperlink" Target="https://www.lego.com/en-sk/product/quidditch-practice-30651" TargetMode="External"/><Relationship Id="rId12" Type="http://schemas.openxmlformats.org/officeDocument/2006/relationships/hyperlink" Target="https://www.lego.com/sk-sk/product/african-savanna-diorama-40784" TargetMode="External"/><Relationship Id="rId91" Type="http://schemas.openxmlformats.org/officeDocument/2006/relationships/hyperlink" Target="https://www.lego.com/sk-sk/product/plo-koon-s-jedi-starfighter-microfighter-75400" TargetMode="External"/><Relationship Id="rId90" Type="http://schemas.openxmlformats.org/officeDocument/2006/relationships/hyperlink" Target="https://www.lego.com/sk-sk/product/rebel-u-wing-starfighter-75399?ef_id=CjwKCAjw2brFBhBOEiwAVJX5GDzB5hweGBKAThyr1n0skoioQm1sLk4H5YDiW0YTMV_xIUhF66RO-RoCzEEQAvD_BwE:G:s&amp;s_kwcid=AL!933!3!!!!x!!!19843798746!&amp;cmp=KAC-INI-GOOGEU-GO-SK_GL-SK-RE-SP-BUY-CREATE-MB_ALWAYS_ON-SHOP-BP-PMAX-ALL-CIDNA00000-PMAX-LOW_PRIORITY&amp;gad_source=1&amp;gad_campaignid=19843839054&amp;gbraid=0AAAAADESMXKZ5qPwH4JLOKzGe7DVEVxSE&amp;gclid=CjwKCAjw2brFBhBOEiwAVJX5GDzB5hweGBKAThyr1n0skoioQm1sLk4H5YDiW0YTMV_xIUhF66RO-RoCzEEQAvD_BwE" TargetMode="External"/><Relationship Id="rId93" Type="http://schemas.openxmlformats.org/officeDocument/2006/relationships/hyperlink" Target="https://www.lego.com/sk-sk/product/ahsoka-s-jedi-interceptor-75401" TargetMode="External"/><Relationship Id="rId92" Type="http://schemas.openxmlformats.org/officeDocument/2006/relationships/hyperlink" Target="https://www.lego.com/sk-sk/product/plo-koon-s-jedi-starfighter-microfighter-75400" TargetMode="External"/><Relationship Id="rId118" Type="http://schemas.openxmlformats.org/officeDocument/2006/relationships/hyperlink" Target="https://www.lego.com/en-us/product/ferrari-daytona-sp3-42143" TargetMode="External"/><Relationship Id="rId117" Type="http://schemas.openxmlformats.org/officeDocument/2006/relationships/hyperlink" Target="https://www.lego.com/en-sk/product/mclaren-formula-1-race-car-42141" TargetMode="External"/><Relationship Id="rId116" Type="http://schemas.openxmlformats.org/officeDocument/2006/relationships/hyperlink" Target="https://www.lego.com/sk-sk/product/app-controlled-cat-d11-bulldozer-42131" TargetMode="External"/><Relationship Id="rId115" Type="http://schemas.openxmlformats.org/officeDocument/2006/relationships/hyperlink" Target="https://www.lego.com/en-us/product/lamborghini-sian-fkp-37-42115" TargetMode="External"/><Relationship Id="rId119" Type="http://schemas.openxmlformats.org/officeDocument/2006/relationships/hyperlink" Target="https://www.lego.com/sk-sk/product/heavy-duty-bulldozer-42163" TargetMode="External"/><Relationship Id="rId15" Type="http://schemas.openxmlformats.org/officeDocument/2006/relationships/hyperlink" Target="https://www.lego.com/sk-sk/product/hedwig-75979" TargetMode="External"/><Relationship Id="rId110" Type="http://schemas.openxmlformats.org/officeDocument/2006/relationships/hyperlink" Target="https://www.lego.com/sk-sk/product/bb-8-astromech-droid-75452" TargetMode="External"/><Relationship Id="rId14" Type="http://schemas.openxmlformats.org/officeDocument/2006/relationships/hyperlink" Target="https://www.lego.com/sk-sk/product/draco-in-the-forbidden-forest-30677" TargetMode="External"/><Relationship Id="rId17" Type="http://schemas.openxmlformats.org/officeDocument/2006/relationships/hyperlink" Target="https://www.lego.com/sk-sk/product/expecto-patronum-76414" TargetMode="External"/><Relationship Id="rId16" Type="http://schemas.openxmlformats.org/officeDocument/2006/relationships/hyperlink" Target="https://www.lego.com/en-sk/product/12-grimmauld-place-76408" TargetMode="External"/><Relationship Id="rId19" Type="http://schemas.openxmlformats.org/officeDocument/2006/relationships/hyperlink" Target="https://www.lego.com/en-sk/product/hogwarts-castle-and-grounds-76419" TargetMode="External"/><Relationship Id="rId114" Type="http://schemas.openxmlformats.org/officeDocument/2006/relationships/hyperlink" Target="https://www.lego.com/en-us/product/porsche-911-rsr-42096" TargetMode="External"/><Relationship Id="rId18" Type="http://schemas.openxmlformats.org/officeDocument/2006/relationships/hyperlink" Target="https://www.lego.com/sk-sk/product/expecto-patronum-76414" TargetMode="External"/><Relationship Id="rId113" Type="http://schemas.openxmlformats.org/officeDocument/2006/relationships/hyperlink" Target="https://www.lego.com/en-us/product/bugatti-chiron-42083" TargetMode="External"/><Relationship Id="rId112" Type="http://schemas.openxmlformats.org/officeDocument/2006/relationships/hyperlink" Target="https://www.lego.com/cs-cz/service/building-instructions/9395" TargetMode="External"/><Relationship Id="rId111" Type="http://schemas.openxmlformats.org/officeDocument/2006/relationships/hyperlink" Target="https://www.lego.com/en-us/product/power-functions-motor-set-8293" TargetMode="External"/><Relationship Id="rId84" Type="http://schemas.openxmlformats.org/officeDocument/2006/relationships/hyperlink" Target="https://www.lego.com/sk-sk/product/creative-play-droid-builder-75392" TargetMode="External"/><Relationship Id="rId83" Type="http://schemas.openxmlformats.org/officeDocument/2006/relationships/hyperlink" Target="https://www.lego.com/sk-sk/product/captain-rex-y-wing-microfighter-75391" TargetMode="External"/><Relationship Id="rId86" Type="http://schemas.openxmlformats.org/officeDocument/2006/relationships/hyperlink" Target="https://www.lego.com/en-sk/product/imperial-star-destroyer-75394" TargetMode="External"/><Relationship Id="rId85" Type="http://schemas.openxmlformats.org/officeDocument/2006/relationships/hyperlink" Target="https://www.lego.com/sk-sk/product/tie-fighter-x-wing-mash-up-75393?ef_id=CjwKCAjw2brFBhBOEiwAVJX5GFX21e7oGqMtPKVlcRMOa4zy4a9FIbp4j2_LHYrswNY8r1jE3s4uDRoCU-UQAvD_BwE:G:s&amp;s_kwcid=AL!933!3!!!!x!!!19851749246!&amp;cmp=KAC-INI-GOOGEU-GO-SK_GL-SK-RE-SP-BUY-CREATE-MB_ALWAYS_ON-SHOP-BP-PMAX-ALL-CIDNA00000-PMAX-MEDIUM_PRIORITY&amp;gad_source=1&amp;gad_campaignid=19852195591&amp;gbraid=0AAAAADESMXKvMaQ_a3YTXqwApH565E5yL&amp;gclid=CjwKCAjw2brFBhBOEiwAVJX5GFX21e7oGqMtPKVlcRMOa4zy4a9FIbp4j2_LHYrswNY8r1jE3s4uDRoCU-UQAvD_BwE" TargetMode="External"/><Relationship Id="rId88" Type="http://schemas.openxmlformats.org/officeDocument/2006/relationships/hyperlink" Target="https://www.lego.com/en-us/product/jabba-s-sail-barge-75397" TargetMode="External"/><Relationship Id="rId87" Type="http://schemas.openxmlformats.org/officeDocument/2006/relationships/hyperlink" Target="https://www.lego.com/sk-sk/product/desert-skiff-sarlacc-pit-75396" TargetMode="External"/><Relationship Id="rId89" Type="http://schemas.openxmlformats.org/officeDocument/2006/relationships/hyperlink" Target="https://www.lego.com/en-sk/product/c-3po-75398" TargetMode="External"/><Relationship Id="rId80" Type="http://schemas.openxmlformats.org/officeDocument/2006/relationships/hyperlink" Target="https://www.lego.com/sk-sk/product/paz-vizsla-and-moff-gideon-battle-75386" TargetMode="External"/><Relationship Id="rId82" Type="http://schemas.openxmlformats.org/officeDocument/2006/relationships/hyperlink" Target="https://www.lego.com/en-sk/product/the-dark-falcon-75389" TargetMode="External"/><Relationship Id="rId81" Type="http://schemas.openxmlformats.org/officeDocument/2006/relationships/hyperlink" Target="https://www.lego.com/sk-sk/product/boarding-the-tantive-iv-75387" TargetMode="External"/><Relationship Id="rId1" Type="http://schemas.openxmlformats.org/officeDocument/2006/relationships/hyperlink" Target="https://www.bricklink.com/v2/main.page" TargetMode="External"/><Relationship Id="rId2" Type="http://schemas.openxmlformats.org/officeDocument/2006/relationships/hyperlink" Target="https://www.lego.com/en-sk/product/1989-batmobile-76139" TargetMode="External"/><Relationship Id="rId3" Type="http://schemas.openxmlformats.org/officeDocument/2006/relationships/hyperlink" Target="https://www.lego.com/en-sk/product/1989-batwing-76161" TargetMode="External"/><Relationship Id="rId4" Type="http://schemas.openxmlformats.org/officeDocument/2006/relationships/hyperlink" Target="https://www.lego.com/en-sk/product/batmobile-tumbler-76240" TargetMode="External"/><Relationship Id="rId9" Type="http://schemas.openxmlformats.org/officeDocument/2006/relationships/hyperlink" Target="https://www.lego.com/sk-sk/product/micro-rocket-launchpad-40712" TargetMode="External"/><Relationship Id="rId5" Type="http://schemas.openxmlformats.org/officeDocument/2006/relationships/hyperlink" Target="https://www.lego.com/en-sk/product/batman-the-classic-tv-series-batmobile-76328" TargetMode="External"/><Relationship Id="rId6" Type="http://schemas.openxmlformats.org/officeDocument/2006/relationships/hyperlink" Target="https://www.lego.com/en-us/product/lego-creative-storybook-40291" TargetMode="External"/><Relationship Id="rId7" Type="http://schemas.openxmlformats.org/officeDocument/2006/relationships/hyperlink" Target="https://www.kitstore.sk/p/lego-40410-pocta-charlesovi-dickensovi?gad_source=1&amp;gad_campaignid=11387728225&amp;gbraid=0AAAAADc0YiZICxBMlOs_Je1Qp9z8nVwZ9&amp;gclid=Cj0KCQjwqebEBhD9ARIsAFZMbfwivlfuSUueOwcd9ve0wmk71JR3f0V-qJoUWFeSPjYDy8yK-swPOAcaArGAEALw_wcB" TargetMode="External"/><Relationship Id="rId8" Type="http://schemas.openxmlformats.org/officeDocument/2006/relationships/hyperlink" Target="https://www.lego.com/sk-sk/product/tribute-to-jules-verne-s-books-40690" TargetMode="External"/><Relationship Id="rId73" Type="http://schemas.openxmlformats.org/officeDocument/2006/relationships/hyperlink" Target="https://www.lego.com/sk-sk/product/the-onyx-cinder-75374" TargetMode="External"/><Relationship Id="rId72" Type="http://schemas.openxmlformats.org/officeDocument/2006/relationships/hyperlink" Target="https://www.lego.com/sk-sk/product/clone-trooper-battle-droid-battle-pack-75372?ef_id=CjwKCAiA8vXIBhAtEiwAf3B-g3GKlIV_ELtKiSf9M0mpZxQuvS6lL2mBxLGKB4FFK3ZZZV6iqaU08RoCUc0QAvD_BwE:G:s&amp;s_kwcid=AL!933!3!!!!x!!!19843798746!&amp;cmp=KAC-INI-GOOGEU-GO-SK_GL-SK-RE-SP-BUY-CREATE-MB_ALWAYS_ON-SHOP-BP-PMAX-ALL-CIDNA00000-PMAX-LOW_PRIORITY&amp;gad_source=1&amp;gad_campaignid=19843839054&amp;gbraid=0AAAAADESMXLnWnKFCC-DYJOonp1QuQkEk&amp;gclid=CjwKCAiA8vXIBhAtEiwAf3B-g3GKlIV_ELtKiSf9M0mpZxQuvS6lL2mBxLGKB4FFK3ZZZV6iqaU08RoCUc0QAvD_BwE" TargetMode="External"/><Relationship Id="rId75" Type="http://schemas.openxmlformats.org/officeDocument/2006/relationships/hyperlink" Target="https://www.lego.com/sk-sk/product/r2-d2-75379" TargetMode="External"/><Relationship Id="rId74" Type="http://schemas.openxmlformats.org/officeDocument/2006/relationships/hyperlink" Target="https://www.lego.com/sk-sk/product/tantive-iv-75376?ef_id=CjwKCAjwobnGBhBNEiwAu2mpFHizTUora8yrpJX9iUMOeDaApxt9bZuVmaWUfe_jxMizkKtqsHM8nBoCxksQAvD_BwE:G:s&amp;s_kwcid=AL!933!3!!!!x!!!19843798746!&amp;cmp=KAC-INI-GOOGEU-GO-SK_GL-SK-RE-SP-BUY-CREATE-MB_ALWAYS_ON-SHOP-BP-PMAX-ALL-CIDNA00000-PMAX-LOW_PRIORITY&amp;gad_source=1&amp;gad_campaignid=19843839054&amp;gbraid=0AAAAADESMXLjO4prKLH3GLZx7Xug23v5M&amp;gclid=CjwKCAjwobnGBhBNEiwAu2mpFHizTUora8yrpJX9iUMOeDaApxt9bZuVmaWUfe_jxMizkKtqsHM8nBoCxksQAvD_BwE" TargetMode="External"/><Relationship Id="rId77" Type="http://schemas.openxmlformats.org/officeDocument/2006/relationships/hyperlink" Target="https://www.lego.com/en-sk/product/tie-interceptor-75382" TargetMode="External"/><Relationship Id="rId76" Type="http://schemas.openxmlformats.org/officeDocument/2006/relationships/hyperlink" Target="https://www.lego.com/sk-sk/product/droideka-75381" TargetMode="External"/><Relationship Id="rId79" Type="http://schemas.openxmlformats.org/officeDocument/2006/relationships/hyperlink" Target="https://www.lego.com/sk-sk/product/ahsoka-tano-s-duel-on-peridea-75385" TargetMode="External"/><Relationship Id="rId78" Type="http://schemas.openxmlformats.org/officeDocument/2006/relationships/hyperlink" Target="https://www.lego.com/sk-sk/product/darth-maul-s-sith-infiltrator-75383" TargetMode="External"/><Relationship Id="rId71" Type="http://schemas.openxmlformats.org/officeDocument/2006/relationships/hyperlink" Target="https://www.lego.com/en-us/product/venator-class-republic-attack-cruiser-75367" TargetMode="External"/><Relationship Id="rId70" Type="http://schemas.openxmlformats.org/officeDocument/2006/relationships/hyperlink" Target="https://www.lego.com/en-sk/product/yavin-4-rebel-base-75365" TargetMode="External"/><Relationship Id="rId62" Type="http://schemas.openxmlformats.org/officeDocument/2006/relationships/hyperlink" Target="https://www.lego.com/sk-sk/product/obi-wan-kenobi-s-jedi-starfighter-75333" TargetMode="External"/><Relationship Id="rId61" Type="http://schemas.openxmlformats.org/officeDocument/2006/relationships/hyperlink" Target="https://www.lego.com/en-us/product/the-razor-crest-75331" TargetMode="External"/><Relationship Id="rId64" Type="http://schemas.openxmlformats.org/officeDocument/2006/relationships/hyperlink" Target="https://www.lego.com/en-sk/product/inquisitor-transport-scythe-75336" TargetMode="External"/><Relationship Id="rId63" Type="http://schemas.openxmlformats.org/officeDocument/2006/relationships/hyperlink" Target="https://allegro.sk/produkt/lego-star-wars-75335-bd-1-6b36f429-0f8a-4a47-89c8-a748935f819a?offerId=14358767934&amp;utm_feed=547ce2b2-2e28-4773-9707-58218068540e&amp;utm_source=google&amp;utm_medium=cpc&amp;utm_campaign=SK%3EKids%3EToys%3E3P%3EPLA&amp;ev_adgr=Kids_Toys_3P&amp;ev_campaign_id=22943047831&amp;gad_source=1&amp;gad_campaignid=22943047831&amp;gbraid=0AAAAAqKvbIhRCD8TxT-OnDRbgK4e-Vo77&amp;gclid=CjwKCAjwobnGBhBNEiwAu2mpFB2IOaCnStGWNSz2DodvaFzoe0KG9WxpJsl6ZHEFBcM-cHV8EAvv5RoCF5QQAvD_BwE" TargetMode="External"/><Relationship Id="rId66" Type="http://schemas.openxmlformats.org/officeDocument/2006/relationships/hyperlink" Target="https://www.lego.com/en-sk/product/x-wing-starfighter-75355" TargetMode="External"/><Relationship Id="rId65" Type="http://schemas.openxmlformats.org/officeDocument/2006/relationships/hyperlink" Target="https://www.lego.com/en-sk/product/at-te-walker-75337" TargetMode="External"/><Relationship Id="rId68" Type="http://schemas.openxmlformats.org/officeDocument/2006/relationships/hyperlink" Target="https://www.lego.com/sk-sk/product/yodas-jedi-starfighter-75360" TargetMode="External"/><Relationship Id="rId67" Type="http://schemas.openxmlformats.org/officeDocument/2006/relationships/hyperlink" Target="https://www.lego.com/sk-sk/product/executor-super-star-destroyer-75356" TargetMode="External"/><Relationship Id="rId60" Type="http://schemas.openxmlformats.org/officeDocument/2006/relationships/hyperlink" Target="https://www.lego.com/en-us/product/at-at-75313" TargetMode="External"/><Relationship Id="rId69" Type="http://schemas.openxmlformats.org/officeDocument/2006/relationships/hyperlink" Target="https://www.lego.com/sk-sk/product/ahsoka-tano-s-t-6-jedi-shuttle-75362" TargetMode="External"/><Relationship Id="rId51" Type="http://schemas.openxmlformats.org/officeDocument/2006/relationships/hyperlink" Target="https://allegro.sk/produkt/lego-star-wars-75187-bb-8-3dcd0c13-7934-4b60-b062-b58a576d3ec1?offerId=15746725021&amp;utm_feed=547ce2b2-2e28-4773-9707-58218068540e&amp;utm_source=google&amp;utm_medium=cpc&amp;utm_campaign=SK%3EKids%3EToys%3E3P%3EPLA&amp;ev_adgr=Kids_Toys_3P&amp;ev_campaign_id=22943047831&amp;gad_source=1&amp;gad_campaignid=22943047831&amp;gbraid=0AAAAAqKvbIhRCD8TxT-OnDRbgK4e-Vo77&amp;gclid=CjwKCAjwobnGBhBNEiwAu2mpFCGlH3LlHGo0pQ0eeuk7s03o-7HmO0jk2x22H3pdOmfS6tSB7-eGBRoC0fQQAvD_BwE" TargetMode="External"/><Relationship Id="rId50" Type="http://schemas.openxmlformats.org/officeDocument/2006/relationships/hyperlink" Target="https://www.lego.com/en-us/product/slave-i-75060" TargetMode="External"/><Relationship Id="rId53" Type="http://schemas.openxmlformats.org/officeDocument/2006/relationships/hyperlink" Target="https://www.lego.com/en-us/product/imperial-star-destroyer-75252" TargetMode="External"/><Relationship Id="rId52" Type="http://schemas.openxmlformats.org/officeDocument/2006/relationships/hyperlink" Target="https://www.lego.com/en-us/product/millennium-falcon-75192" TargetMode="External"/><Relationship Id="rId55" Type="http://schemas.openxmlformats.org/officeDocument/2006/relationships/hyperlink" Target="https://www.lego.com/sk-sk/product/imperial-shuttle-75302" TargetMode="External"/><Relationship Id="rId54" Type="http://schemas.openxmlformats.org/officeDocument/2006/relationships/hyperlink" Target="https://www.lego.com/sk-sk/product/d-o-75278" TargetMode="External"/><Relationship Id="rId57" Type="http://schemas.openxmlformats.org/officeDocument/2006/relationships/hyperlink" Target="https://www.lego.com/en-us/product/republic-gunship-75309" TargetMode="External"/><Relationship Id="rId56" Type="http://schemas.openxmlformats.org/officeDocument/2006/relationships/hyperlink" Target="https://www.lego.com/en-sk/product/r2-d2-75308" TargetMode="External"/><Relationship Id="rId59" Type="http://schemas.openxmlformats.org/officeDocument/2006/relationships/hyperlink" Target="https://www.lego.com/sk-sk/product/boba-fett-s-starship-75312" TargetMode="External"/><Relationship Id="rId58" Type="http://schemas.openxmlformats.org/officeDocument/2006/relationships/hyperlink" Target="https://www.lego.com/sk-sk/product/duel-on-mandalore-75310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brickset.com/minifigs/hp316/harry-potter-sand-blue-jacket-dark-tan-short-legs-grin-scared" TargetMode="External"/><Relationship Id="rId190" Type="http://schemas.openxmlformats.org/officeDocument/2006/relationships/hyperlink" Target="https://brickset.com/minifigs/sw1302" TargetMode="External"/><Relationship Id="rId42" Type="http://schemas.openxmlformats.org/officeDocument/2006/relationships/hyperlink" Target="https://brickset.com/minifigs/hp599/death-eater-black-hood-black-arms" TargetMode="External"/><Relationship Id="rId41" Type="http://schemas.openxmlformats.org/officeDocument/2006/relationships/hyperlink" Target="https://brickset.com/minifigs/hp213/harry-potter-light-bluish-gray-hooded-sweatshirt" TargetMode="External"/><Relationship Id="rId44" Type="http://schemas.openxmlformats.org/officeDocument/2006/relationships/hyperlink" Target="https://brickset.com/minifigs/hp614/death-eater-black-hood-dark-bluish-gray-arms-large-open-mouth-squinting-eyes" TargetMode="External"/><Relationship Id="rId194" Type="http://schemas.openxmlformats.org/officeDocument/2006/relationships/hyperlink" Target="https://brickset.com/minifigs/sw0532/chewbacca-medium-nougat-fur" TargetMode="External"/><Relationship Id="rId43" Type="http://schemas.openxmlformats.org/officeDocument/2006/relationships/hyperlink" Target="https://brickset.com/minifigs/hp613/rubeus-hagrid-medium-nougat-topcoat-with-buttons-goggles" TargetMode="External"/><Relationship Id="rId193" Type="http://schemas.openxmlformats.org/officeDocument/2006/relationships/hyperlink" Target="https://brickset.com/minifigs/sw1201/c-3po-printed-legs-toes-and-arms" TargetMode="External"/><Relationship Id="rId46" Type="http://schemas.openxmlformats.org/officeDocument/2006/relationships/hyperlink" Target="https://brickset.com/minifigs/hp468/hermione-granger-gryffindor-robe-clasped-black-skirt-black-short-legs-with-dark-bluish-gray-stripes-open-mouth-scared-closed-mouth-grin" TargetMode="External"/><Relationship Id="rId192" Type="http://schemas.openxmlformats.org/officeDocument/2006/relationships/hyperlink" Target="https://brickset.com/minifigs/sw1202/astromech-droid-r2-d2-flat-silver-head-dark-pink-dots-large-receptor-back-printing" TargetMode="External"/><Relationship Id="rId45" Type="http://schemas.openxmlformats.org/officeDocument/2006/relationships/hyperlink" Target="https://brickset.com/minifigs/hp493/professor-severus-snape-dark-silver-vest" TargetMode="External"/><Relationship Id="rId191" Type="http://schemas.openxmlformats.org/officeDocument/2006/relationships/hyperlink" Target="https://brickset.com/minifigs/sw1280/astromech-droid-r2-bhd-light-bluish-gray-body" TargetMode="External"/><Relationship Id="rId48" Type="http://schemas.openxmlformats.org/officeDocument/2006/relationships/hyperlink" Target="https://brickset.com/minifigs/btf001" TargetMode="External"/><Relationship Id="rId187" Type="http://schemas.openxmlformats.org/officeDocument/2006/relationships/hyperlink" Target="https://brickset.com/minifigs/sw1300" TargetMode="External"/><Relationship Id="rId47" Type="http://schemas.openxmlformats.org/officeDocument/2006/relationships/hyperlink" Target="https://brickset.com/minifigs/btf002" TargetMode="External"/><Relationship Id="rId186" Type="http://schemas.openxmlformats.org/officeDocument/2006/relationships/hyperlink" Target="https://brickset.com/minifigs/sw1288/yoda-olive-green-open-robe-with-small-creases" TargetMode="External"/><Relationship Id="rId185" Type="http://schemas.openxmlformats.org/officeDocument/2006/relationships/hyperlink" Target="https://brickset.com/minifigs/sw1202/astromech-droid-r2-d2-flat-silver-head-dark-pink-dots-large-receptor-back-printing" TargetMode="External"/><Relationship Id="rId49" Type="http://schemas.openxmlformats.org/officeDocument/2006/relationships/hyperlink" Target="https://brickset.com/minifigs/dun004" TargetMode="External"/><Relationship Id="rId184" Type="http://schemas.openxmlformats.org/officeDocument/2006/relationships/hyperlink" Target="https://brickset.com/minifigs/sw1267" TargetMode="External"/><Relationship Id="rId189" Type="http://schemas.openxmlformats.org/officeDocument/2006/relationships/hyperlink" Target="https://brickset.com/minifigs/sw1299" TargetMode="External"/><Relationship Id="rId188" Type="http://schemas.openxmlformats.org/officeDocument/2006/relationships/hyperlink" Target="https://brickset.com/minifigs/sw1301" TargetMode="External"/><Relationship Id="rId31" Type="http://schemas.openxmlformats.org/officeDocument/2006/relationships/hyperlink" Target="https://brickset.com/minifigs/hp338" TargetMode="External"/><Relationship Id="rId30" Type="http://schemas.openxmlformats.org/officeDocument/2006/relationships/hyperlink" Target="https://brickset.com/minifigs/hp339" TargetMode="External"/><Relationship Id="rId33" Type="http://schemas.openxmlformats.org/officeDocument/2006/relationships/hyperlink" Target="https://brickset.com/minifigs/hp420" TargetMode="External"/><Relationship Id="rId183" Type="http://schemas.openxmlformats.org/officeDocument/2006/relationships/hyperlink" Target="https://brickset.com/minifigs/sw1202" TargetMode="External"/><Relationship Id="rId32" Type="http://schemas.openxmlformats.org/officeDocument/2006/relationships/hyperlink" Target="https://brickset.com/minifigs/hp420" TargetMode="External"/><Relationship Id="rId182" Type="http://schemas.openxmlformats.org/officeDocument/2006/relationships/hyperlink" Target="https://brickset.com/minifigs/sw1234" TargetMode="External"/><Relationship Id="rId35" Type="http://schemas.openxmlformats.org/officeDocument/2006/relationships/hyperlink" Target="https://brickset.com/search?query=HP419&amp;scope=All" TargetMode="External"/><Relationship Id="rId181" Type="http://schemas.openxmlformats.org/officeDocument/2006/relationships/hyperlink" Target="https://brickset.com/minifigs/sw1233" TargetMode="External"/><Relationship Id="rId34" Type="http://schemas.openxmlformats.org/officeDocument/2006/relationships/hyperlink" Target="https://brickset.com/search?query=HP419&amp;scope=All" TargetMode="External"/><Relationship Id="rId180" Type="http://schemas.openxmlformats.org/officeDocument/2006/relationships/hyperlink" Target="https://brickset.com/minifigs/sw0001C" TargetMode="External"/><Relationship Id="rId37" Type="http://schemas.openxmlformats.org/officeDocument/2006/relationships/hyperlink" Target="https://brickset.com/minifigs/hp421" TargetMode="External"/><Relationship Id="rId176" Type="http://schemas.openxmlformats.org/officeDocument/2006/relationships/hyperlink" Target="https://brickset.com/minifigs/sw1235" TargetMode="External"/><Relationship Id="rId297" Type="http://schemas.openxmlformats.org/officeDocument/2006/relationships/hyperlink" Target="https://brickset.com/minifigs/sw1407/boba-fett-young-bright-light-blue-shirt" TargetMode="External"/><Relationship Id="rId36" Type="http://schemas.openxmlformats.org/officeDocument/2006/relationships/hyperlink" Target="https://brickset.com/minifigs/hp464" TargetMode="External"/><Relationship Id="rId175" Type="http://schemas.openxmlformats.org/officeDocument/2006/relationships/hyperlink" Target="https://brickset.com/minifigs/sw1235" TargetMode="External"/><Relationship Id="rId296" Type="http://schemas.openxmlformats.org/officeDocument/2006/relationships/hyperlink" Target="https://brickset.com/minifigs/sw1400" TargetMode="External"/><Relationship Id="rId39" Type="http://schemas.openxmlformats.org/officeDocument/2006/relationships/hyperlink" Target="https://brickset.com/minifigs/hp550/ron-weasley-olive-green-jacket-blue-jumper" TargetMode="External"/><Relationship Id="rId174" Type="http://schemas.openxmlformats.org/officeDocument/2006/relationships/hyperlink" Target="https://brickset.com/minifigs/sw1236" TargetMode="External"/><Relationship Id="rId295" Type="http://schemas.openxmlformats.org/officeDocument/2006/relationships/hyperlink" Target="https://brickset.com/minifigs/sw1399" TargetMode="External"/><Relationship Id="rId38" Type="http://schemas.openxmlformats.org/officeDocument/2006/relationships/hyperlink" Target="https://brickset.com/minifigs/hp482" TargetMode="External"/><Relationship Id="rId173" Type="http://schemas.openxmlformats.org/officeDocument/2006/relationships/hyperlink" Target="https://brickset.com/minifigs/sw1237" TargetMode="External"/><Relationship Id="rId294" Type="http://schemas.openxmlformats.org/officeDocument/2006/relationships/hyperlink" Target="https://brickset.com/minifigs/sw1401" TargetMode="External"/><Relationship Id="rId179" Type="http://schemas.openxmlformats.org/officeDocument/2006/relationships/hyperlink" Target="https://brickset.com/minifigs/sw0001C" TargetMode="External"/><Relationship Id="rId178" Type="http://schemas.openxmlformats.org/officeDocument/2006/relationships/hyperlink" Target="https://brickset.com/minifigs/sw0001C" TargetMode="External"/><Relationship Id="rId299" Type="http://schemas.openxmlformats.org/officeDocument/2006/relationships/hyperlink" Target="https://brickset.com/minifigs/sw1308/astromech-droid-c1-10p-(chopper)-white-body" TargetMode="External"/><Relationship Id="rId177" Type="http://schemas.openxmlformats.org/officeDocument/2006/relationships/hyperlink" Target="https://brickset.com/minifigs/sw1235" TargetMode="External"/><Relationship Id="rId298" Type="http://schemas.openxmlformats.org/officeDocument/2006/relationships/hyperlink" Target="https://brickset.com/minifigs/sw1406/jango-fett-printed-arms" TargetMode="External"/><Relationship Id="rId20" Type="http://schemas.openxmlformats.org/officeDocument/2006/relationships/hyperlink" Target="https://brickset.com/minifigs/hp418" TargetMode="External"/><Relationship Id="rId22" Type="http://schemas.openxmlformats.org/officeDocument/2006/relationships/hyperlink" Target="https://brickset.com/minifigs/hp237" TargetMode="External"/><Relationship Id="rId21" Type="http://schemas.openxmlformats.org/officeDocument/2006/relationships/hyperlink" Target="https://brickset.com/minifigs/hp254" TargetMode="External"/><Relationship Id="rId24" Type="http://schemas.openxmlformats.org/officeDocument/2006/relationships/hyperlink" Target="https://brickset.com/minifigs/hp336" TargetMode="External"/><Relationship Id="rId23" Type="http://schemas.openxmlformats.org/officeDocument/2006/relationships/hyperlink" Target="https://brickset.com/minifigs/hp341" TargetMode="External"/><Relationship Id="rId26" Type="http://schemas.openxmlformats.org/officeDocument/2006/relationships/hyperlink" Target="https://brickset.com/minifigs/hp335" TargetMode="External"/><Relationship Id="rId25" Type="http://schemas.openxmlformats.org/officeDocument/2006/relationships/hyperlink" Target="https://brickset.com/minifigs/hp337" TargetMode="External"/><Relationship Id="rId28" Type="http://schemas.openxmlformats.org/officeDocument/2006/relationships/hyperlink" Target="https://brickset.com/minifigs/hp342" TargetMode="External"/><Relationship Id="rId27" Type="http://schemas.openxmlformats.org/officeDocument/2006/relationships/hyperlink" Target="https://brickset.com/minifigs/hp340" TargetMode="External"/><Relationship Id="rId29" Type="http://schemas.openxmlformats.org/officeDocument/2006/relationships/hyperlink" Target="https://brickset.com/minifigs/hp343" TargetMode="External"/><Relationship Id="rId11" Type="http://schemas.openxmlformats.org/officeDocument/2006/relationships/hyperlink" Target="https://brickset.com/minifigs/gen107/hans-christian-andersen" TargetMode="External"/><Relationship Id="rId10" Type="http://schemas.openxmlformats.org/officeDocument/2006/relationships/hyperlink" Target="https://brickset.com/minifigs/sh0986" TargetMode="External"/><Relationship Id="rId13" Type="http://schemas.openxmlformats.org/officeDocument/2006/relationships/hyperlink" Target="https://brickset.com/minifigs/hol211/ebenezer-scrooge" TargetMode="External"/><Relationship Id="rId12" Type="http://schemas.openxmlformats.org/officeDocument/2006/relationships/hyperlink" Target="https://brickset.com/minifigs/gen108/child-boy-dark-azure-hoodie-dark-blue-short-legs-dark-orange-tousled-hair-freckles-smile-with-teeth" TargetMode="External"/><Relationship Id="rId15" Type="http://schemas.openxmlformats.org/officeDocument/2006/relationships/hyperlink" Target="https://brickset.com/minifigs/hol212/tiny-tim" TargetMode="External"/><Relationship Id="rId198" Type="http://schemas.openxmlformats.org/officeDocument/2006/relationships/hyperlink" Target="https://brickset.com/minifigs/sw1281/rebel-pilot-garven-dreis-(red-leader)" TargetMode="External"/><Relationship Id="rId14" Type="http://schemas.openxmlformats.org/officeDocument/2006/relationships/hyperlink" Target="https://brickset.com/minifigs/hol213/bob-cratchit" TargetMode="External"/><Relationship Id="rId197" Type="http://schemas.openxmlformats.org/officeDocument/2006/relationships/hyperlink" Target="https://brickset.com/minifigs/sw1283/luke-skywalker-celebration-bright-light-yellow-jacket" TargetMode="External"/><Relationship Id="rId17" Type="http://schemas.openxmlformats.org/officeDocument/2006/relationships/hyperlink" Target="https://brickset.com/minifigs/sp141" TargetMode="External"/><Relationship Id="rId196" Type="http://schemas.openxmlformats.org/officeDocument/2006/relationships/hyperlink" Target="https://brickset.com/minifigs/sw1284/han-solo-celebration-wavy-hair" TargetMode="External"/><Relationship Id="rId16" Type="http://schemas.openxmlformats.org/officeDocument/2006/relationships/hyperlink" Target="https://brickset.com/minifigs/gen183" TargetMode="External"/><Relationship Id="rId195" Type="http://schemas.openxmlformats.org/officeDocument/2006/relationships/hyperlink" Target="https://brickset.com/minifigs/sw1140/general-jan-dodonna" TargetMode="External"/><Relationship Id="rId19" Type="http://schemas.openxmlformats.org/officeDocument/2006/relationships/hyperlink" Target="https://brickset.com/minifigs/gen194/jane-austen" TargetMode="External"/><Relationship Id="rId18" Type="http://schemas.openxmlformats.org/officeDocument/2006/relationships/hyperlink" Target="https://brickset.com/minifigs/sp140/classic-space-little-blue" TargetMode="External"/><Relationship Id="rId199" Type="http://schemas.openxmlformats.org/officeDocument/2006/relationships/hyperlink" Target="https://brickset.com/minifigs/sw1279/rebel-pilot-y-wing-(jon-dutch-vander-gold-leader)-printed-legs" TargetMode="External"/><Relationship Id="rId84" Type="http://schemas.openxmlformats.org/officeDocument/2006/relationships/hyperlink" Target="https://brickset.com/minifigs/trek010/ensign-ro-laren" TargetMode="External"/><Relationship Id="rId83" Type="http://schemas.openxmlformats.org/officeDocument/2006/relationships/hyperlink" Target="https://brickset.com/minifigs/twn542/michael-schumacher" TargetMode="External"/><Relationship Id="rId86" Type="http://schemas.openxmlformats.org/officeDocument/2006/relationships/hyperlink" Target="https://brickset.com/minifigs/sh0743" TargetMode="External"/><Relationship Id="rId85" Type="http://schemas.openxmlformats.org/officeDocument/2006/relationships/hyperlink" Target="https://brickset.com/minifigs/sh0744" TargetMode="External"/><Relationship Id="rId88" Type="http://schemas.openxmlformats.org/officeDocument/2006/relationships/hyperlink" Target="https://brickset.com/minifigs/sh0742" TargetMode="External"/><Relationship Id="rId150" Type="http://schemas.openxmlformats.org/officeDocument/2006/relationships/hyperlink" Target="https://brickset.com/minifigs/sw1155" TargetMode="External"/><Relationship Id="rId271" Type="http://schemas.openxmlformats.org/officeDocument/2006/relationships/hyperlink" Target="https://brickset.com/minifigs/sw1372" TargetMode="External"/><Relationship Id="rId87" Type="http://schemas.openxmlformats.org/officeDocument/2006/relationships/hyperlink" Target="https://brickset.com/minifigs/sh0745" TargetMode="External"/><Relationship Id="rId270" Type="http://schemas.openxmlformats.org/officeDocument/2006/relationships/hyperlink" Target="https://brickset.com/minifigs/sw1370" TargetMode="External"/><Relationship Id="rId89" Type="http://schemas.openxmlformats.org/officeDocument/2006/relationships/hyperlink" Target="https://brickset.com/minifigs/sh0734" TargetMode="External"/><Relationship Id="rId80" Type="http://schemas.openxmlformats.org/officeDocument/2006/relationships/hyperlink" Target="https://brickset.com/minifigs/poc048/anamaria" TargetMode="External"/><Relationship Id="rId82" Type="http://schemas.openxmlformats.org/officeDocument/2006/relationships/hyperlink" Target="https://brickset.com/minifigs/lor153/gandalf-the-grey-hair-robe" TargetMode="External"/><Relationship Id="rId81" Type="http://schemas.openxmlformats.org/officeDocument/2006/relationships/hyperlink" Target="https://brickset.com/minifigs/poc047/cotton" TargetMode="External"/><Relationship Id="rId1" Type="http://schemas.openxmlformats.org/officeDocument/2006/relationships/hyperlink" Target="https://brickset.com/minifigs/category-Star-Wars" TargetMode="External"/><Relationship Id="rId2" Type="http://schemas.openxmlformats.org/officeDocument/2006/relationships/hyperlink" Target="https://brickset.com/minifigs/sh0608" TargetMode="External"/><Relationship Id="rId3" Type="http://schemas.openxmlformats.org/officeDocument/2006/relationships/hyperlink" Target="https://brickset.com/minifigs/sh0607" TargetMode="External"/><Relationship Id="rId149" Type="http://schemas.openxmlformats.org/officeDocument/2006/relationships/hyperlink" Target="https://brickset.com/minifigs/sw1096" TargetMode="External"/><Relationship Id="rId4" Type="http://schemas.openxmlformats.org/officeDocument/2006/relationships/hyperlink" Target="https://brickset.com/minifigs/sh0609" TargetMode="External"/><Relationship Id="rId148" Type="http://schemas.openxmlformats.org/officeDocument/2006/relationships/hyperlink" Target="https://brickset.com/minifigs/sw1165" TargetMode="External"/><Relationship Id="rId269" Type="http://schemas.openxmlformats.org/officeDocument/2006/relationships/hyperlink" Target="https://brickset.com/minifigs/sw1369" TargetMode="External"/><Relationship Id="rId9" Type="http://schemas.openxmlformats.org/officeDocument/2006/relationships/hyperlink" Target="https://brickset.com/minifigs/sh0791" TargetMode="External"/><Relationship Id="rId143" Type="http://schemas.openxmlformats.org/officeDocument/2006/relationships/hyperlink" Target="https://brickset.com/minifigs/sw1141" TargetMode="External"/><Relationship Id="rId264" Type="http://schemas.openxmlformats.org/officeDocument/2006/relationships/hyperlink" Target="https://brickset.com/minifigs/sw1375" TargetMode="External"/><Relationship Id="rId142" Type="http://schemas.openxmlformats.org/officeDocument/2006/relationships/hyperlink" Target="https://brickset.com/minifigs/sw1051/d-o" TargetMode="External"/><Relationship Id="rId263" Type="http://schemas.openxmlformats.org/officeDocument/2006/relationships/hyperlink" Target="https://brickset.com/minifigs/sw1376" TargetMode="External"/><Relationship Id="rId141" Type="http://schemas.openxmlformats.org/officeDocument/2006/relationships/hyperlink" Target="https://brickset.com/minifigs/sw1043" TargetMode="External"/><Relationship Id="rId262" Type="http://schemas.openxmlformats.org/officeDocument/2006/relationships/hyperlink" Target="https://brickset.com/minifigs/sw1373" TargetMode="External"/><Relationship Id="rId140" Type="http://schemas.openxmlformats.org/officeDocument/2006/relationships/hyperlink" Target="https://brickset.com/minifigs/sw1044" TargetMode="External"/><Relationship Id="rId261" Type="http://schemas.openxmlformats.org/officeDocument/2006/relationships/hyperlink" Target="https://brickset.com/minifigs/sw1273" TargetMode="External"/><Relationship Id="rId5" Type="http://schemas.openxmlformats.org/officeDocument/2006/relationships/hyperlink" Target="https://brickset.com/minifigs/sh0607" TargetMode="External"/><Relationship Id="rId147" Type="http://schemas.openxmlformats.org/officeDocument/2006/relationships/hyperlink" Target="https://brickset.com/minifigs/sw1146" TargetMode="External"/><Relationship Id="rId268" Type="http://schemas.openxmlformats.org/officeDocument/2006/relationships/hyperlink" Target="https://brickset.com/minifigs/sw1371" TargetMode="External"/><Relationship Id="rId6" Type="http://schemas.openxmlformats.org/officeDocument/2006/relationships/hyperlink" Target="https://brickset.com/minifigs/sh0671" TargetMode="External"/><Relationship Id="rId146" Type="http://schemas.openxmlformats.org/officeDocument/2006/relationships/hyperlink" Target="https://brickset.com/minifigs/sw1085" TargetMode="External"/><Relationship Id="rId267" Type="http://schemas.openxmlformats.org/officeDocument/2006/relationships/hyperlink" Target="https://brickset.com/minifigs/sw0532" TargetMode="External"/><Relationship Id="rId7" Type="http://schemas.openxmlformats.org/officeDocument/2006/relationships/hyperlink" Target="https://brickset.com/minifigs/sh0672" TargetMode="External"/><Relationship Id="rId145" Type="http://schemas.openxmlformats.org/officeDocument/2006/relationships/hyperlink" Target="https://brickset.com/minifigs/sw0635" TargetMode="External"/><Relationship Id="rId266" Type="http://schemas.openxmlformats.org/officeDocument/2006/relationships/hyperlink" Target="https://brickset.com/minifigs/sw127" TargetMode="External"/><Relationship Id="rId8" Type="http://schemas.openxmlformats.org/officeDocument/2006/relationships/hyperlink" Target="https://brickset.com/minifigs/sh0792" TargetMode="External"/><Relationship Id="rId144" Type="http://schemas.openxmlformats.org/officeDocument/2006/relationships/hyperlink" Target="https://brickset.com/minifigs/sw1142" TargetMode="External"/><Relationship Id="rId265" Type="http://schemas.openxmlformats.org/officeDocument/2006/relationships/hyperlink" Target="https://brickset.com/minifigs/sw1326" TargetMode="External"/><Relationship Id="rId73" Type="http://schemas.openxmlformats.org/officeDocument/2006/relationships/hyperlink" Target="https://brickset.com/minifigs/poc051/hector-barbossa-pearl-dark-gray-coat" TargetMode="External"/><Relationship Id="rId72" Type="http://schemas.openxmlformats.org/officeDocument/2006/relationships/hyperlink" Target="https://brickset.com/minifigs/twn518/leonardo-da-vinci" TargetMode="External"/><Relationship Id="rId75" Type="http://schemas.openxmlformats.org/officeDocument/2006/relationships/hyperlink" Target="https://brickset.com/minifigs/poc050/elizabeth-swann-tan-dress" TargetMode="External"/><Relationship Id="rId74" Type="http://schemas.openxmlformats.org/officeDocument/2006/relationships/hyperlink" Target="https://brickset.com/minifigs/poc044/captain-jack-sparrow-white-shirt-dark-blue-plain-vest-dark-brown-boots-tricorne" TargetMode="External"/><Relationship Id="rId77" Type="http://schemas.openxmlformats.org/officeDocument/2006/relationships/hyperlink" Target="https://brickset.com/minifigs/poc052/black-pearl-figurehead" TargetMode="External"/><Relationship Id="rId260" Type="http://schemas.openxmlformats.org/officeDocument/2006/relationships/hyperlink" Target="https://brickset.com/minifigs/sw1374" TargetMode="External"/><Relationship Id="rId76" Type="http://schemas.openxmlformats.org/officeDocument/2006/relationships/hyperlink" Target="https://brickset.com/minifigs/poc045/will-turner-reddish-brown-vest" TargetMode="External"/><Relationship Id="rId79" Type="http://schemas.openxmlformats.org/officeDocument/2006/relationships/hyperlink" Target="https://brickset.com/minifigs/poc049/marty" TargetMode="External"/><Relationship Id="rId78" Type="http://schemas.openxmlformats.org/officeDocument/2006/relationships/hyperlink" Target="https://brickset.com/minifigs/poc046/joshamee-gibbs-sand-blue-vest" TargetMode="External"/><Relationship Id="rId71" Type="http://schemas.openxmlformats.org/officeDocument/2006/relationships/hyperlink" Target="https://brickset.com/minifigs/trek002/wesley-crusher" TargetMode="External"/><Relationship Id="rId70" Type="http://schemas.openxmlformats.org/officeDocument/2006/relationships/hyperlink" Target="https://brickset.com/minifigs/trek009/guinan" TargetMode="External"/><Relationship Id="rId139" Type="http://schemas.openxmlformats.org/officeDocument/2006/relationships/hyperlink" Target="https://brickset.com/minifigs/sw0677" TargetMode="External"/><Relationship Id="rId138" Type="http://schemas.openxmlformats.org/officeDocument/2006/relationships/hyperlink" Target="https://brickset.com/minifigs/sw0878" TargetMode="External"/><Relationship Id="rId259" Type="http://schemas.openxmlformats.org/officeDocument/2006/relationships/hyperlink" Target="https://brickset.com/minifigs/sw1377" TargetMode="External"/><Relationship Id="rId137" Type="http://schemas.openxmlformats.org/officeDocument/2006/relationships/hyperlink" Target="https://brickset.com/minifigs/sw0841" TargetMode="External"/><Relationship Id="rId258" Type="http://schemas.openxmlformats.org/officeDocument/2006/relationships/hyperlink" Target="https://brickset.com/minifigs/sw1360/yesi-scala" TargetMode="External"/><Relationship Id="rId132" Type="http://schemas.openxmlformats.org/officeDocument/2006/relationships/hyperlink" Target="https://brickset.com/minifigs/sw0661" TargetMode="External"/><Relationship Id="rId253" Type="http://schemas.openxmlformats.org/officeDocument/2006/relationships/hyperlink" Target="https://brickset.com/minifigs/sw1348/princess-leia-young" TargetMode="External"/><Relationship Id="rId131" Type="http://schemas.openxmlformats.org/officeDocument/2006/relationships/hyperlink" Target="https://brickset.com/minifigs/sw0661" TargetMode="External"/><Relationship Id="rId252" Type="http://schemas.openxmlformats.org/officeDocument/2006/relationships/hyperlink" Target="https://brickset.com/minifigs/sw1394/l0-la59-droid-(lola)" TargetMode="External"/><Relationship Id="rId130" Type="http://schemas.openxmlformats.org/officeDocument/2006/relationships/hyperlink" Target="https://brickset.com/minifigs/sw0585" TargetMode="External"/><Relationship Id="rId251" Type="http://schemas.openxmlformats.org/officeDocument/2006/relationships/hyperlink" Target="https://brickset.com/minifigs/sw1315" TargetMode="External"/><Relationship Id="rId250" Type="http://schemas.openxmlformats.org/officeDocument/2006/relationships/hyperlink" Target="https://brickset.com/minifigs/sw1363" TargetMode="External"/><Relationship Id="rId136" Type="http://schemas.openxmlformats.org/officeDocument/2006/relationships/hyperlink" Target="https://brickset.com/minifigs/sw0879" TargetMode="External"/><Relationship Id="rId257" Type="http://schemas.openxmlformats.org/officeDocument/2006/relationships/hyperlink" Target="https://brickset.com/minifigs/sw1361/sig-greebling" TargetMode="External"/><Relationship Id="rId135" Type="http://schemas.openxmlformats.org/officeDocument/2006/relationships/hyperlink" Target="https://brickset.com/minifigs/sw0676" TargetMode="External"/><Relationship Id="rId256" Type="http://schemas.openxmlformats.org/officeDocument/2006/relationships/hyperlink" Target="https://brickset.com/minifigs/sw1359/rebel-pilot-helmet-with-black-rebel-alliance-symbols" TargetMode="External"/><Relationship Id="rId134" Type="http://schemas.openxmlformats.org/officeDocument/2006/relationships/hyperlink" Target="https://brickset.com/minifigs/sw0532" TargetMode="External"/><Relationship Id="rId255" Type="http://schemas.openxmlformats.org/officeDocument/2006/relationships/hyperlink" Target="https://brickset.com/minifigs/sw1260/imperial-tie-fighter-interceptor-pilot-female-nougat-head" TargetMode="External"/><Relationship Id="rId133" Type="http://schemas.openxmlformats.org/officeDocument/2006/relationships/hyperlink" Target="https://brickset.com/minifigs/sw0700" TargetMode="External"/><Relationship Id="rId254" Type="http://schemas.openxmlformats.org/officeDocument/2006/relationships/hyperlink" Target="https://brickset.com/minifigs/sw1362/astromech-droid-l3-go" TargetMode="External"/><Relationship Id="rId62" Type="http://schemas.openxmlformats.org/officeDocument/2006/relationships/hyperlink" Target="https://brickset.com/minifigs/twn519/nigel-mansell" TargetMode="External"/><Relationship Id="rId61" Type="http://schemas.openxmlformats.org/officeDocument/2006/relationships/hyperlink" Target="https://brickset.com/minifigs/twn524/sherlock-holmes" TargetMode="External"/><Relationship Id="rId64" Type="http://schemas.openxmlformats.org/officeDocument/2006/relationships/hyperlink" Target="https://brickset.com/minifigs/trek005" TargetMode="External"/><Relationship Id="rId63" Type="http://schemas.openxmlformats.org/officeDocument/2006/relationships/hyperlink" Target="https://brickset.com/minifigs/trek006/captain-jean-luc-picard" TargetMode="External"/><Relationship Id="rId66" Type="http://schemas.openxmlformats.org/officeDocument/2006/relationships/hyperlink" Target="https://brickset.com/minifigs/trek001/dr-beverly-crusher" TargetMode="External"/><Relationship Id="rId172" Type="http://schemas.openxmlformats.org/officeDocument/2006/relationships/hyperlink" Target="https://brickset.com/minifigs/sw1222" TargetMode="External"/><Relationship Id="rId293" Type="http://schemas.openxmlformats.org/officeDocument/2006/relationships/hyperlink" Target="https://brickset.com/minifigs/sw1402" TargetMode="External"/><Relationship Id="rId65" Type="http://schemas.openxmlformats.org/officeDocument/2006/relationships/hyperlink" Target="https://brickset.com/minifigs/trek008/lieutenant-worf" TargetMode="External"/><Relationship Id="rId171" Type="http://schemas.openxmlformats.org/officeDocument/2006/relationships/hyperlink" Target="https://brickset.com/minifigs/sw1223" TargetMode="External"/><Relationship Id="rId292" Type="http://schemas.openxmlformats.org/officeDocument/2006/relationships/hyperlink" Target="https://brickset.com/minifigs/sw1397" TargetMode="External"/><Relationship Id="rId68" Type="http://schemas.openxmlformats.org/officeDocument/2006/relationships/hyperlink" Target="https://brickset.com/minifigs/trek003/commander-william-riker" TargetMode="External"/><Relationship Id="rId170" Type="http://schemas.openxmlformats.org/officeDocument/2006/relationships/hyperlink" Target="https://brickset.com/minifigs/sw1224" TargetMode="External"/><Relationship Id="rId291" Type="http://schemas.openxmlformats.org/officeDocument/2006/relationships/hyperlink" Target="https://brickset.com/minifigs/sw1398" TargetMode="External"/><Relationship Id="rId67" Type="http://schemas.openxmlformats.org/officeDocument/2006/relationships/hyperlink" Target="https://brickset.com/minifigs/trek004/lieutenant-commander-geordi-la-forge" TargetMode="External"/><Relationship Id="rId290" Type="http://schemas.openxmlformats.org/officeDocument/2006/relationships/hyperlink" Target="https://brickset.com/minifigs/sw1396" TargetMode="External"/><Relationship Id="rId60" Type="http://schemas.openxmlformats.org/officeDocument/2006/relationships/hyperlink" Target="https://brickset.com/minifigs/twn523/paige" TargetMode="External"/><Relationship Id="rId165" Type="http://schemas.openxmlformats.org/officeDocument/2006/relationships/hyperlink" Target="https://brickset.com/minifigs/sw1243" TargetMode="External"/><Relationship Id="rId286" Type="http://schemas.openxmlformats.org/officeDocument/2006/relationships/hyperlink" Target="https://brickset.com/minifigs/sw1409/isb-tactical-agent" TargetMode="External"/><Relationship Id="rId69" Type="http://schemas.openxmlformats.org/officeDocument/2006/relationships/hyperlink" Target="https://brickset.com/minifigs/trek007/counsellor-deanna-troi" TargetMode="External"/><Relationship Id="rId164" Type="http://schemas.openxmlformats.org/officeDocument/2006/relationships/hyperlink" Target="https://brickset.com/minifigs/sw1242" TargetMode="External"/><Relationship Id="rId285" Type="http://schemas.openxmlformats.org/officeDocument/2006/relationships/hyperlink" Target="https://brickset.com/minifigs/sw1411/dedra-meero" TargetMode="External"/><Relationship Id="rId163" Type="http://schemas.openxmlformats.org/officeDocument/2006/relationships/hyperlink" Target="https://brickset.com/minifigs/sw1244" TargetMode="External"/><Relationship Id="rId284" Type="http://schemas.openxmlformats.org/officeDocument/2006/relationships/hyperlink" Target="https://brickset.com/minifigs/sw1410/cassian-andor-reddish-brown-vest" TargetMode="External"/><Relationship Id="rId162" Type="http://schemas.openxmlformats.org/officeDocument/2006/relationships/hyperlink" Target="https://brickset.com/minifigs/sw1113" TargetMode="External"/><Relationship Id="rId283" Type="http://schemas.openxmlformats.org/officeDocument/2006/relationships/hyperlink" Target="https://brickset.com/minifigs/sw1209" TargetMode="External"/><Relationship Id="rId169" Type="http://schemas.openxmlformats.org/officeDocument/2006/relationships/hyperlink" Target="https://brickset.com/minifigs/sw1213/bd-1-(6405239)" TargetMode="External"/><Relationship Id="rId168" Type="http://schemas.openxmlformats.org/officeDocument/2006/relationships/hyperlink" Target="https://brickset.com/minifigs/sw1216" TargetMode="External"/><Relationship Id="rId289" Type="http://schemas.openxmlformats.org/officeDocument/2006/relationships/hyperlink" Target="https://brickset.com/minifigs/sw1414/plo-koon-dark-brown-robe-tan-shirt-printed-legs" TargetMode="External"/><Relationship Id="rId167" Type="http://schemas.openxmlformats.org/officeDocument/2006/relationships/hyperlink" Target="https://brickset.com/minifigs/sw1221" TargetMode="External"/><Relationship Id="rId288" Type="http://schemas.openxmlformats.org/officeDocument/2006/relationships/hyperlink" Target="https://brickset.com/minifigs/sw1414/plo-koon-dark-brown-robe-tan-shirt-printed-legs" TargetMode="External"/><Relationship Id="rId166" Type="http://schemas.openxmlformats.org/officeDocument/2006/relationships/hyperlink" Target="https://brickset.com/minifigs/sw1220" TargetMode="External"/><Relationship Id="rId287" Type="http://schemas.openxmlformats.org/officeDocument/2006/relationships/hyperlink" Target="https://brickset.com/minifigs/sw1412/k-2so-droid-dark-silver-chest-panel" TargetMode="External"/><Relationship Id="rId51" Type="http://schemas.openxmlformats.org/officeDocument/2006/relationships/hyperlink" Target="https://brickset.com/minifigs/dun002" TargetMode="External"/><Relationship Id="rId50" Type="http://schemas.openxmlformats.org/officeDocument/2006/relationships/hyperlink" Target="https://brickset.com/minifigs/dun007" TargetMode="External"/><Relationship Id="rId53" Type="http://schemas.openxmlformats.org/officeDocument/2006/relationships/hyperlink" Target="https://brickset.com/minifigs/dun008" TargetMode="External"/><Relationship Id="rId52" Type="http://schemas.openxmlformats.org/officeDocument/2006/relationships/hyperlink" Target="https://brickset.com/minifigs/dun006" TargetMode="External"/><Relationship Id="rId55" Type="http://schemas.openxmlformats.org/officeDocument/2006/relationships/hyperlink" Target="https://brickset.com/minifigs/dun001" TargetMode="External"/><Relationship Id="rId161" Type="http://schemas.openxmlformats.org/officeDocument/2006/relationships/hyperlink" Target="https://brickset.com/minifigs/sw1177" TargetMode="External"/><Relationship Id="rId282" Type="http://schemas.openxmlformats.org/officeDocument/2006/relationships/hyperlink" Target="https://brickset.com/minifigs/sw1384" TargetMode="External"/><Relationship Id="rId54" Type="http://schemas.openxmlformats.org/officeDocument/2006/relationships/hyperlink" Target="https://brickset.com/minifigs/dun005" TargetMode="External"/><Relationship Id="rId160" Type="http://schemas.openxmlformats.org/officeDocument/2006/relationships/hyperlink" Target="https://brickset.com/minifigs/sw1179" TargetMode="External"/><Relationship Id="rId281" Type="http://schemas.openxmlformats.org/officeDocument/2006/relationships/hyperlink" Target="https://brickset.com/minifigs/sw1390" TargetMode="External"/><Relationship Id="rId57" Type="http://schemas.openxmlformats.org/officeDocument/2006/relationships/hyperlink" Target="https://brickset.com/minifigs/twn497" TargetMode="External"/><Relationship Id="rId280" Type="http://schemas.openxmlformats.org/officeDocument/2006/relationships/hyperlink" Target="https://brickset.com/minifigs/sw1387" TargetMode="External"/><Relationship Id="rId56" Type="http://schemas.openxmlformats.org/officeDocument/2006/relationships/hyperlink" Target="https://brickset.com/minifigs/dun003" TargetMode="External"/><Relationship Id="rId159" Type="http://schemas.openxmlformats.org/officeDocument/2006/relationships/hyperlink" Target="https://brickset.com/minifigs/sw1181" TargetMode="External"/><Relationship Id="rId59" Type="http://schemas.openxmlformats.org/officeDocument/2006/relationships/hyperlink" Target="https://brickset.com/minifigs/twn522/irene-adler" TargetMode="External"/><Relationship Id="rId154" Type="http://schemas.openxmlformats.org/officeDocument/2006/relationships/hyperlink" Target="https://brickset.com/minifigs/sw1104" TargetMode="External"/><Relationship Id="rId275" Type="http://schemas.openxmlformats.org/officeDocument/2006/relationships/hyperlink" Target="https://brickset.com/minifigs/sw1196" TargetMode="External"/><Relationship Id="rId58" Type="http://schemas.openxmlformats.org/officeDocument/2006/relationships/hyperlink" Target="https://brickset.com/minifigs/twn521/dr-watson" TargetMode="External"/><Relationship Id="rId153" Type="http://schemas.openxmlformats.org/officeDocument/2006/relationships/hyperlink" Target="https://brickset.com/minifigs/sw1176" TargetMode="External"/><Relationship Id="rId274" Type="http://schemas.openxmlformats.org/officeDocument/2006/relationships/hyperlink" Target="https://brickset.com/minifigs/sw1201" TargetMode="External"/><Relationship Id="rId152" Type="http://schemas.openxmlformats.org/officeDocument/2006/relationships/hyperlink" Target="https://brickset.com/minifigs/sw1135" TargetMode="External"/><Relationship Id="rId273" Type="http://schemas.openxmlformats.org/officeDocument/2006/relationships/hyperlink" Target="https://brickset.com/minifigs/sw1383" TargetMode="External"/><Relationship Id="rId151" Type="http://schemas.openxmlformats.org/officeDocument/2006/relationships/hyperlink" Target="https://brickset.com/minifigs/sw1158" TargetMode="External"/><Relationship Id="rId272" Type="http://schemas.openxmlformats.org/officeDocument/2006/relationships/hyperlink" Target="https://brickset.com/minifigs/sw1385" TargetMode="External"/><Relationship Id="rId158" Type="http://schemas.openxmlformats.org/officeDocument/2006/relationships/hyperlink" Target="https://brickset.com/minifigs/sw1180" TargetMode="External"/><Relationship Id="rId279" Type="http://schemas.openxmlformats.org/officeDocument/2006/relationships/hyperlink" Target="https://brickset.com/minifigs/sw1389" TargetMode="External"/><Relationship Id="rId157" Type="http://schemas.openxmlformats.org/officeDocument/2006/relationships/hyperlink" Target="https://brickset.com/minifigs/sw1178" TargetMode="External"/><Relationship Id="rId278" Type="http://schemas.openxmlformats.org/officeDocument/2006/relationships/hyperlink" Target="https://brickset.com/minifigs/sw0486" TargetMode="External"/><Relationship Id="rId156" Type="http://schemas.openxmlformats.org/officeDocument/2006/relationships/hyperlink" Target="https://brickset.com/minifigs/sw1139" TargetMode="External"/><Relationship Id="rId277" Type="http://schemas.openxmlformats.org/officeDocument/2006/relationships/hyperlink" Target="https://brickset.com/minifigs/sw1386" TargetMode="External"/><Relationship Id="rId155" Type="http://schemas.openxmlformats.org/officeDocument/2006/relationships/hyperlink" Target="https://brickset.com/minifigs/sw1175" TargetMode="External"/><Relationship Id="rId276" Type="http://schemas.openxmlformats.org/officeDocument/2006/relationships/hyperlink" Target="https://brickset.com/minifigs/sw1388" TargetMode="External"/><Relationship Id="rId107" Type="http://schemas.openxmlformats.org/officeDocument/2006/relationships/hyperlink" Target="https://brickset.com/minifigs/sc138/marty-mcfly-red-puffer-vest-over-sand-blue-jacket-blue-arms" TargetMode="External"/><Relationship Id="rId228" Type="http://schemas.openxmlformats.org/officeDocument/2006/relationships/hyperlink" Target="https://brickset.com/minifigs/sw1354" TargetMode="External"/><Relationship Id="rId349" Type="http://schemas.openxmlformats.org/officeDocument/2006/relationships/hyperlink" Target="https://brickset.com/minifigs/sw0001c/battle-droid-tan-angled-arm-and-straight-arm" TargetMode="External"/><Relationship Id="rId106" Type="http://schemas.openxmlformats.org/officeDocument/2006/relationships/hyperlink" Target="https://brickset.com/minifigs/sc140/sonny-hayes" TargetMode="External"/><Relationship Id="rId227" Type="http://schemas.openxmlformats.org/officeDocument/2006/relationships/hyperlink" Target="https://brickset.com/minifigs/sw1335" TargetMode="External"/><Relationship Id="rId348" Type="http://schemas.openxmlformats.org/officeDocument/2006/relationships/hyperlink" Target="https://brickset.com/minifigs/sw1428/aayla-secura-nougat-lips-(75435)" TargetMode="External"/><Relationship Id="rId105" Type="http://schemas.openxmlformats.org/officeDocument/2006/relationships/hyperlink" Target="https://brickset.com/minifigs/sc141/joshua-pearce" TargetMode="External"/><Relationship Id="rId226" Type="http://schemas.openxmlformats.org/officeDocument/2006/relationships/hyperlink" Target="https://brickset.com/minifigs/sw1334" TargetMode="External"/><Relationship Id="rId347" Type="http://schemas.openxmlformats.org/officeDocument/2006/relationships/hyperlink" Target="https://brickset.com/minifigs/sw1412/k-2so-droid-dark-silver-chest-panel" TargetMode="External"/><Relationship Id="rId104" Type="http://schemas.openxmlformats.org/officeDocument/2006/relationships/hyperlink" Target="https://brickset.com/minifigs/sh0936" TargetMode="External"/><Relationship Id="rId225" Type="http://schemas.openxmlformats.org/officeDocument/2006/relationships/hyperlink" Target="https://brickset.com/minifigs/sw1333" TargetMode="External"/><Relationship Id="rId346" Type="http://schemas.openxmlformats.org/officeDocument/2006/relationships/hyperlink" Target="https://brickset.com/minifigs/sw1434/lama-su-(75433)" TargetMode="External"/><Relationship Id="rId109" Type="http://schemas.openxmlformats.org/officeDocument/2006/relationships/hyperlink" Target="https://brickset.com/minifigs/sw0001C" TargetMode="External"/><Relationship Id="rId108" Type="http://schemas.openxmlformats.org/officeDocument/2006/relationships/hyperlink" Target="https://brickset.com/minifigs/sc139/doc-brown-long-hair-tool-belt" TargetMode="External"/><Relationship Id="rId229" Type="http://schemas.openxmlformats.org/officeDocument/2006/relationships/hyperlink" Target="https://brickset.com/minifigs/sw1355" TargetMode="External"/><Relationship Id="rId220" Type="http://schemas.openxmlformats.org/officeDocument/2006/relationships/hyperlink" Target="https://brickset.com/minifigs/sw1325" TargetMode="External"/><Relationship Id="rId341" Type="http://schemas.openxmlformats.org/officeDocument/2006/relationships/hyperlink" Target="https://brickset.com/minifigs/sw0001a/battle-droid-tan-angled-arms-1-x-2-plate-on-back" TargetMode="External"/><Relationship Id="rId340" Type="http://schemas.openxmlformats.org/officeDocument/2006/relationships/hyperlink" Target="https://brickset.com/minifigs/sw1466/astromech-droid-r3-t6" TargetMode="External"/><Relationship Id="rId103" Type="http://schemas.openxmlformats.org/officeDocument/2006/relationships/hyperlink" Target="https://brickset.com/minifigs/sh0978" TargetMode="External"/><Relationship Id="rId224" Type="http://schemas.openxmlformats.org/officeDocument/2006/relationships/hyperlink" Target="https://brickset.com/minifigs/sw1332" TargetMode="External"/><Relationship Id="rId345" Type="http://schemas.openxmlformats.org/officeDocument/2006/relationships/hyperlink" Target="https://brickset.com/minifigs/sw1433/jango-fett-nougat-head-plain-arms-(75433)" TargetMode="External"/><Relationship Id="rId102" Type="http://schemas.openxmlformats.org/officeDocument/2006/relationships/hyperlink" Target="https://brickset.com/minifigs/sh0975" TargetMode="External"/><Relationship Id="rId223" Type="http://schemas.openxmlformats.org/officeDocument/2006/relationships/hyperlink" Target="https://brickset.com/minifigs/sw1331" TargetMode="External"/><Relationship Id="rId344" Type="http://schemas.openxmlformats.org/officeDocument/2006/relationships/hyperlink" Target="https://brickset.com/minifigs/sw1424/obi-wan-kenobi-clone-wars-printed-arms-and-legs" TargetMode="External"/><Relationship Id="rId101" Type="http://schemas.openxmlformats.org/officeDocument/2006/relationships/hyperlink" Target="https://brickset.com/minifigs/sh0976" TargetMode="External"/><Relationship Id="rId222" Type="http://schemas.openxmlformats.org/officeDocument/2006/relationships/hyperlink" Target="https://brickset.com/minifigs/sw1339" TargetMode="External"/><Relationship Id="rId343" Type="http://schemas.openxmlformats.org/officeDocument/2006/relationships/hyperlink" Target="https://brickset.com/minifigs/sw1425/clone-trooper-pilot-(phase-1)-yellow-markings-nougat-head" TargetMode="External"/><Relationship Id="rId100" Type="http://schemas.openxmlformats.org/officeDocument/2006/relationships/hyperlink" Target="https://brickset.com/minifigs/sh0977" TargetMode="External"/><Relationship Id="rId221" Type="http://schemas.openxmlformats.org/officeDocument/2006/relationships/hyperlink" Target="https://brickset.com/minifigs/sw1340" TargetMode="External"/><Relationship Id="rId342" Type="http://schemas.openxmlformats.org/officeDocument/2006/relationships/hyperlink" Target="https://brickset.com/minifigs/sw1426/asajj-ventress-dark-purple-torso" TargetMode="External"/><Relationship Id="rId217" Type="http://schemas.openxmlformats.org/officeDocument/2006/relationships/hyperlink" Target="https://brickset.com/minifigs/sw1350/neel" TargetMode="External"/><Relationship Id="rId338" Type="http://schemas.openxmlformats.org/officeDocument/2006/relationships/hyperlink" Target="https://brickset.com/minifigs/sw1459/princess-leia-white-dress-detailed-belt-with-5-emblems" TargetMode="External"/><Relationship Id="rId216" Type="http://schemas.openxmlformats.org/officeDocument/2006/relationships/hyperlink" Target="https://brickset.com/minifigs/sw1352/kb" TargetMode="External"/><Relationship Id="rId337" Type="http://schemas.openxmlformats.org/officeDocument/2006/relationships/hyperlink" Target="https://brickset.com/minifigs/sw1467/obi-wan-kenobi-old-dark-brown-hood-and-spongy-cape" TargetMode="External"/><Relationship Id="rId215" Type="http://schemas.openxmlformats.org/officeDocument/2006/relationships/hyperlink" Target="https://brickset.com/minifigs/sw1353/jod" TargetMode="External"/><Relationship Id="rId336" Type="http://schemas.openxmlformats.org/officeDocument/2006/relationships/hyperlink" Target="https://brickset.com/minifigs/sw0156/mouse-droid-(mse-6-series-repair-droid)-black-dark-bluish-gray" TargetMode="External"/><Relationship Id="rId214" Type="http://schemas.openxmlformats.org/officeDocument/2006/relationships/hyperlink" Target="https://brickset.com/minifigs/sw1351/fern" TargetMode="External"/><Relationship Id="rId335" Type="http://schemas.openxmlformats.org/officeDocument/2006/relationships/hyperlink" Target="https://brickset.com/minifigs/sw1460/luke-skywalker-stormtrooper-outfit-printed-legs-dark-tan-hair-smile-with-crease-frown" TargetMode="External"/><Relationship Id="rId219" Type="http://schemas.openxmlformats.org/officeDocument/2006/relationships/hyperlink" Target="https://brickset.com/minifigs/sw1202" TargetMode="External"/><Relationship Id="rId218" Type="http://schemas.openxmlformats.org/officeDocument/2006/relationships/hyperlink" Target="https://brickset.com/minifigs/sw1349/wim" TargetMode="External"/><Relationship Id="rId339" Type="http://schemas.openxmlformats.org/officeDocument/2006/relationships/hyperlink" Target="https://brickset.com/minifigs/sw1202/astromech-droid-r2-d2-flat-silver-head-dark-pink-dots-large-receptor-back-printing" TargetMode="External"/><Relationship Id="rId330" Type="http://schemas.openxmlformats.org/officeDocument/2006/relationships/hyperlink" Target="https://brickset.com/minifigs/sw1463/imperial-stormtrooper-male-dual-molded-helmet-with-light-bluish-gray-panels-on-back-shoulder-belts-medium-tan-head" TargetMode="External"/><Relationship Id="rId213" Type="http://schemas.openxmlformats.org/officeDocument/2006/relationships/hyperlink" Target="https://brickset.com/minifigs/sw1321/super-battle-droid-pearl-dark-gray-narrow-head-chest-light-indent" TargetMode="External"/><Relationship Id="rId334" Type="http://schemas.openxmlformats.org/officeDocument/2006/relationships/hyperlink" Target="https://brickset.com/minifigs/sw1476/luke-skywalker-jedi-hair-with-side-part-smile-with-crease-frown" TargetMode="External"/><Relationship Id="rId212" Type="http://schemas.openxmlformats.org/officeDocument/2006/relationships/hyperlink" Target="https://brickset.com/minifigs/sw1321/super-battle-droid-pearl-dark-gray-narrow-head-chest-light-indent" TargetMode="External"/><Relationship Id="rId333" Type="http://schemas.openxmlformats.org/officeDocument/2006/relationships/hyperlink" Target="https://brickset.com/minifigs/sw1453/luke-skywalker-tatooine-dark-tan-hair" TargetMode="External"/><Relationship Id="rId211" Type="http://schemas.openxmlformats.org/officeDocument/2006/relationships/hyperlink" Target="https://brickset.com/minifigs/sw1321/super-battle-droid-pearl-dark-gray-narrow-head-chest-light-indent" TargetMode="External"/><Relationship Id="rId332" Type="http://schemas.openxmlformats.org/officeDocument/2006/relationships/hyperlink" Target="https://brickset.com/minifigs/sw1461/interrogation-droid-syringe-and-wand" TargetMode="External"/><Relationship Id="rId210" Type="http://schemas.openxmlformats.org/officeDocument/2006/relationships/hyperlink" Target="https://brickset.com/minifigs/sw1319/clone-trooper-(phase-2)-nougat-head" TargetMode="External"/><Relationship Id="rId331" Type="http://schemas.openxmlformats.org/officeDocument/2006/relationships/hyperlink" Target="https://brickset.com/minifigs/sw1454/imperial-stormtrooper-male-dual-molded-helmet-with-light-bluish-gray-panels-on-back-shoulder-belts-umber-head" TargetMode="External"/><Relationship Id="rId129" Type="http://schemas.openxmlformats.org/officeDocument/2006/relationships/hyperlink" Target="https://brickset.com/minifigs/sw0612" TargetMode="External"/><Relationship Id="rId128" Type="http://schemas.openxmlformats.org/officeDocument/2006/relationships/hyperlink" Target="https://brickset.com/minifigs/sw0610" TargetMode="External"/><Relationship Id="rId249" Type="http://schemas.openxmlformats.org/officeDocument/2006/relationships/hyperlink" Target="https://brickset.com/minifigs/sw1364" TargetMode="External"/><Relationship Id="rId127" Type="http://schemas.openxmlformats.org/officeDocument/2006/relationships/hyperlink" Target="https://brickset.com/minifigs/sw0611" TargetMode="External"/><Relationship Id="rId248" Type="http://schemas.openxmlformats.org/officeDocument/2006/relationships/hyperlink" Target="https://brickset.com/minifigs/sw1367" TargetMode="External"/><Relationship Id="rId369" Type="http://schemas.openxmlformats.org/officeDocument/2006/relationships/drawing" Target="../drawings/drawing2.xml"/><Relationship Id="rId126" Type="http://schemas.openxmlformats.org/officeDocument/2006/relationships/hyperlink" Target="https://brickset.com/minifigs/sw1483" TargetMode="External"/><Relationship Id="rId247" Type="http://schemas.openxmlformats.org/officeDocument/2006/relationships/hyperlink" Target="https://brickset.com/minifigs/sw1366" TargetMode="External"/><Relationship Id="rId368" Type="http://schemas.openxmlformats.org/officeDocument/2006/relationships/hyperlink" Target="https://brickset.com/minifigs/sw0661" TargetMode="External"/><Relationship Id="rId121" Type="http://schemas.openxmlformats.org/officeDocument/2006/relationships/hyperlink" Target="https://brickset.com/minifigs/sw1285/rebel-fleet-trooper-male-vest-with-pockets-black-neck-reddish-brown-eyebrows" TargetMode="External"/><Relationship Id="rId242" Type="http://schemas.openxmlformats.org/officeDocument/2006/relationships/hyperlink" Target="https://brickset.com/minifigs/sw1326" TargetMode="External"/><Relationship Id="rId363" Type="http://schemas.openxmlformats.org/officeDocument/2006/relationships/hyperlink" Target="https://brickset.com/minifigs/sw1489/cobb-vanth" TargetMode="External"/><Relationship Id="rId120" Type="http://schemas.openxmlformats.org/officeDocument/2006/relationships/hyperlink" Target="https://brickset.com/minifigs/sw1392/rebel-fleet-trooper-female-vest-with-pockets-black-neck" TargetMode="External"/><Relationship Id="rId241" Type="http://schemas.openxmlformats.org/officeDocument/2006/relationships/hyperlink" Target="https://brickset.com/minifigs/sw1327" TargetMode="External"/><Relationship Id="rId362" Type="http://schemas.openxmlformats.org/officeDocument/2006/relationships/hyperlink" Target="https://brickset.com/minifigs/sw1490/cad-bane-black-head" TargetMode="External"/><Relationship Id="rId240" Type="http://schemas.openxmlformats.org/officeDocument/2006/relationships/hyperlink" Target="https://brickset.com/minifigs/sw1249" TargetMode="External"/><Relationship Id="rId361" Type="http://schemas.openxmlformats.org/officeDocument/2006/relationships/hyperlink" Target="https://brickset.com/minifigs/sw1488/the-mandalorian-din-djarin-mando-silver-beskar-armor-cape-printed-head" TargetMode="External"/><Relationship Id="rId360" Type="http://schemas.openxmlformats.org/officeDocument/2006/relationships/hyperlink" Target="https://brickset.com/minifigs/sw1113/din-grogu-the-child-baby-yoda" TargetMode="External"/><Relationship Id="rId125" Type="http://schemas.openxmlformats.org/officeDocument/2006/relationships/hyperlink" Target="https://brickset.com/minifigs/sw1331" TargetMode="External"/><Relationship Id="rId246" Type="http://schemas.openxmlformats.org/officeDocument/2006/relationships/hyperlink" Target="https://brickset.com/minifigs/sw1368" TargetMode="External"/><Relationship Id="rId367" Type="http://schemas.openxmlformats.org/officeDocument/2006/relationships/hyperlink" Target="https://brickset.com/minifigs/sw1486/mandalorian-super-commando-printed-legs-male" TargetMode="External"/><Relationship Id="rId124" Type="http://schemas.openxmlformats.org/officeDocument/2006/relationships/hyperlink" Target="https://brickset.com/minifigs/sw1275/imperial-stormtrooper-female-dual-molded-helmet-with-light-bluish-gray-panels-on-back-shoulder-belts-nougat-head" TargetMode="External"/><Relationship Id="rId245" Type="http://schemas.openxmlformats.org/officeDocument/2006/relationships/hyperlink" Target="https://brickset.com/minifigs/sw1365" TargetMode="External"/><Relationship Id="rId366" Type="http://schemas.openxmlformats.org/officeDocument/2006/relationships/hyperlink" Target="https://brickset.com/minifigs/sw1487" TargetMode="External"/><Relationship Id="rId123" Type="http://schemas.openxmlformats.org/officeDocument/2006/relationships/hyperlink" Target="https://brickset.com/minifigs/sw1275/imperial-stormtrooper-female-dual-molded-helmet-with-light-bluish-gray-panels-on-back-shoulder-belts-nougat-head" TargetMode="External"/><Relationship Id="rId244" Type="http://schemas.openxmlformats.org/officeDocument/2006/relationships/hyperlink" Target="https://brickset.com/minifigs/sw1285" TargetMode="External"/><Relationship Id="rId365" Type="http://schemas.openxmlformats.org/officeDocument/2006/relationships/hyperlink" Target="https://brickset.com/minifigs/sw1278/clone-trooper-501st-legion-332nd-company-(phase-2)-helmet-with-holes-and-togruta-markings" TargetMode="External"/><Relationship Id="rId122" Type="http://schemas.openxmlformats.org/officeDocument/2006/relationships/hyperlink" Target="https://brickset.com/minifigs/sw1391/rebel-fleet-trooper-male-vest-with-pockets-black-neck-dark-brown-eyebrows" TargetMode="External"/><Relationship Id="rId243" Type="http://schemas.openxmlformats.org/officeDocument/2006/relationships/hyperlink" Target="https://brickset.com/minifigs/sw1285" TargetMode="External"/><Relationship Id="rId364" Type="http://schemas.openxmlformats.org/officeDocument/2006/relationships/hyperlink" Target="https://brickset.com/minifigs/sw1278/clone-trooper-501st-legion-332nd-company-(phase-2)-helmet-with-holes-and-togruta-markings" TargetMode="External"/><Relationship Id="rId95" Type="http://schemas.openxmlformats.org/officeDocument/2006/relationships/hyperlink" Target="https://brickset.com/minifigs/sh0830" TargetMode="External"/><Relationship Id="rId94" Type="http://schemas.openxmlformats.org/officeDocument/2006/relationships/hyperlink" Target="https://brickset.com/minifigs/sh0831" TargetMode="External"/><Relationship Id="rId97" Type="http://schemas.openxmlformats.org/officeDocument/2006/relationships/hyperlink" Target="https://brickset.com/minifigs/sh0827" TargetMode="External"/><Relationship Id="rId96" Type="http://schemas.openxmlformats.org/officeDocument/2006/relationships/hyperlink" Target="https://brickset.com/minifigs/sh0833" TargetMode="External"/><Relationship Id="rId99" Type="http://schemas.openxmlformats.org/officeDocument/2006/relationships/hyperlink" Target="https://brickset.com/minifigs/sh0826" TargetMode="External"/><Relationship Id="rId98" Type="http://schemas.openxmlformats.org/officeDocument/2006/relationships/hyperlink" Target="https://brickset.com/minifigs/sh0802" TargetMode="External"/><Relationship Id="rId91" Type="http://schemas.openxmlformats.org/officeDocument/2006/relationships/hyperlink" Target="https://brickset.com/minifigs/sh0832" TargetMode="External"/><Relationship Id="rId90" Type="http://schemas.openxmlformats.org/officeDocument/2006/relationships/hyperlink" Target="https://brickset.com/minifigs/sh0730" TargetMode="External"/><Relationship Id="rId93" Type="http://schemas.openxmlformats.org/officeDocument/2006/relationships/hyperlink" Target="https://brickset.com/minifigs/sh0828" TargetMode="External"/><Relationship Id="rId92" Type="http://schemas.openxmlformats.org/officeDocument/2006/relationships/hyperlink" Target="https://brickset.com/minifigs/sh0829" TargetMode="External"/><Relationship Id="rId118" Type="http://schemas.openxmlformats.org/officeDocument/2006/relationships/hyperlink" Target="https://brickset.com/minifigs/sw1275/imperial-stormtrooper-female-dual-molded-helmet-with-light-bluish-gray-panels-on-back-shoulder-belts-nougat-head" TargetMode="External"/><Relationship Id="rId239" Type="http://schemas.openxmlformats.org/officeDocument/2006/relationships/hyperlink" Target="https://brickset.com/minifigs/sw1249" TargetMode="External"/><Relationship Id="rId117" Type="http://schemas.openxmlformats.org/officeDocument/2006/relationships/hyperlink" Target="https://brickset.com/minifigs/sw1393/astromech-droid-qt-kt" TargetMode="External"/><Relationship Id="rId238" Type="http://schemas.openxmlformats.org/officeDocument/2006/relationships/hyperlink" Target="https://brickset.com/minifigs/sw1329" TargetMode="External"/><Relationship Id="rId359" Type="http://schemas.openxmlformats.org/officeDocument/2006/relationships/hyperlink" Target="https://brickset.com/minifigs/sw1427/commando-droid-pearl-dark-gray-(75435)" TargetMode="External"/><Relationship Id="rId116" Type="http://schemas.openxmlformats.org/officeDocument/2006/relationships/hyperlink" Target="https://brickset.com/minifigs/sw1338" TargetMode="External"/><Relationship Id="rId237" Type="http://schemas.openxmlformats.org/officeDocument/2006/relationships/hyperlink" Target="https://brickset.com/minifigs/sw1328" TargetMode="External"/><Relationship Id="rId358" Type="http://schemas.openxmlformats.org/officeDocument/2006/relationships/hyperlink" Target="https://brickset.com/minifigs/sw1427/commando-droid-pearl-dark-gray-(75435)" TargetMode="External"/><Relationship Id="rId115" Type="http://schemas.openxmlformats.org/officeDocument/2006/relationships/hyperlink" Target="https://brickset.com/minifigs/sw1338" TargetMode="External"/><Relationship Id="rId236" Type="http://schemas.openxmlformats.org/officeDocument/2006/relationships/hyperlink" Target="https://brickset.com/minifigs/sw1341" TargetMode="External"/><Relationship Id="rId357" Type="http://schemas.openxmlformats.org/officeDocument/2006/relationships/hyperlink" Target="https://brickset.com/minifigs/sw1427/commando-droid-pearl-dark-gray-(75435)" TargetMode="External"/><Relationship Id="rId119" Type="http://schemas.openxmlformats.org/officeDocument/2006/relationships/hyperlink" Target="https://brickset.com/minifigs/sw1326/imperial-stormtrooper-female-dual-molded-helmet-with-light-bluish-gray-panels-on-back-shoulder-belts-medium-brown-head" TargetMode="External"/><Relationship Id="rId110" Type="http://schemas.openxmlformats.org/officeDocument/2006/relationships/hyperlink" Target="https://brickset.com/minifigs/sw0001C" TargetMode="External"/><Relationship Id="rId231" Type="http://schemas.openxmlformats.org/officeDocument/2006/relationships/hyperlink" Target="https://brickset.com/minifigs/sw1357" TargetMode="External"/><Relationship Id="rId352" Type="http://schemas.openxmlformats.org/officeDocument/2006/relationships/hyperlink" Target="https://brickset.com/minifigs/sw0001c/battle-droid-tan-angled-arm-and-straight-arm" TargetMode="External"/><Relationship Id="rId230" Type="http://schemas.openxmlformats.org/officeDocument/2006/relationships/hyperlink" Target="https://brickset.com/minifigs/sw1356" TargetMode="External"/><Relationship Id="rId351" Type="http://schemas.openxmlformats.org/officeDocument/2006/relationships/hyperlink" Target="https://brickset.com/minifigs/sw0001c/battle-droid-tan-angled-arm-and-straight-arm" TargetMode="External"/><Relationship Id="rId350" Type="http://schemas.openxmlformats.org/officeDocument/2006/relationships/hyperlink" Target="https://brickset.com/minifigs/sw0001c/battle-droid-tan-angled-arm-and-straight-arm" TargetMode="External"/><Relationship Id="rId114" Type="http://schemas.openxmlformats.org/officeDocument/2006/relationships/hyperlink" Target="https://brickset.com/minifigs/sw0001C" TargetMode="External"/><Relationship Id="rId235" Type="http://schemas.openxmlformats.org/officeDocument/2006/relationships/hyperlink" Target="https://brickset.com/minifigs/sw1342" TargetMode="External"/><Relationship Id="rId356" Type="http://schemas.openxmlformats.org/officeDocument/2006/relationships/hyperlink" Target="https://brickset.com/minifigs/sw1429/clone-trooper-commander-bly-(75435)" TargetMode="External"/><Relationship Id="rId113" Type="http://schemas.openxmlformats.org/officeDocument/2006/relationships/hyperlink" Target="https://brickset.com/minifigs/sw0001C" TargetMode="External"/><Relationship Id="rId234" Type="http://schemas.openxmlformats.org/officeDocument/2006/relationships/hyperlink" Target="https://brickset.com/minifigs/sw1343" TargetMode="External"/><Relationship Id="rId355" Type="http://schemas.openxmlformats.org/officeDocument/2006/relationships/hyperlink" Target="https://brickset.com/minifigs/sw1338/battle-droid-pilot-blue-torso-with-tan-insignia-and-chest-badge-angled-arm-and-straight-arm" TargetMode="External"/><Relationship Id="rId112" Type="http://schemas.openxmlformats.org/officeDocument/2006/relationships/hyperlink" Target="https://brickset.com/minifigs/sw0001C" TargetMode="External"/><Relationship Id="rId233" Type="http://schemas.openxmlformats.org/officeDocument/2006/relationships/hyperlink" Target="https://brickset.com/minifigs/sw1343" TargetMode="External"/><Relationship Id="rId354" Type="http://schemas.openxmlformats.org/officeDocument/2006/relationships/hyperlink" Target="https://brickset.com/minifigs/sw0001c/battle-droid-tan-angled-arm-and-straight-arm" TargetMode="External"/><Relationship Id="rId111" Type="http://schemas.openxmlformats.org/officeDocument/2006/relationships/hyperlink" Target="https://brickset.com/minifigs/sw0001C" TargetMode="External"/><Relationship Id="rId232" Type="http://schemas.openxmlformats.org/officeDocument/2006/relationships/hyperlink" Target="https://brickset.com/minifigs/sw1358" TargetMode="External"/><Relationship Id="rId353" Type="http://schemas.openxmlformats.org/officeDocument/2006/relationships/hyperlink" Target="https://brickset.com/minifigs/sw0001c/battle-droid-tan-angled-arm-and-straight-arm" TargetMode="External"/><Relationship Id="rId305" Type="http://schemas.openxmlformats.org/officeDocument/2006/relationships/hyperlink" Target="https://brickset.com/minifigs/sw0532/chewbacca-medium-nougat-fur" TargetMode="External"/><Relationship Id="rId304" Type="http://schemas.openxmlformats.org/officeDocument/2006/relationships/hyperlink" Target="https://brickset.com/minifigs/sw1201/c-3po-printed-legs-toes-and-arms-bright-light-yellow-eyes" TargetMode="External"/><Relationship Id="rId303" Type="http://schemas.openxmlformats.org/officeDocument/2006/relationships/hyperlink" Target="https://brickset.com/minifigs/sw1468/admiral-motti" TargetMode="External"/><Relationship Id="rId302" Type="http://schemas.openxmlformats.org/officeDocument/2006/relationships/hyperlink" Target="https://brickset.com/minifigs/sw1470/admiral-(colonel)-wullf-yularen-swept-back-hair" TargetMode="External"/><Relationship Id="rId309" Type="http://schemas.openxmlformats.org/officeDocument/2006/relationships/hyperlink" Target="https://brickset.com/minifigs/sw1481/galen-erso" TargetMode="External"/><Relationship Id="rId308" Type="http://schemas.openxmlformats.org/officeDocument/2006/relationships/hyperlink" Target="https://brickset.com/minifigs/sw1263/emperor-palpatine-spongy-cape-hood-basic-yellow-eyes" TargetMode="External"/><Relationship Id="rId307" Type="http://schemas.openxmlformats.org/officeDocument/2006/relationships/hyperlink" Target="https://brickset.com/minifigs/sw1482/director-orson-callan-krennic-belt-with-pouch" TargetMode="External"/><Relationship Id="rId306" Type="http://schemas.openxmlformats.org/officeDocument/2006/relationships/hyperlink" Target="https://brickset.com/minifigs/sw1249/darth-vader-printed-arms-spongy-cape-white-head-with-frown" TargetMode="External"/><Relationship Id="rId301" Type="http://schemas.openxmlformats.org/officeDocument/2006/relationships/hyperlink" Target="https://brickset.com/minifigs/sw1473/5d6-ra-7-protocol-droid" TargetMode="External"/><Relationship Id="rId300" Type="http://schemas.openxmlformats.org/officeDocument/2006/relationships/hyperlink" Target="https://brickset.com/minifigs/sw1420/imperial-at-st-driver-printed-arms-(75417)" TargetMode="External"/><Relationship Id="rId206" Type="http://schemas.openxmlformats.org/officeDocument/2006/relationships/hyperlink" Target="https://brickset.com/minifigs/sw0001d/battle-droid-tan-straight-arms" TargetMode="External"/><Relationship Id="rId327" Type="http://schemas.openxmlformats.org/officeDocument/2006/relationships/hyperlink" Target="https://brickset.com/minifigs/sw1456/imperial-stormtrooper-female-dual-molded-helmet-with-light-bluish-gray-panels-on-back-shoulder-belts-light-nougat-head" TargetMode="External"/><Relationship Id="rId205" Type="http://schemas.openxmlformats.org/officeDocument/2006/relationships/hyperlink" Target="https://brickset.com/minifigs/sw1320/battle-droid-tan-angled-arms-light-bluish-gray-clip-on-back" TargetMode="External"/><Relationship Id="rId326" Type="http://schemas.openxmlformats.org/officeDocument/2006/relationships/hyperlink" Target="https://brickset.com/minifigs/sw1464/imperial-stormtrooper-female-dual-molded-helmet-with-light-bluish-gray-panels-on-back-shoulder-belts-sienna-head" TargetMode="External"/><Relationship Id="rId204" Type="http://schemas.openxmlformats.org/officeDocument/2006/relationships/hyperlink" Target="https://brickset.com/minifigs/sw1315" TargetMode="External"/><Relationship Id="rId325" Type="http://schemas.openxmlformats.org/officeDocument/2006/relationships/hyperlink" Target="https://brickset.com/minifigs/sw1480/imperial-shuttle-pilot-medium-nougat-head" TargetMode="External"/><Relationship Id="rId203" Type="http://schemas.openxmlformats.org/officeDocument/2006/relationships/hyperlink" Target="https://brickset.com/minifigs/sw1316" TargetMode="External"/><Relationship Id="rId324" Type="http://schemas.openxmlformats.org/officeDocument/2006/relationships/hyperlink" Target="https://brickset.com/minifigs/sw1478/imperial-royal-guard-dark-red-arms-and-hands-torso-creases-on-front-and-back" TargetMode="External"/><Relationship Id="rId209" Type="http://schemas.openxmlformats.org/officeDocument/2006/relationships/hyperlink" Target="https://brickset.com/minifigs/sw1319/clone-trooper-(phase-2)-nougat-head" TargetMode="External"/><Relationship Id="rId208" Type="http://schemas.openxmlformats.org/officeDocument/2006/relationships/hyperlink" Target="https://brickset.com/minifigs/sw1319/clone-trooper-(phase-2)-nougat-head" TargetMode="External"/><Relationship Id="rId329" Type="http://schemas.openxmlformats.org/officeDocument/2006/relationships/hyperlink" Target="https://brickset.com/minifigs/sw1455/imperial-stormtrooper-male-dual-molded-helmet-with-light-bluish-gray-panels-on-back-shoulder-belts-medium-nougat-head" TargetMode="External"/><Relationship Id="rId207" Type="http://schemas.openxmlformats.org/officeDocument/2006/relationships/hyperlink" Target="https://brickset.com/minifigs/sw1305/clone-shock-trooper-coruscant-guard-(phase-2)-nougat-head" TargetMode="External"/><Relationship Id="rId328" Type="http://schemas.openxmlformats.org/officeDocument/2006/relationships/hyperlink" Target="https://brickset.com/minifigs/sw1326/imperial-stormtrooper-female-dual-molded-helmet-with-light-bluish-gray-panels-on-back-shoulder-belts-medium-brown-head" TargetMode="External"/><Relationship Id="rId202" Type="http://schemas.openxmlformats.org/officeDocument/2006/relationships/hyperlink" Target="https://brickset.com/minifigs/sw1285/rebel-fleet-trooper-male-vest-with-pockets-black-neck-reddish-brown-eyebrows" TargetMode="External"/><Relationship Id="rId323" Type="http://schemas.openxmlformats.org/officeDocument/2006/relationships/hyperlink" Target="https://brickset.com/minifigs/sw1478/imperial-royal-guard-dark-red-arms-and-hands-torso-creases-on-front-and-back" TargetMode="External"/><Relationship Id="rId201" Type="http://schemas.openxmlformats.org/officeDocument/2006/relationships/hyperlink" Target="https://brickset.com/minifigs/sw1286/rebel-crew-female" TargetMode="External"/><Relationship Id="rId322" Type="http://schemas.openxmlformats.org/officeDocument/2006/relationships/hyperlink" Target="https://brickset.com/minifigs/sw1375/imperial-navy-trooper-medium-tan-head" TargetMode="External"/><Relationship Id="rId200" Type="http://schemas.openxmlformats.org/officeDocument/2006/relationships/hyperlink" Target="https://brickset.com/minifigs/sw1282/princess-leia-celebration-outfit-skirt" TargetMode="External"/><Relationship Id="rId321" Type="http://schemas.openxmlformats.org/officeDocument/2006/relationships/hyperlink" Target="https://brickset.com/minifigs/sw1475/imperial-navy-trooper-reddish-brown-head" TargetMode="External"/><Relationship Id="rId320" Type="http://schemas.openxmlformats.org/officeDocument/2006/relationships/hyperlink" Target="https://brickset.com/minifigs/sw1465/imperial-navy-officer-black-cap-with-reddish-brown-hair" TargetMode="External"/><Relationship Id="rId316" Type="http://schemas.openxmlformats.org/officeDocument/2006/relationships/hyperlink" Target="https://brickset.com/minifigs/sw1373/imperial-crew-black-cap-open-mouth" TargetMode="External"/><Relationship Id="rId315" Type="http://schemas.openxmlformats.org/officeDocument/2006/relationships/hyperlink" Target="https://brickset.com/minifigs/sw1462/imperial-crew-black-cap-with-tan-hair" TargetMode="External"/><Relationship Id="rId314" Type="http://schemas.openxmlformats.org/officeDocument/2006/relationships/hyperlink" Target="https://brickset.com/minifigs/sw1479/hot-tub-stormtrooper" TargetMode="External"/><Relationship Id="rId313" Type="http://schemas.openxmlformats.org/officeDocument/2006/relationships/hyperlink" Target="https://brickset.com/minifigs/sw1458/han-solo-stormtrooper-outfit-printed-legs-shoulder-belts-smile-angry" TargetMode="External"/><Relationship Id="rId319" Type="http://schemas.openxmlformats.org/officeDocument/2006/relationships/hyperlink" Target="https://brickset.com/minifigs/sw1474/imperial-gunner-helmet-with-white-imperial-logo-reddish-brown-head" TargetMode="External"/><Relationship Id="rId318" Type="http://schemas.openxmlformats.org/officeDocument/2006/relationships/hyperlink" Target="https://brickset.com/minifigs/sw1472/imperial-gunner-helmet-with-white-imperial-logo-sienna-head" TargetMode="External"/><Relationship Id="rId317" Type="http://schemas.openxmlformats.org/officeDocument/2006/relationships/hyperlink" Target="https://brickset.com/minifigs/sw1477/imperial-dignitary" TargetMode="External"/><Relationship Id="rId312" Type="http://schemas.openxmlformats.org/officeDocument/2006/relationships/hyperlink" Target="https://brickset.com/minifigs/sw1457/han-solo-black-vest-with-pockets-over-tan-shirt-with-dark-bluish-gray-creases-dark-blue-legs-with-belts" TargetMode="External"/><Relationship Id="rId311" Type="http://schemas.openxmlformats.org/officeDocument/2006/relationships/hyperlink" Target="https://brickset.com/minifigs/sw1471/grand-moff-wilhuff-tarkin-dark-bluish-gray-uniform-swept-back-hair-dark-bluish-gray-eyebrows" TargetMode="External"/><Relationship Id="rId310" Type="http://schemas.openxmlformats.org/officeDocument/2006/relationships/hyperlink" Target="https://brickset.com/minifigs/sw1469/general-tagge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ego.com/sk-sk/product/the-lord-of-the-rings-saurons-helmet-11373" TargetMode="External"/><Relationship Id="rId22" Type="http://schemas.openxmlformats.org/officeDocument/2006/relationships/hyperlink" Target="https://www.lego.com/sk-sk/product/327th-star-corps-clone-troopers-battle-pack-75431" TargetMode="External"/><Relationship Id="rId21" Type="http://schemas.openxmlformats.org/officeDocument/2006/relationships/hyperlink" Target="https://www.lego.com/sk-sk/product/ghost-phantom-ii-75357" TargetMode="External"/><Relationship Id="rId23" Type="http://schemas.openxmlformats.org/officeDocument/2006/relationships/drawing" Target="../drawings/drawing3.xml"/><Relationship Id="rId11" Type="http://schemas.openxmlformats.org/officeDocument/2006/relationships/hyperlink" Target="https://www.lego.com/sk-sk/product/tie-bomber-75347" TargetMode="External"/><Relationship Id="rId10" Type="http://schemas.openxmlformats.org/officeDocument/2006/relationships/hyperlink" Target="https://www.lego.com/sk-sk/product/the-mandalorians-n-1-starfighter-75325" TargetMode="External"/><Relationship Id="rId13" Type="http://schemas.openxmlformats.org/officeDocument/2006/relationships/hyperlink" Target="https://www.lego.com/sk-sk/product/the-lord-of-the-rings-rivendell-10316" TargetMode="External"/><Relationship Id="rId12" Type="http://schemas.openxmlformats.org/officeDocument/2006/relationships/hyperlink" Target="https://www.lego.com/sk-sk/product/coruscant-guard-gunship-75354" TargetMode="External"/><Relationship Id="rId15" Type="http://schemas.openxmlformats.org/officeDocument/2006/relationships/hyperlink" Target="https://www.lego.com/sk-sk/product/the-lord-of-the-rings-the-shire-10354" TargetMode="External"/><Relationship Id="rId14" Type="http://schemas.openxmlformats.org/officeDocument/2006/relationships/hyperlink" Target="https://www.lego.com/sk-sk/product/the-lord-of-the-rings-barad-dur-10333" TargetMode="External"/><Relationship Id="rId17" Type="http://schemas.openxmlformats.org/officeDocument/2006/relationships/hyperlink" Target="https://www.lego.com/sk-sk/product/iron-man-mark-3-collectors-edition-76344" TargetMode="External"/><Relationship Id="rId16" Type="http://schemas.openxmlformats.org/officeDocument/2006/relationships/hyperlink" Target="https://allegro.sk/produkt/lego-ideas-21355-vyvoj-stem-b4d31cc7-543c-4418-9c60-32936f26eedb?offerId=17293017266&amp;utm_feed=547ce2b2-2e28-4773-9707-58218068540e&amp;utm_source=google&amp;utm_medium=cpc&amp;utm_campaign=SK%3EKids%3E3P_local%3EPLA&amp;ev_adgr=Reklamn%C3%AD%20sestava%201&amp;ev_campaign_id=22500017266&amp;gad_source=1&amp;gad_campaignid=22500017266&amp;gbraid=0AAAAAqKvbIjeVnvUGXb3ds2kV8pQVWWW6&amp;gclid=Cj0KCQjwo63HBhCKARIsAHOHV_UG7fR2C-bXfyzWkWExdnZHppompub2iVrXak1oY3nrnsodQzed1gcaAo9oEALw_wcB" TargetMode="External"/><Relationship Id="rId19" Type="http://schemas.openxmlformats.org/officeDocument/2006/relationships/hyperlink" Target="https://www.lego.com/sk-sk/product/the-burrow-collectors-edition-76437" TargetMode="External"/><Relationship Id="rId18" Type="http://schemas.openxmlformats.org/officeDocument/2006/relationships/hyperlink" Target="https://www.lego.com/sk-sk/product/gringotts-wizarding-bank-collectors-edition-76417" TargetMode="External"/><Relationship Id="rId1" Type="http://schemas.openxmlformats.org/officeDocument/2006/relationships/hyperlink" Target="https://www.brickeconomy.com/" TargetMode="External"/><Relationship Id="rId2" Type="http://schemas.openxmlformats.org/officeDocument/2006/relationships/hyperlink" Target="https://allegro.sk/produkt/lego-ideas-21110-vyskumne-centrum-3038246b-5b63-4742-b11b-81454abf7cfc?offerId=17742322857" TargetMode="External"/><Relationship Id="rId3" Type="http://schemas.openxmlformats.org/officeDocument/2006/relationships/hyperlink" Target="https://allegro.sk/produkt/lego-ideas-21312-lego-21312-ideas-zeny-z-nasa-30b21044-505a-425e-8071-e55eb4c9b116?offerId=16542613570&amp;utm_feed=547ce2b2-2e28-4773-9707-58218068540e&amp;utm_source=google&amp;utm_medium=cpc&amp;utm_campaign=SK%3EKids%3EToys%3E3P%3EPLA&amp;ev_adgr=Kids_Toys_3P&amp;ev_campaign_id=22943047831&amp;gad_source=1&amp;gad_campaignid=22943047831&amp;gbraid=0AAAAAqKvbIj7kgmXZr9vFff5QmDrQxa2L&amp;gclid=Cj0KCQjwo63HBhCKARIsAHOHV_UK1PqkHqMJM5F9UJxhNwKlBf6T5R_r9XgZzArMTQI_N2I5LmwyMSAaAu8nEALw_wcB" TargetMode="External"/><Relationship Id="rId4" Type="http://schemas.openxmlformats.org/officeDocument/2006/relationships/hyperlink" Target="https://allegro.sk/produkt/lego-classic-40450-pocta-amelii-earhartovej-8bb368e2-8da2-453b-a32f-5136075effce?offerId=17681886729&amp;utm_feed=547ce2b2-2e28-4773-9707-58218068540e&amp;utm_source=google&amp;utm_medium=cpc&amp;utm_campaign=SK%3EKids%3EToys%3E3P%3EPLA&amp;ev_adgr=Kids_Toys_3P&amp;ev_campaign_id=22943047831&amp;gad_source=1&amp;gad_campaignid=22943047831&amp;gbraid=0AAAAAqKvbIj7kgmXZr9vFff5QmDrQxa2L&amp;gclid=Cj0KCQjwo63HBhCKARIsAHOHV_XDL15RogJoOIU9_BIoz7tYEN-VIJJ8OR7FYROvTytnVCRgT5920awaAn4aEALw_wcB" TargetMode="External"/><Relationship Id="rId9" Type="http://schemas.openxmlformats.org/officeDocument/2006/relationships/hyperlink" Target="https://www.lego.com/sk-sk/product/avengers-age-of-ultron-quinjet-76325?CMP=AFC-AffiliateSK-ilf/7Ea8IDc-3903209-1872692-15" TargetMode="External"/><Relationship Id="rId5" Type="http://schemas.openxmlformats.org/officeDocument/2006/relationships/hyperlink" Target="https://allegro.sk/produkt/lego-40530-pocta-jane-goodallovej-05c15bb6-85c3-4493-8652-b3803ac01cff?offerId=15009306496&amp;reco_id=e2def2c8-a6ec-11f0-97b5-ca1e2c3e63d4&amp;sid=1147bbb04b955b96a226cab2e664258d9124ef0862320b2d7366fdd6604cf017" TargetMode="External"/><Relationship Id="rId6" Type="http://schemas.openxmlformats.org/officeDocument/2006/relationships/hyperlink" Target="https://allegro.sk/produkt/lego-40579-eiffelov-byt-9636a2c3-70da-46e7-af90-f2c1aff18a84?offerId=17148927314&amp;utm_feed=547ce2b2-2e28-4773-9707-58218068540e&amp;utm_source=google&amp;utm_medium=cpc&amp;utm_campaign=SK%3EKids%3E3P_local%3EPLA&amp;ev_adgr=Reklamn%C3%AD%20sestava%201&amp;ev_campaign_id=22500017266&amp;gad_source=1&amp;gad_campaignid=22500017266&amp;gbraid=0AAAAAqKvbIjeVnvUGXb3ds2kV8pQVWWW6&amp;gclid=Cj0KCQjwo63HBhCKARIsAHOHV_WQaxqaZDW8g7afdXfqtfOfL3ZUHgqiIoZZ0O5O-31V3FA-DBjJSgcaAk8sEALw_wcB" TargetMode="External"/><Relationship Id="rId7" Type="http://schemas.openxmlformats.org/officeDocument/2006/relationships/hyperlink" Target="https://allegro.sk/produkt/lego-ideas-40595-pocta-galileovi-60d65569-eae8-4239-910f-54006527f30c?offerId=16041950669&amp;utm_feed=547ce2b2-2e28-4773-9707-58218068540e&amp;utm_source=google&amp;utm_medium=cpc&amp;utm_campaign=SK%3EKids%3EToys%3E3P%3EPLA&amp;ev_adgr=Kids_Toys_3P&amp;ev_campaign_id=22943047831&amp;gad_source=1&amp;gad_campaignid=22943047831&amp;gbraid=0AAAAAqKvbIiN4Tj3y_OaPhRV10ZKZjYQN&amp;gclid=Cj0KCQjwgKjHBhChARIsAPJR3xeMinkJRrb2Ay5jyODLbWXlc5NR2Sv8L9jA5hLoU1QCQU0fL0hSvdkaAvVPEALw_wcB" TargetMode="External"/><Relationship Id="rId8" Type="http://schemas.openxmlformats.org/officeDocument/2006/relationships/hyperlink" Target="https://allegro.sk/produkt/lego-icons-40729-shackletonova-salupa-fccb3802-9a43-46b3-ac67-44c68e392f66?offerId=17629152642&amp;utm_feed=547ce2b2-2e28-4773-9707-58218068540e&amp;utm_source=google&amp;utm_medium=cpc&amp;utm_campaign=SK%3EKids%3EToys%3E3P%3EPLA&amp;ev_adgr=Kids_Toys_3P&amp;ev_campaign_id=22943047831&amp;gad_source=1&amp;gad_campaignid=22943047831&amp;gbraid=0AAAAAqKvbIj7kgmXZr9vFff5QmDrQxa2L&amp;gclid=Cj0KCQjwo63HBhCKARIsAHOHV_V7ZICJExfQCUIrC3O-feiAWUYRg6zbllVLNnlakiznCTLCpP8DjpoaAtH6EALw_w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12.75"/>
    <col customWidth="1" min="3" max="3" width="18.5"/>
    <col customWidth="1" min="4" max="4" width="17.0"/>
    <col customWidth="1" min="5" max="5" width="1.38"/>
    <col customWidth="1" min="6" max="6" width="17.63"/>
    <col customWidth="1" min="7" max="7" width="26.5"/>
    <col customWidth="1" min="8" max="8" width="9.25"/>
    <col customWidth="1" min="9" max="9" width="1.38"/>
    <col customWidth="1" min="11" max="11" width="12.63"/>
    <col customWidth="1" min="12" max="12" width="9.5"/>
    <col customWidth="1" min="13" max="13" width="1.38"/>
    <col customWidth="1" min="15" max="15" width="12.63"/>
    <col customWidth="1" min="16" max="16" width="8.25"/>
    <col customWidth="1" min="17" max="17" width="1.63"/>
    <col hidden="1" min="18" max="24" width="12.63"/>
  </cols>
  <sheetData>
    <row r="1" ht="5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4.5" customHeight="1">
      <c r="A2" s="1"/>
      <c r="B2" s="2"/>
      <c r="C2" s="2"/>
      <c r="D2" s="2"/>
      <c r="E2" s="2"/>
      <c r="F2" s="3"/>
      <c r="G2" s="3"/>
      <c r="H2" s="3"/>
      <c r="I2" s="2"/>
      <c r="J2" s="3"/>
      <c r="K2" s="3"/>
      <c r="L2" s="3"/>
      <c r="M2" s="2"/>
      <c r="N2" s="3"/>
      <c r="O2" s="3"/>
      <c r="P2" s="4"/>
      <c r="Q2" s="5"/>
      <c r="R2" s="1"/>
      <c r="S2" s="1"/>
      <c r="T2" s="1"/>
      <c r="U2" s="1"/>
      <c r="V2" s="1"/>
      <c r="W2" s="1"/>
      <c r="X2" s="1"/>
    </row>
    <row r="3">
      <c r="A3" s="1"/>
      <c r="B3" s="6" t="s">
        <v>0</v>
      </c>
      <c r="C3" s="7"/>
      <c r="D3" s="7"/>
      <c r="E3" s="8"/>
      <c r="F3" s="9" t="s">
        <v>1</v>
      </c>
      <c r="G3" s="10">
        <f>sum(K22:K1073)</f>
        <v>18828.16</v>
      </c>
      <c r="H3" s="11"/>
      <c r="I3" s="12"/>
      <c r="J3" s="9" t="s">
        <v>2</v>
      </c>
      <c r="K3" s="13">
        <f>COUNT(K22:K1073)</f>
        <v>125</v>
      </c>
      <c r="L3" s="11"/>
      <c r="M3" s="12"/>
      <c r="N3" s="14" t="s">
        <v>3</v>
      </c>
      <c r="O3" s="15"/>
      <c r="P3" s="11"/>
      <c r="Q3" s="5"/>
      <c r="R3" s="16"/>
      <c r="S3" s="16"/>
      <c r="T3" s="16"/>
      <c r="U3" s="16"/>
      <c r="V3" s="1"/>
      <c r="W3" s="1"/>
      <c r="X3" s="1"/>
    </row>
    <row r="4">
      <c r="A4" s="1"/>
      <c r="B4" s="17"/>
      <c r="E4" s="18"/>
      <c r="F4" s="19"/>
      <c r="H4" s="20"/>
      <c r="I4" s="12"/>
      <c r="J4" s="19"/>
      <c r="L4" s="20"/>
      <c r="M4" s="12"/>
      <c r="N4" s="19"/>
      <c r="P4" s="20"/>
      <c r="Q4" s="5"/>
      <c r="R4" s="16"/>
      <c r="S4" s="16"/>
      <c r="T4" s="16"/>
      <c r="U4" s="16"/>
      <c r="V4" s="1"/>
      <c r="W4" s="1"/>
      <c r="X4" s="1"/>
    </row>
    <row r="5">
      <c r="A5" s="1"/>
      <c r="B5" s="21"/>
      <c r="C5" s="22"/>
      <c r="D5" s="22"/>
      <c r="E5" s="23"/>
      <c r="F5" s="24"/>
      <c r="G5" s="25"/>
      <c r="H5" s="26"/>
      <c r="I5" s="12"/>
      <c r="J5" s="24"/>
      <c r="K5" s="25"/>
      <c r="L5" s="26"/>
      <c r="M5" s="12"/>
      <c r="N5" s="24"/>
      <c r="O5" s="25"/>
      <c r="P5" s="26"/>
      <c r="Q5" s="5"/>
      <c r="R5" s="16"/>
      <c r="S5" s="16"/>
      <c r="T5" s="16"/>
      <c r="U5" s="16"/>
      <c r="V5" s="1"/>
      <c r="W5" s="1"/>
      <c r="X5" s="1"/>
    </row>
    <row r="6" ht="3.75" customHeight="1">
      <c r="A6" s="1"/>
      <c r="B6" s="2"/>
      <c r="C6" s="2"/>
      <c r="D6" s="2"/>
      <c r="E6" s="2"/>
      <c r="F6" s="27"/>
      <c r="G6" s="27"/>
      <c r="H6" s="27"/>
      <c r="I6" s="2"/>
      <c r="J6" s="27"/>
      <c r="K6" s="27"/>
      <c r="L6" s="27"/>
      <c r="M6" s="2"/>
      <c r="N6" s="27"/>
      <c r="O6" s="27"/>
      <c r="P6" s="28"/>
      <c r="Q6" s="5"/>
      <c r="R6" s="16"/>
      <c r="S6" s="16"/>
      <c r="T6" s="16"/>
      <c r="U6" s="16"/>
      <c r="V6" s="1"/>
      <c r="W6" s="1"/>
      <c r="X6" s="1"/>
    </row>
    <row r="7" ht="3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6"/>
      <c r="R7" s="16"/>
      <c r="S7" s="16"/>
      <c r="T7" s="16"/>
      <c r="U7" s="16"/>
      <c r="V7" s="1"/>
      <c r="W7" s="1"/>
      <c r="X7" s="1"/>
    </row>
    <row r="8">
      <c r="A8" s="29"/>
      <c r="B8" s="30" t="s">
        <v>4</v>
      </c>
      <c r="C8" s="31" t="s">
        <v>1</v>
      </c>
      <c r="D8" s="32" t="s">
        <v>2</v>
      </c>
      <c r="E8" s="1"/>
      <c r="F8" s="30" t="s">
        <v>5</v>
      </c>
      <c r="G8" s="31" t="s">
        <v>1</v>
      </c>
      <c r="H8" s="32" t="s">
        <v>2</v>
      </c>
      <c r="I8" s="29"/>
      <c r="J8" s="30" t="s">
        <v>6</v>
      </c>
      <c r="K8" s="31" t="s">
        <v>1</v>
      </c>
      <c r="L8" s="32" t="s">
        <v>2</v>
      </c>
      <c r="M8" s="29"/>
      <c r="N8" s="33" t="s">
        <v>7</v>
      </c>
      <c r="O8" s="34" t="s">
        <v>1</v>
      </c>
      <c r="P8" s="35" t="s">
        <v>2</v>
      </c>
      <c r="Q8" s="16"/>
      <c r="R8" s="16"/>
      <c r="S8" s="16"/>
      <c r="T8" s="16"/>
      <c r="U8" s="16"/>
      <c r="V8" s="29"/>
      <c r="W8" s="29"/>
      <c r="X8" s="29"/>
    </row>
    <row r="9">
      <c r="A9" s="1"/>
      <c r="B9" s="36" t="s">
        <v>8</v>
      </c>
      <c r="C9" s="37">
        <f>SUMIFS(K22:K1073,N22:N1073,B9)</f>
        <v>15693.33</v>
      </c>
      <c r="D9" s="38">
        <f t="shared" ref="D9:D10" si="1">COUNTIFS($N$22:$N$1073,B9)</f>
        <v>91</v>
      </c>
      <c r="E9" s="1"/>
      <c r="F9" s="36" t="s">
        <v>8</v>
      </c>
      <c r="G9" s="37">
        <f t="shared" ref="G9:G10" si="2">SUMIFS($K$22:$K$1073,$O$22:$O$1073,F9)</f>
        <v>14124.36</v>
      </c>
      <c r="H9" s="38">
        <f t="shared" ref="H9:H10" si="3">COUNTIFS($O$22:$O$1073,F9)</f>
        <v>79</v>
      </c>
      <c r="I9" s="1"/>
      <c r="J9" s="36" t="str">
        <f t="array" ref="J9:L19">SORT(S21:U31,2,FALSE)</f>
        <v>Star Wars</v>
      </c>
      <c r="K9" s="37">
        <v>10973.989999999993</v>
      </c>
      <c r="L9" s="38">
        <v>68.0</v>
      </c>
      <c r="M9" s="1"/>
      <c r="N9" s="39">
        <f t="array" ref="N9:N15">SORT(UNIQUE(YEAR(L22:L1073)),1,FALSE)</f>
        <v>2026</v>
      </c>
      <c r="O9" s="37">
        <f t="shared" ref="O9:O18" si="4">IF(SUMIFS($K$22:$K$1178,$P$22:$P$1178,N9)=0,"",SUMIFS($K$22:$K$1178,$P$22:$P$1178,N9))</f>
        <v>791.35</v>
      </c>
      <c r="P9" s="38">
        <f t="shared" ref="P9:P18" si="5">IF(N9=1899,"", IF(COUNTIFS($P$22:$P$1178,N9)=0,"",COUNTIFS($P$22:$P$1178,N9)))</f>
        <v>14</v>
      </c>
      <c r="Q9" s="16"/>
      <c r="R9" s="16"/>
      <c r="S9" s="16"/>
      <c r="T9" s="16"/>
      <c r="U9" s="16"/>
      <c r="V9" s="1"/>
      <c r="W9" s="1"/>
      <c r="X9" s="1"/>
    </row>
    <row r="10">
      <c r="A10" s="1"/>
      <c r="B10" s="36" t="s">
        <v>9</v>
      </c>
      <c r="C10" s="37">
        <f>SUMIFS(K22:K1073,N22:N1073,B10)</f>
        <v>3134.83</v>
      </c>
      <c r="D10" s="38">
        <f t="shared" si="1"/>
        <v>34</v>
      </c>
      <c r="E10" s="1"/>
      <c r="F10" s="36" t="s">
        <v>9</v>
      </c>
      <c r="G10" s="37">
        <f t="shared" si="2"/>
        <v>4703.8</v>
      </c>
      <c r="H10" s="38">
        <f t="shared" si="3"/>
        <v>46</v>
      </c>
      <c r="I10" s="1"/>
      <c r="J10" s="36" t="s">
        <v>10</v>
      </c>
      <c r="K10" s="37">
        <v>3416.4300000000003</v>
      </c>
      <c r="L10" s="38">
        <v>15.0</v>
      </c>
      <c r="M10" s="1"/>
      <c r="N10" s="36">
        <v>2025.0</v>
      </c>
      <c r="O10" s="37">
        <f t="shared" si="4"/>
        <v>6513.63</v>
      </c>
      <c r="P10" s="38">
        <f t="shared" si="5"/>
        <v>54</v>
      </c>
      <c r="Q10" s="16"/>
      <c r="R10" s="16"/>
      <c r="S10" s="16"/>
      <c r="T10" s="16"/>
      <c r="U10" s="16"/>
      <c r="V10" s="1"/>
      <c r="W10" s="1"/>
      <c r="X10" s="1"/>
    </row>
    <row r="11">
      <c r="A11" s="1"/>
      <c r="B11" s="40" t="s">
        <v>11</v>
      </c>
      <c r="C11" s="41">
        <f t="shared" ref="C11:D11" si="6">C9+C10</f>
        <v>18828.16</v>
      </c>
      <c r="D11" s="42">
        <f t="shared" si="6"/>
        <v>125</v>
      </c>
      <c r="E11" s="1"/>
      <c r="F11" s="40" t="s">
        <v>11</v>
      </c>
      <c r="G11" s="41">
        <f t="shared" ref="G11:H11" si="7">G9+G10</f>
        <v>18828.16</v>
      </c>
      <c r="H11" s="42">
        <f t="shared" si="7"/>
        <v>125</v>
      </c>
      <c r="I11" s="1"/>
      <c r="J11" s="36" t="s">
        <v>12</v>
      </c>
      <c r="K11" s="37">
        <v>1899.6800000000003</v>
      </c>
      <c r="L11" s="38">
        <v>14.0</v>
      </c>
      <c r="M11" s="1"/>
      <c r="N11" s="36">
        <v>2024.0</v>
      </c>
      <c r="O11" s="37">
        <f t="shared" si="4"/>
        <v>10914.43</v>
      </c>
      <c r="P11" s="38">
        <f t="shared" si="5"/>
        <v>53</v>
      </c>
      <c r="Q11" s="16"/>
      <c r="R11" s="16"/>
      <c r="S11" s="16"/>
      <c r="T11" s="16"/>
      <c r="U11" s="16"/>
      <c r="V11" s="1"/>
      <c r="W11" s="1"/>
      <c r="X11" s="1"/>
    </row>
    <row r="12">
      <c r="A12" s="1"/>
      <c r="B12" s="43">
        <f>C9/C11</f>
        <v>0.8335031145</v>
      </c>
      <c r="C12" s="44"/>
      <c r="D12" s="45"/>
      <c r="E12" s="1"/>
      <c r="F12" s="43">
        <f>G9/G11</f>
        <v>0.7501720827</v>
      </c>
      <c r="G12" s="44"/>
      <c r="H12" s="45"/>
      <c r="I12" s="1"/>
      <c r="J12" s="36" t="s">
        <v>13</v>
      </c>
      <c r="K12" s="37">
        <v>954.8</v>
      </c>
      <c r="L12" s="38">
        <v>4.0</v>
      </c>
      <c r="M12" s="1"/>
      <c r="N12" s="36">
        <v>2023.0</v>
      </c>
      <c r="O12" s="37">
        <f t="shared" si="4"/>
        <v>287.12</v>
      </c>
      <c r="P12" s="38">
        <f t="shared" si="5"/>
        <v>1</v>
      </c>
      <c r="Q12" s="16"/>
      <c r="R12" s="16"/>
      <c r="S12" s="16"/>
      <c r="T12" s="16"/>
      <c r="U12" s="16"/>
      <c r="V12" s="1"/>
      <c r="W12" s="1"/>
      <c r="X12" s="1"/>
    </row>
    <row r="13">
      <c r="A13" s="1"/>
      <c r="B13" s="46"/>
      <c r="D13" s="47"/>
      <c r="E13" s="1"/>
      <c r="F13" s="46"/>
      <c r="H13" s="47"/>
      <c r="I13" s="1"/>
      <c r="J13" s="36" t="s">
        <v>14</v>
      </c>
      <c r="K13" s="37">
        <v>837.0699999999999</v>
      </c>
      <c r="L13" s="38">
        <v>12.0</v>
      </c>
      <c r="M13" s="1"/>
      <c r="N13" s="36">
        <v>2022.0</v>
      </c>
      <c r="O13" s="37">
        <f t="shared" si="4"/>
        <v>136.63</v>
      </c>
      <c r="P13" s="38">
        <f t="shared" si="5"/>
        <v>1</v>
      </c>
      <c r="Q13" s="16"/>
      <c r="R13" s="16"/>
      <c r="S13" s="16"/>
      <c r="T13" s="16"/>
      <c r="U13" s="16"/>
      <c r="V13" s="1"/>
      <c r="W13" s="1"/>
      <c r="X13" s="1"/>
    </row>
    <row r="14">
      <c r="A14" s="1"/>
      <c r="B14" s="46"/>
      <c r="D14" s="47"/>
      <c r="E14" s="1"/>
      <c r="F14" s="46"/>
      <c r="H14" s="47"/>
      <c r="I14" s="1"/>
      <c r="J14" s="36" t="s">
        <v>15</v>
      </c>
      <c r="K14" s="37">
        <v>559.9</v>
      </c>
      <c r="L14" s="38">
        <v>3.0</v>
      </c>
      <c r="M14" s="1"/>
      <c r="N14" s="36">
        <v>2014.0</v>
      </c>
      <c r="O14" s="37">
        <f t="shared" si="4"/>
        <v>185</v>
      </c>
      <c r="P14" s="38">
        <f t="shared" si="5"/>
        <v>2</v>
      </c>
      <c r="Q14" s="16"/>
      <c r="R14" s="1"/>
      <c r="S14" s="1"/>
      <c r="T14" s="1"/>
      <c r="U14" s="1"/>
      <c r="V14" s="1"/>
      <c r="W14" s="1"/>
      <c r="X14" s="1"/>
    </row>
    <row r="15">
      <c r="A15" s="1"/>
      <c r="B15" s="46"/>
      <c r="D15" s="47"/>
      <c r="E15" s="1"/>
      <c r="F15" s="46"/>
      <c r="H15" s="47"/>
      <c r="I15" s="1"/>
      <c r="J15" s="36" t="s">
        <v>16</v>
      </c>
      <c r="K15" s="37">
        <v>130.31</v>
      </c>
      <c r="L15" s="38">
        <v>7.0</v>
      </c>
      <c r="M15" s="1"/>
      <c r="N15" s="36">
        <v>1899.0</v>
      </c>
      <c r="O15" s="37" t="str">
        <f t="shared" si="4"/>
        <v/>
      </c>
      <c r="P15" s="38" t="str">
        <f t="shared" si="5"/>
        <v/>
      </c>
      <c r="Q15" s="16"/>
      <c r="R15" s="1"/>
      <c r="S15" s="1"/>
      <c r="T15" s="1"/>
      <c r="U15" s="1"/>
      <c r="V15" s="1"/>
      <c r="W15" s="1"/>
      <c r="X15" s="1"/>
    </row>
    <row r="16">
      <c r="A16" s="1"/>
      <c r="B16" s="46"/>
      <c r="D16" s="47"/>
      <c r="E16" s="1"/>
      <c r="F16" s="46"/>
      <c r="H16" s="47"/>
      <c r="I16" s="1"/>
      <c r="J16" s="36" t="s">
        <v>17</v>
      </c>
      <c r="K16" s="37">
        <v>55.98</v>
      </c>
      <c r="L16" s="38">
        <v>2.0</v>
      </c>
      <c r="M16" s="1"/>
      <c r="N16" s="36"/>
      <c r="O16" s="37" t="str">
        <f t="shared" si="4"/>
        <v/>
      </c>
      <c r="P16" s="38" t="str">
        <f t="shared" si="5"/>
        <v/>
      </c>
      <c r="Q16" s="16"/>
      <c r="R16" s="1"/>
      <c r="S16" s="1"/>
      <c r="T16" s="1"/>
      <c r="U16" s="1"/>
      <c r="V16" s="1"/>
      <c r="W16" s="1"/>
      <c r="X16" s="1"/>
    </row>
    <row r="17">
      <c r="A17" s="1"/>
      <c r="B17" s="46"/>
      <c r="D17" s="47"/>
      <c r="E17" s="1"/>
      <c r="F17" s="46"/>
      <c r="H17" s="47"/>
      <c r="I17" s="1"/>
      <c r="J17" s="36"/>
      <c r="K17" s="37">
        <v>0.0</v>
      </c>
      <c r="L17" s="38">
        <v>0.0</v>
      </c>
      <c r="M17" s="1"/>
      <c r="N17" s="36"/>
      <c r="O17" s="37" t="str">
        <f t="shared" si="4"/>
        <v/>
      </c>
      <c r="P17" s="38" t="str">
        <f t="shared" si="5"/>
        <v/>
      </c>
      <c r="Q17" s="16"/>
      <c r="R17" s="1"/>
      <c r="S17" s="1"/>
      <c r="T17" s="1"/>
      <c r="U17" s="1"/>
      <c r="V17" s="1"/>
      <c r="W17" s="1"/>
      <c r="X17" s="1"/>
    </row>
    <row r="18">
      <c r="A18" s="1"/>
      <c r="B18" s="46"/>
      <c r="D18" s="47"/>
      <c r="E18" s="1"/>
      <c r="F18" s="46"/>
      <c r="H18" s="47"/>
      <c r="I18" s="1"/>
      <c r="J18" s="36"/>
      <c r="K18" s="37">
        <v>0.0</v>
      </c>
      <c r="L18" s="38">
        <v>0.0</v>
      </c>
      <c r="M18" s="1"/>
      <c r="N18" s="36"/>
      <c r="O18" s="37" t="str">
        <f t="shared" si="4"/>
        <v/>
      </c>
      <c r="P18" s="38" t="str">
        <f t="shared" si="5"/>
        <v/>
      </c>
      <c r="Q18" s="16"/>
      <c r="R18" s="1"/>
      <c r="S18" s="1"/>
      <c r="T18" s="1"/>
      <c r="U18" s="1"/>
      <c r="V18" s="1"/>
      <c r="W18" s="1"/>
      <c r="X18" s="1"/>
    </row>
    <row r="19">
      <c r="A19" s="1"/>
      <c r="B19" s="48"/>
      <c r="C19" s="49"/>
      <c r="D19" s="50"/>
      <c r="E19" s="1"/>
      <c r="F19" s="48"/>
      <c r="G19" s="49"/>
      <c r="H19" s="50"/>
      <c r="I19" s="1"/>
      <c r="J19" s="51"/>
      <c r="K19" s="52">
        <v>0.0</v>
      </c>
      <c r="L19" s="53">
        <v>0.0</v>
      </c>
      <c r="M19" s="1"/>
      <c r="N19" s="51"/>
      <c r="O19" s="52"/>
      <c r="P19" s="53"/>
      <c r="Q19" s="16"/>
      <c r="R19" s="1"/>
      <c r="S19" s="1"/>
      <c r="T19" s="1"/>
      <c r="U19" s="1"/>
      <c r="V19" s="1"/>
      <c r="W19" s="1"/>
      <c r="X19" s="1"/>
    </row>
    <row r="20" ht="3.75" customHeight="1">
      <c r="A20" s="1"/>
      <c r="B20" s="1"/>
      <c r="C20" s="1"/>
      <c r="D20" s="1"/>
      <c r="E20" s="1"/>
      <c r="F20" s="1"/>
      <c r="G20" s="1"/>
      <c r="H20" s="1"/>
      <c r="I20" s="1"/>
      <c r="J20" s="54"/>
      <c r="K20" s="55"/>
      <c r="L20" s="56"/>
      <c r="M20" s="1"/>
      <c r="N20" s="54"/>
      <c r="O20" s="55"/>
      <c r="P20" s="56"/>
      <c r="Q20" s="1"/>
      <c r="R20" s="1"/>
      <c r="S20" s="1"/>
      <c r="T20" s="1"/>
      <c r="U20" s="1"/>
      <c r="V20" s="1"/>
      <c r="W20" s="1"/>
      <c r="X20" s="1"/>
    </row>
    <row r="21">
      <c r="A21" s="1"/>
      <c r="B21" s="57" t="s">
        <v>6</v>
      </c>
      <c r="C21" s="58"/>
      <c r="D21" s="57" t="s">
        <v>18</v>
      </c>
      <c r="E21" s="58"/>
      <c r="F21" s="59" t="s">
        <v>19</v>
      </c>
      <c r="G21" s="60"/>
      <c r="H21" s="59" t="s">
        <v>20</v>
      </c>
      <c r="I21" s="60"/>
      <c r="J21" s="61" t="s">
        <v>21</v>
      </c>
      <c r="K21" s="62" t="s">
        <v>22</v>
      </c>
      <c r="L21" s="57" t="s">
        <v>23</v>
      </c>
      <c r="M21" s="58"/>
      <c r="N21" s="62" t="s">
        <v>4</v>
      </c>
      <c r="O21" s="62" t="s">
        <v>5</v>
      </c>
      <c r="P21" s="63" t="s">
        <v>24</v>
      </c>
      <c r="Q21" s="1"/>
      <c r="R21" s="1"/>
      <c r="S21" s="1" t="str">
        <f t="array" ref="S21:S29">SORT(UNIQUE(B22:B1178))</f>
        <v>DC</v>
      </c>
      <c r="T21" s="64">
        <f t="shared" ref="T21:T31" si="8">IF(SUMIFS($K$22:$K$1178,$B$22:$B$1178,S21)=0,0,SUMIFS($K$22:$K$1178,$B$22:$B$1178,S21))</f>
        <v>954.8</v>
      </c>
      <c r="U21" s="56">
        <f t="shared" ref="U21:U31" si="9">IF(COUNTIFS($B$22:$B$1178,S21)=0,0,COUNTIFS($B$22:$B$1178,S21))</f>
        <v>4</v>
      </c>
      <c r="V21" s="1"/>
      <c r="W21" s="1"/>
      <c r="X21" s="1"/>
    </row>
    <row r="22">
      <c r="A22" s="1"/>
      <c r="B22" s="65" t="s">
        <v>13</v>
      </c>
      <c r="C22" s="58"/>
      <c r="D22" s="66">
        <v>76139.0</v>
      </c>
      <c r="E22" s="58"/>
      <c r="F22" s="67" t="s">
        <v>25</v>
      </c>
      <c r="G22" s="60"/>
      <c r="H22" s="68">
        <f>COUNTIFS(Minifigures!$C$22:$C$1137,D22)</f>
        <v>3</v>
      </c>
      <c r="I22" s="60"/>
      <c r="J22" s="69">
        <v>2019.0</v>
      </c>
      <c r="K22" s="70">
        <v>380.0</v>
      </c>
      <c r="L22" s="71">
        <v>45303.0</v>
      </c>
      <c r="M22" s="58"/>
      <c r="N22" s="72" t="s">
        <v>8</v>
      </c>
      <c r="O22" s="72" t="s">
        <v>8</v>
      </c>
      <c r="P22" s="63">
        <f t="shared" ref="P22:P1073" si="10">YEAR(L22)</f>
        <v>2024</v>
      </c>
      <c r="Q22" s="73"/>
      <c r="R22" s="1"/>
      <c r="S22" s="1" t="s">
        <v>16</v>
      </c>
      <c r="T22" s="64">
        <f t="shared" si="8"/>
        <v>130.31</v>
      </c>
      <c r="U22" s="56">
        <f t="shared" si="9"/>
        <v>7</v>
      </c>
      <c r="V22" s="1"/>
      <c r="W22" s="1"/>
      <c r="X22" s="1"/>
    </row>
    <row r="23">
      <c r="A23" s="1"/>
      <c r="B23" s="65" t="s">
        <v>13</v>
      </c>
      <c r="C23" s="58"/>
      <c r="D23" s="66">
        <v>76161.0</v>
      </c>
      <c r="E23" s="58"/>
      <c r="F23" s="67" t="s">
        <v>26</v>
      </c>
      <c r="G23" s="60"/>
      <c r="H23" s="68">
        <f>COUNTIFS(Minifigures!$C$22:$C$1137,D23)</f>
        <v>3</v>
      </c>
      <c r="I23" s="60"/>
      <c r="J23" s="69">
        <v>2020.0</v>
      </c>
      <c r="K23" s="70">
        <v>230.0</v>
      </c>
      <c r="L23" s="71">
        <v>45334.0</v>
      </c>
      <c r="M23" s="58"/>
      <c r="N23" s="72" t="s">
        <v>8</v>
      </c>
      <c r="O23" s="72" t="s">
        <v>8</v>
      </c>
      <c r="P23" s="63">
        <f t="shared" si="10"/>
        <v>2024</v>
      </c>
      <c r="Q23" s="73"/>
      <c r="R23" s="1"/>
      <c r="S23" s="1" t="s">
        <v>14</v>
      </c>
      <c r="T23" s="64">
        <f t="shared" si="8"/>
        <v>837.07</v>
      </c>
      <c r="U23" s="56">
        <f t="shared" si="9"/>
        <v>12</v>
      </c>
      <c r="V23" s="1"/>
      <c r="W23" s="1"/>
      <c r="X23" s="1"/>
    </row>
    <row r="24">
      <c r="A24" s="1"/>
      <c r="B24" s="65" t="s">
        <v>13</v>
      </c>
      <c r="C24" s="58"/>
      <c r="D24" s="66">
        <v>76240.0</v>
      </c>
      <c r="E24" s="58"/>
      <c r="F24" s="67" t="s">
        <v>27</v>
      </c>
      <c r="G24" s="60"/>
      <c r="H24" s="68">
        <f>COUNTIFS(Minifigures!$C$22:$C$1137,D24)</f>
        <v>2</v>
      </c>
      <c r="I24" s="60"/>
      <c r="J24" s="69">
        <v>2021.0</v>
      </c>
      <c r="K24" s="70">
        <v>199.9</v>
      </c>
      <c r="L24" s="71">
        <v>45318.0</v>
      </c>
      <c r="M24" s="58"/>
      <c r="N24" s="72" t="s">
        <v>8</v>
      </c>
      <c r="O24" s="72" t="s">
        <v>8</v>
      </c>
      <c r="P24" s="63">
        <f t="shared" si="10"/>
        <v>2024</v>
      </c>
      <c r="Q24" s="73"/>
      <c r="R24" s="1"/>
      <c r="S24" s="1" t="s">
        <v>12</v>
      </c>
      <c r="T24" s="64">
        <f t="shared" si="8"/>
        <v>1899.68</v>
      </c>
      <c r="U24" s="56">
        <f t="shared" si="9"/>
        <v>14</v>
      </c>
      <c r="V24" s="1"/>
      <c r="W24" s="1"/>
      <c r="X24" s="1"/>
    </row>
    <row r="25">
      <c r="A25" s="1"/>
      <c r="B25" s="65" t="s">
        <v>13</v>
      </c>
      <c r="C25" s="58"/>
      <c r="D25" s="66">
        <v>76328.0</v>
      </c>
      <c r="E25" s="58"/>
      <c r="F25" s="67" t="s">
        <v>28</v>
      </c>
      <c r="G25" s="60"/>
      <c r="H25" s="68">
        <f>COUNTIFS(Minifigures!$C$22:$C$1137,D25)</f>
        <v>1</v>
      </c>
      <c r="I25" s="60"/>
      <c r="J25" s="69">
        <v>2024.0</v>
      </c>
      <c r="K25" s="70">
        <v>144.9</v>
      </c>
      <c r="L25" s="71">
        <v>45566.0</v>
      </c>
      <c r="M25" s="58"/>
      <c r="N25" s="72" t="s">
        <v>8</v>
      </c>
      <c r="O25" s="72" t="s">
        <v>9</v>
      </c>
      <c r="P25" s="63">
        <f t="shared" si="10"/>
        <v>2024</v>
      </c>
      <c r="Q25" s="73"/>
      <c r="R25" s="1"/>
      <c r="S25" s="1" t="s">
        <v>15</v>
      </c>
      <c r="T25" s="64">
        <f t="shared" si="8"/>
        <v>559.9</v>
      </c>
      <c r="U25" s="56">
        <f t="shared" si="9"/>
        <v>3</v>
      </c>
      <c r="V25" s="1"/>
      <c r="W25" s="1"/>
      <c r="X25" s="1"/>
    </row>
    <row r="26">
      <c r="A26" s="1"/>
      <c r="B26" s="65" t="s">
        <v>16</v>
      </c>
      <c r="C26" s="58"/>
      <c r="D26" s="66">
        <v>40291.0</v>
      </c>
      <c r="E26" s="58"/>
      <c r="F26" s="67" t="s">
        <v>29</v>
      </c>
      <c r="G26" s="60"/>
      <c r="H26" s="68">
        <f>COUNTIFS(Minifigures!$C$22:$C$1137,D26)</f>
        <v>2</v>
      </c>
      <c r="I26" s="60"/>
      <c r="J26" s="69">
        <v>2018.0</v>
      </c>
      <c r="K26" s="70">
        <v>25.0</v>
      </c>
      <c r="L26" s="71">
        <v>45839.0</v>
      </c>
      <c r="M26" s="58"/>
      <c r="N26" s="72" t="s">
        <v>9</v>
      </c>
      <c r="O26" s="72" t="s">
        <v>9</v>
      </c>
      <c r="P26" s="63">
        <f t="shared" si="10"/>
        <v>2025</v>
      </c>
      <c r="Q26" s="73"/>
      <c r="R26" s="1"/>
      <c r="S26" s="1" t="s">
        <v>17</v>
      </c>
      <c r="T26" s="64">
        <f t="shared" si="8"/>
        <v>55.98</v>
      </c>
      <c r="U26" s="56">
        <f t="shared" si="9"/>
        <v>2</v>
      </c>
      <c r="V26" s="1"/>
      <c r="W26" s="1"/>
      <c r="X26" s="1"/>
    </row>
    <row r="27">
      <c r="A27" s="1"/>
      <c r="B27" s="65" t="s">
        <v>16</v>
      </c>
      <c r="C27" s="58"/>
      <c r="D27" s="66">
        <v>40410.0</v>
      </c>
      <c r="E27" s="58"/>
      <c r="F27" s="67" t="s">
        <v>30</v>
      </c>
      <c r="G27" s="60"/>
      <c r="H27" s="68">
        <f>COUNTIFS(Minifigures!$C$22:$C$1137,D27)</f>
        <v>3</v>
      </c>
      <c r="I27" s="60"/>
      <c r="J27" s="69">
        <v>2020.0</v>
      </c>
      <c r="K27" s="70">
        <v>55.31</v>
      </c>
      <c r="L27" s="71">
        <v>45871.0</v>
      </c>
      <c r="M27" s="58"/>
      <c r="N27" s="72" t="s">
        <v>9</v>
      </c>
      <c r="O27" s="72" t="s">
        <v>9</v>
      </c>
      <c r="P27" s="63">
        <f t="shared" si="10"/>
        <v>2025</v>
      </c>
      <c r="Q27" s="73"/>
      <c r="R27" s="1"/>
      <c r="S27" s="1" t="s">
        <v>31</v>
      </c>
      <c r="T27" s="64">
        <f t="shared" si="8"/>
        <v>10973.99</v>
      </c>
      <c r="U27" s="56">
        <f t="shared" si="9"/>
        <v>68</v>
      </c>
      <c r="V27" s="1"/>
      <c r="W27" s="1"/>
      <c r="X27" s="1"/>
    </row>
    <row r="28">
      <c r="A28" s="1"/>
      <c r="B28" s="65" t="s">
        <v>16</v>
      </c>
      <c r="C28" s="58"/>
      <c r="D28" s="66">
        <v>40690.0</v>
      </c>
      <c r="E28" s="58"/>
      <c r="F28" s="67" t="s">
        <v>32</v>
      </c>
      <c r="G28" s="60"/>
      <c r="H28" s="68">
        <f>COUNTIFS(Minifigures!$C$22:$C$1137,D28)</f>
        <v>1</v>
      </c>
      <c r="I28" s="60"/>
      <c r="J28" s="69">
        <v>2024.0</v>
      </c>
      <c r="K28" s="70">
        <v>50.0</v>
      </c>
      <c r="L28" s="71">
        <v>45474.0</v>
      </c>
      <c r="M28" s="58"/>
      <c r="N28" s="72" t="s">
        <v>9</v>
      </c>
      <c r="O28" s="72" t="s">
        <v>8</v>
      </c>
      <c r="P28" s="63">
        <f t="shared" si="10"/>
        <v>2024</v>
      </c>
      <c r="Q28" s="73"/>
      <c r="R28" s="1"/>
      <c r="S28" s="1" t="s">
        <v>10</v>
      </c>
      <c r="T28" s="64">
        <f t="shared" si="8"/>
        <v>3416.43</v>
      </c>
      <c r="U28" s="56">
        <f t="shared" si="9"/>
        <v>15</v>
      </c>
      <c r="V28" s="1"/>
      <c r="W28" s="1"/>
      <c r="X28" s="1"/>
    </row>
    <row r="29">
      <c r="A29" s="1"/>
      <c r="B29" s="65" t="s">
        <v>16</v>
      </c>
      <c r="C29" s="58"/>
      <c r="D29" s="66">
        <v>40712.0</v>
      </c>
      <c r="E29" s="58"/>
      <c r="F29" s="67" t="s">
        <v>33</v>
      </c>
      <c r="G29" s="60"/>
      <c r="H29" s="68">
        <f>COUNTIFS(Minifigures!$C$22:$C$1137,D29)</f>
        <v>2</v>
      </c>
      <c r="I29" s="60"/>
      <c r="J29" s="69">
        <v>2024.0</v>
      </c>
      <c r="K29" s="70">
        <v>0.0</v>
      </c>
      <c r="L29" s="71">
        <v>45505.0</v>
      </c>
      <c r="M29" s="58"/>
      <c r="N29" s="72" t="s">
        <v>8</v>
      </c>
      <c r="O29" s="72" t="s">
        <v>8</v>
      </c>
      <c r="P29" s="63">
        <f t="shared" si="10"/>
        <v>2024</v>
      </c>
      <c r="Q29" s="73"/>
      <c r="R29" s="1"/>
      <c r="S29" s="1"/>
      <c r="T29" s="64">
        <f t="shared" si="8"/>
        <v>0</v>
      </c>
      <c r="U29" s="56">
        <f t="shared" si="9"/>
        <v>0</v>
      </c>
      <c r="V29" s="1"/>
      <c r="W29" s="1"/>
      <c r="X29" s="1"/>
    </row>
    <row r="30">
      <c r="A30" s="1"/>
      <c r="B30" s="65" t="s">
        <v>16</v>
      </c>
      <c r="C30" s="58"/>
      <c r="D30" s="66">
        <v>40766.0</v>
      </c>
      <c r="E30" s="58"/>
      <c r="F30" s="67" t="s">
        <v>34</v>
      </c>
      <c r="G30" s="60"/>
      <c r="H30" s="68">
        <f>COUNTIFS(Minifigures!$C$22:$C$1137,D30)</f>
        <v>1</v>
      </c>
      <c r="I30" s="60"/>
      <c r="J30" s="69">
        <v>2025.0</v>
      </c>
      <c r="K30" s="70">
        <v>0.0</v>
      </c>
      <c r="L30" s="71">
        <v>45839.0</v>
      </c>
      <c r="M30" s="58"/>
      <c r="N30" s="72" t="s">
        <v>9</v>
      </c>
      <c r="O30" s="72" t="s">
        <v>8</v>
      </c>
      <c r="P30" s="63">
        <f t="shared" si="10"/>
        <v>2025</v>
      </c>
      <c r="Q30" s="73"/>
      <c r="R30" s="1"/>
      <c r="S30" s="1"/>
      <c r="T30" s="64">
        <f t="shared" si="8"/>
        <v>0</v>
      </c>
      <c r="U30" s="56">
        <f t="shared" si="9"/>
        <v>0</v>
      </c>
      <c r="V30" s="1"/>
      <c r="W30" s="1"/>
      <c r="X30" s="1"/>
    </row>
    <row r="31">
      <c r="A31" s="1"/>
      <c r="B31" s="65" t="s">
        <v>16</v>
      </c>
      <c r="C31" s="58"/>
      <c r="D31" s="66">
        <v>40767.0</v>
      </c>
      <c r="E31" s="58"/>
      <c r="F31" s="67" t="s">
        <v>35</v>
      </c>
      <c r="G31" s="60"/>
      <c r="H31" s="68">
        <f>COUNTIFS(Minifigures!$C$22:$C$1137,D31)</f>
        <v>0</v>
      </c>
      <c r="I31" s="60"/>
      <c r="J31" s="69">
        <v>2025.0</v>
      </c>
      <c r="K31" s="70">
        <v>0.0</v>
      </c>
      <c r="L31" s="71">
        <v>45870.0</v>
      </c>
      <c r="M31" s="58"/>
      <c r="N31" s="72" t="s">
        <v>8</v>
      </c>
      <c r="O31" s="72" t="s">
        <v>8</v>
      </c>
      <c r="P31" s="63">
        <f t="shared" si="10"/>
        <v>2025</v>
      </c>
      <c r="Q31" s="73"/>
      <c r="R31" s="1"/>
      <c r="S31" s="73"/>
      <c r="T31" s="64">
        <f t="shared" si="8"/>
        <v>0</v>
      </c>
      <c r="U31" s="56">
        <f t="shared" si="9"/>
        <v>0</v>
      </c>
      <c r="V31" s="1"/>
      <c r="W31" s="1"/>
      <c r="X31" s="1"/>
    </row>
    <row r="32">
      <c r="A32" s="1"/>
      <c r="B32" s="65" t="s">
        <v>16</v>
      </c>
      <c r="C32" s="58"/>
      <c r="D32" s="66">
        <v>40784.0</v>
      </c>
      <c r="E32" s="58"/>
      <c r="F32" s="67" t="s">
        <v>36</v>
      </c>
      <c r="G32" s="60"/>
      <c r="H32" s="68">
        <f>COUNTIFS(Minifigures!$C$22:$C$1137,D32)</f>
        <v>0</v>
      </c>
      <c r="I32" s="60"/>
      <c r="J32" s="69">
        <v>2025.0</v>
      </c>
      <c r="K32" s="70">
        <v>0.0</v>
      </c>
      <c r="L32" s="71">
        <v>45839.0</v>
      </c>
      <c r="M32" s="58"/>
      <c r="N32" s="72" t="s">
        <v>8</v>
      </c>
      <c r="O32" s="72" t="s">
        <v>8</v>
      </c>
      <c r="P32" s="63">
        <f t="shared" si="10"/>
        <v>2025</v>
      </c>
      <c r="Q32" s="73"/>
      <c r="R32" s="1"/>
      <c r="S32" s="1"/>
      <c r="T32" s="1"/>
      <c r="U32" s="1"/>
      <c r="V32" s="1"/>
      <c r="W32" s="1"/>
      <c r="X32" s="1"/>
    </row>
    <row r="33">
      <c r="A33" s="1"/>
      <c r="B33" s="65" t="s">
        <v>14</v>
      </c>
      <c r="C33" s="58"/>
      <c r="D33" s="66">
        <v>30651.0</v>
      </c>
      <c r="E33" s="58"/>
      <c r="F33" s="67" t="s">
        <v>37</v>
      </c>
      <c r="G33" s="60"/>
      <c r="H33" s="68">
        <f>COUNTIFS(Minifigures!$C$22:$C$1137,D33)</f>
        <v>1</v>
      </c>
      <c r="I33" s="60"/>
      <c r="J33" s="69">
        <v>2023.0</v>
      </c>
      <c r="K33" s="70">
        <v>5.0</v>
      </c>
      <c r="L33" s="71">
        <v>45536.0</v>
      </c>
      <c r="M33" s="58"/>
      <c r="N33" s="72" t="s">
        <v>9</v>
      </c>
      <c r="O33" s="72" t="s">
        <v>8</v>
      </c>
      <c r="P33" s="63">
        <f t="shared" si="10"/>
        <v>2024</v>
      </c>
      <c r="Q33" s="73"/>
      <c r="R33" s="1"/>
      <c r="S33" s="74"/>
      <c r="T33" s="1"/>
      <c r="U33" s="1"/>
      <c r="V33" s="1"/>
      <c r="W33" s="1"/>
      <c r="X33" s="1"/>
    </row>
    <row r="34">
      <c r="A34" s="1"/>
      <c r="B34" s="65" t="s">
        <v>14</v>
      </c>
      <c r="C34" s="58"/>
      <c r="D34" s="66">
        <v>30677.0</v>
      </c>
      <c r="E34" s="58"/>
      <c r="F34" s="67" t="s">
        <v>38</v>
      </c>
      <c r="G34" s="60"/>
      <c r="H34" s="68">
        <f>COUNTIFS(Minifigures!$C$22:$C$1137,D34)</f>
        <v>1</v>
      </c>
      <c r="I34" s="60"/>
      <c r="J34" s="69">
        <v>2024.0</v>
      </c>
      <c r="K34" s="70">
        <v>5.0</v>
      </c>
      <c r="L34" s="71">
        <v>45536.0</v>
      </c>
      <c r="M34" s="58"/>
      <c r="N34" s="72" t="s">
        <v>9</v>
      </c>
      <c r="O34" s="72" t="s">
        <v>8</v>
      </c>
      <c r="P34" s="63">
        <f t="shared" si="10"/>
        <v>2024</v>
      </c>
      <c r="Q34" s="73"/>
      <c r="R34" s="1"/>
      <c r="S34" s="1"/>
      <c r="T34" s="1"/>
      <c r="U34" s="1"/>
      <c r="V34" s="1"/>
      <c r="W34" s="1"/>
      <c r="X34" s="1"/>
    </row>
    <row r="35">
      <c r="A35" s="1"/>
      <c r="B35" s="65" t="s">
        <v>14</v>
      </c>
      <c r="C35" s="58"/>
      <c r="D35" s="66">
        <v>75979.0</v>
      </c>
      <c r="E35" s="58"/>
      <c r="F35" s="67" t="s">
        <v>39</v>
      </c>
      <c r="G35" s="60"/>
      <c r="H35" s="68">
        <f>COUNTIFS(Minifigures!$C$22:$C$1137,D35)</f>
        <v>1</v>
      </c>
      <c r="I35" s="60"/>
      <c r="J35" s="69">
        <v>2020.0</v>
      </c>
      <c r="K35" s="70">
        <v>57.9</v>
      </c>
      <c r="L35" s="71">
        <v>45419.0</v>
      </c>
      <c r="M35" s="58"/>
      <c r="N35" s="72" t="s">
        <v>9</v>
      </c>
      <c r="O35" s="72" t="s">
        <v>8</v>
      </c>
      <c r="P35" s="63">
        <f t="shared" si="10"/>
        <v>2024</v>
      </c>
      <c r="Q35" s="73"/>
      <c r="R35" s="1"/>
      <c r="S35" s="1"/>
      <c r="T35" s="1"/>
      <c r="U35" s="1"/>
      <c r="V35" s="1"/>
      <c r="W35" s="1"/>
      <c r="X35" s="1"/>
    </row>
    <row r="36">
      <c r="A36" s="1"/>
      <c r="B36" s="65" t="s">
        <v>14</v>
      </c>
      <c r="C36" s="58"/>
      <c r="D36" s="66">
        <v>76408.0</v>
      </c>
      <c r="E36" s="58"/>
      <c r="F36" s="67" t="s">
        <v>40</v>
      </c>
      <c r="G36" s="60"/>
      <c r="H36" s="68">
        <f>COUNTIFS(Minifigures!$C$22:$C$1137,D36)</f>
        <v>9</v>
      </c>
      <c r="I36" s="60"/>
      <c r="J36" s="69">
        <v>2022.0</v>
      </c>
      <c r="K36" s="70">
        <v>167.7</v>
      </c>
      <c r="L36" s="71">
        <v>45332.0</v>
      </c>
      <c r="M36" s="58"/>
      <c r="N36" s="72" t="s">
        <v>9</v>
      </c>
      <c r="O36" s="72" t="s">
        <v>8</v>
      </c>
      <c r="P36" s="63">
        <f t="shared" si="10"/>
        <v>2024</v>
      </c>
      <c r="Q36" s="73"/>
      <c r="R36" s="1"/>
      <c r="S36" s="1"/>
      <c r="T36" s="1"/>
      <c r="U36" s="1"/>
      <c r="V36" s="1"/>
      <c r="W36" s="1"/>
      <c r="X36" s="1"/>
    </row>
    <row r="37">
      <c r="A37" s="1"/>
      <c r="B37" s="65" t="s">
        <v>14</v>
      </c>
      <c r="C37" s="58"/>
      <c r="D37" s="66">
        <v>76414.0</v>
      </c>
      <c r="E37" s="58"/>
      <c r="F37" s="67" t="s">
        <v>41</v>
      </c>
      <c r="G37" s="60"/>
      <c r="H37" s="68">
        <f>COUNTIFS(Minifigures!$C$22:$C$1137,D37)</f>
        <v>4</v>
      </c>
      <c r="I37" s="60"/>
      <c r="J37" s="69">
        <v>2023.0</v>
      </c>
      <c r="K37" s="70">
        <v>56.9</v>
      </c>
      <c r="L37" s="71">
        <v>45474.0</v>
      </c>
      <c r="M37" s="58"/>
      <c r="N37" s="72" t="s">
        <v>9</v>
      </c>
      <c r="O37" s="72" t="s">
        <v>9</v>
      </c>
      <c r="P37" s="63">
        <f t="shared" si="10"/>
        <v>2024</v>
      </c>
      <c r="Q37" s="73"/>
      <c r="R37" s="1"/>
      <c r="S37" s="16"/>
      <c r="T37" s="1"/>
      <c r="U37" s="1"/>
      <c r="V37" s="1"/>
      <c r="W37" s="1"/>
      <c r="X37" s="1"/>
    </row>
    <row r="38">
      <c r="A38" s="1"/>
      <c r="B38" s="65" t="s">
        <v>14</v>
      </c>
      <c r="C38" s="58"/>
      <c r="D38" s="66">
        <v>76414.0</v>
      </c>
      <c r="E38" s="58"/>
      <c r="F38" s="67" t="s">
        <v>41</v>
      </c>
      <c r="G38" s="60"/>
      <c r="H38" s="68">
        <f>COUNTIFS(Minifigures!$C$22:$C$1137,D38)</f>
        <v>4</v>
      </c>
      <c r="I38" s="60"/>
      <c r="J38" s="69">
        <v>2023.0</v>
      </c>
      <c r="K38" s="70">
        <v>56.9</v>
      </c>
      <c r="L38" s="71">
        <v>45474.0</v>
      </c>
      <c r="M38" s="58"/>
      <c r="N38" s="72" t="s">
        <v>9</v>
      </c>
      <c r="O38" s="72" t="s">
        <v>9</v>
      </c>
      <c r="P38" s="63">
        <f t="shared" si="10"/>
        <v>2024</v>
      </c>
      <c r="Q38" s="73"/>
      <c r="R38" s="1"/>
      <c r="S38" s="75"/>
      <c r="T38" s="1"/>
      <c r="U38" s="1"/>
      <c r="V38" s="1"/>
      <c r="W38" s="1"/>
      <c r="X38" s="1"/>
    </row>
    <row r="39">
      <c r="A39" s="1"/>
      <c r="B39" s="65" t="s">
        <v>14</v>
      </c>
      <c r="C39" s="58"/>
      <c r="D39" s="66">
        <v>76419.0</v>
      </c>
      <c r="E39" s="58"/>
      <c r="F39" s="67" t="s">
        <v>42</v>
      </c>
      <c r="G39" s="60"/>
      <c r="H39" s="68">
        <f>COUNTIFS(Minifigures!$C$22:$C$1137,D39)</f>
        <v>1</v>
      </c>
      <c r="I39" s="60"/>
      <c r="J39" s="69">
        <v>2023.0</v>
      </c>
      <c r="K39" s="70">
        <v>139.9</v>
      </c>
      <c r="L39" s="71">
        <v>45314.0</v>
      </c>
      <c r="M39" s="58"/>
      <c r="N39" s="72" t="s">
        <v>9</v>
      </c>
      <c r="O39" s="72" t="s">
        <v>8</v>
      </c>
      <c r="P39" s="63">
        <f t="shared" si="10"/>
        <v>2024</v>
      </c>
      <c r="Q39" s="73"/>
      <c r="R39" s="1"/>
      <c r="S39" s="1"/>
      <c r="T39" s="1"/>
      <c r="U39" s="1"/>
      <c r="V39" s="1"/>
      <c r="W39" s="1"/>
      <c r="X39" s="1"/>
    </row>
    <row r="40">
      <c r="A40" s="1"/>
      <c r="B40" s="65" t="s">
        <v>14</v>
      </c>
      <c r="C40" s="58"/>
      <c r="D40" s="66">
        <v>76424.0</v>
      </c>
      <c r="E40" s="58"/>
      <c r="F40" s="67" t="s">
        <v>43</v>
      </c>
      <c r="G40" s="60"/>
      <c r="H40" s="68">
        <f>COUNTIFS(Minifigures!$C$22:$C$1137,D40)</f>
        <v>2</v>
      </c>
      <c r="I40" s="60"/>
      <c r="J40" s="69">
        <v>2024.0</v>
      </c>
      <c r="K40" s="70">
        <v>14.99</v>
      </c>
      <c r="L40" s="71">
        <v>45696.0</v>
      </c>
      <c r="M40" s="58"/>
      <c r="N40" s="72" t="s">
        <v>9</v>
      </c>
      <c r="O40" s="72" t="s">
        <v>9</v>
      </c>
      <c r="P40" s="63">
        <f t="shared" si="10"/>
        <v>2025</v>
      </c>
      <c r="Q40" s="73"/>
      <c r="R40" s="1"/>
      <c r="S40" s="1"/>
      <c r="T40" s="1"/>
      <c r="U40" s="1"/>
      <c r="V40" s="1"/>
      <c r="W40" s="1"/>
      <c r="X40" s="1"/>
    </row>
    <row r="41">
      <c r="A41" s="1"/>
      <c r="B41" s="65" t="s">
        <v>14</v>
      </c>
      <c r="C41" s="58"/>
      <c r="D41" s="66">
        <v>76444.0</v>
      </c>
      <c r="E41" s="58"/>
      <c r="F41" s="67" t="s">
        <v>44</v>
      </c>
      <c r="G41" s="60"/>
      <c r="H41" s="68">
        <f>COUNTIFS(Minifigures!$C$22:$C$1137,D41)</f>
        <v>0</v>
      </c>
      <c r="I41" s="60"/>
      <c r="J41" s="69">
        <v>2025.0</v>
      </c>
      <c r="K41" s="70">
        <v>169.9</v>
      </c>
      <c r="L41" s="71">
        <v>45720.0</v>
      </c>
      <c r="M41" s="58"/>
      <c r="N41" s="72" t="s">
        <v>9</v>
      </c>
      <c r="O41" s="72" t="s">
        <v>9</v>
      </c>
      <c r="P41" s="63">
        <f t="shared" si="10"/>
        <v>2025</v>
      </c>
      <c r="Q41" s="73"/>
      <c r="R41" s="1"/>
      <c r="S41" s="1"/>
      <c r="T41" s="1"/>
      <c r="U41" s="1"/>
      <c r="V41" s="1"/>
      <c r="W41" s="1"/>
      <c r="X41" s="1"/>
    </row>
    <row r="42">
      <c r="A42" s="1"/>
      <c r="B42" s="65" t="s">
        <v>14</v>
      </c>
      <c r="C42" s="58"/>
      <c r="D42" s="66">
        <v>76450.0</v>
      </c>
      <c r="E42" s="58"/>
      <c r="F42" s="67" t="s">
        <v>45</v>
      </c>
      <c r="G42" s="60"/>
      <c r="H42" s="68">
        <f>COUNTIFS(Minifigures!$C$22:$C$1137,D42)</f>
        <v>2</v>
      </c>
      <c r="I42" s="60"/>
      <c r="J42" s="69">
        <v>2025.0</v>
      </c>
      <c r="K42" s="70">
        <v>84.99</v>
      </c>
      <c r="L42" s="71">
        <v>45839.0</v>
      </c>
      <c r="M42" s="58"/>
      <c r="N42" s="72" t="s">
        <v>9</v>
      </c>
      <c r="O42" s="72" t="s">
        <v>8</v>
      </c>
      <c r="P42" s="63">
        <f t="shared" si="10"/>
        <v>2025</v>
      </c>
      <c r="Q42" s="73"/>
      <c r="R42" s="1"/>
      <c r="S42" s="1"/>
      <c r="T42" s="1"/>
      <c r="U42" s="1"/>
      <c r="V42" s="1"/>
      <c r="W42" s="1"/>
      <c r="X42" s="1"/>
    </row>
    <row r="43">
      <c r="A43" s="1"/>
      <c r="B43" s="65" t="s">
        <v>14</v>
      </c>
      <c r="C43" s="58"/>
      <c r="D43" s="66">
        <v>76459.0</v>
      </c>
      <c r="E43" s="58"/>
      <c r="F43" s="67" t="s">
        <v>46</v>
      </c>
      <c r="G43" s="60"/>
      <c r="H43" s="68">
        <f>COUNTIFS(Minifigures!$C$22:$C$1137,D43)</f>
        <v>4</v>
      </c>
      <c r="I43" s="60"/>
      <c r="J43" s="69">
        <v>2026.0</v>
      </c>
      <c r="K43" s="70">
        <v>16.9</v>
      </c>
      <c r="L43" s="71">
        <v>46143.0</v>
      </c>
      <c r="M43" s="58"/>
      <c r="N43" s="72" t="s">
        <v>9</v>
      </c>
      <c r="O43" s="72" t="s">
        <v>9</v>
      </c>
      <c r="P43" s="63">
        <f t="shared" si="10"/>
        <v>2026</v>
      </c>
      <c r="Q43" s="73"/>
      <c r="R43" s="1"/>
      <c r="S43" s="1"/>
      <c r="T43" s="1"/>
      <c r="U43" s="1"/>
      <c r="V43" s="1"/>
      <c r="W43" s="1"/>
      <c r="X43" s="1"/>
    </row>
    <row r="44">
      <c r="A44" s="1"/>
      <c r="B44" s="65" t="s">
        <v>14</v>
      </c>
      <c r="C44" s="58"/>
      <c r="D44" s="66">
        <v>76464.0</v>
      </c>
      <c r="E44" s="58"/>
      <c r="F44" s="67" t="s">
        <v>47</v>
      </c>
      <c r="G44" s="60"/>
      <c r="H44" s="68">
        <f>COUNTIFS(Minifigures!$C$22:$C$1137,D44)</f>
        <v>2</v>
      </c>
      <c r="I44" s="60"/>
      <c r="J44" s="69">
        <v>2026.0</v>
      </c>
      <c r="K44" s="70">
        <v>60.99</v>
      </c>
      <c r="L44" s="71">
        <v>46066.0</v>
      </c>
      <c r="M44" s="58"/>
      <c r="N44" s="72" t="s">
        <v>9</v>
      </c>
      <c r="O44" s="72" t="s">
        <v>9</v>
      </c>
      <c r="P44" s="63">
        <f t="shared" si="10"/>
        <v>2026</v>
      </c>
      <c r="Q44" s="73"/>
      <c r="R44" s="1"/>
      <c r="S44" s="1"/>
      <c r="T44" s="1"/>
      <c r="U44" s="1"/>
      <c r="V44" s="1"/>
      <c r="W44" s="1"/>
      <c r="X44" s="1"/>
    </row>
    <row r="45">
      <c r="A45" s="1"/>
      <c r="B45" s="65" t="s">
        <v>12</v>
      </c>
      <c r="C45" s="58"/>
      <c r="D45" s="66">
        <v>10274.0</v>
      </c>
      <c r="E45" s="58"/>
      <c r="F45" s="67" t="s">
        <v>48</v>
      </c>
      <c r="G45" s="60"/>
      <c r="H45" s="68">
        <f>COUNTIFS(Minifigures!$C$22:$C$1137,D45)</f>
        <v>0</v>
      </c>
      <c r="I45" s="60"/>
      <c r="J45" s="69">
        <v>2020.0</v>
      </c>
      <c r="K45" s="70">
        <v>189.9</v>
      </c>
      <c r="L45" s="71">
        <v>45314.0</v>
      </c>
      <c r="M45" s="58"/>
      <c r="N45" s="72" t="s">
        <v>8</v>
      </c>
      <c r="O45" s="72" t="s">
        <v>8</v>
      </c>
      <c r="P45" s="63">
        <f t="shared" si="10"/>
        <v>2024</v>
      </c>
      <c r="Q45" s="73"/>
      <c r="R45" s="1"/>
      <c r="S45" s="1"/>
      <c r="T45" s="1"/>
      <c r="U45" s="1"/>
      <c r="V45" s="1"/>
      <c r="W45" s="1"/>
      <c r="X45" s="1"/>
    </row>
    <row r="46">
      <c r="A46" s="1"/>
      <c r="B46" s="65" t="s">
        <v>12</v>
      </c>
      <c r="C46" s="58"/>
      <c r="D46" s="66">
        <v>10300.0</v>
      </c>
      <c r="E46" s="58"/>
      <c r="F46" s="67" t="s">
        <v>49</v>
      </c>
      <c r="G46" s="60"/>
      <c r="H46" s="68">
        <f>COUNTIFS(Minifigures!$C$22:$C$1137,D46)</f>
        <v>2</v>
      </c>
      <c r="I46" s="60"/>
      <c r="J46" s="69">
        <v>2022.0</v>
      </c>
      <c r="K46" s="70">
        <v>184.9</v>
      </c>
      <c r="L46" s="71">
        <v>45314.0</v>
      </c>
      <c r="M46" s="58"/>
      <c r="N46" s="72" t="s">
        <v>8</v>
      </c>
      <c r="O46" s="72" t="s">
        <v>8</v>
      </c>
      <c r="P46" s="63">
        <f t="shared" si="10"/>
        <v>2024</v>
      </c>
      <c r="Q46" s="73"/>
      <c r="R46" s="1"/>
      <c r="S46" s="1"/>
      <c r="T46" s="1"/>
      <c r="U46" s="1"/>
      <c r="V46" s="1"/>
      <c r="W46" s="1"/>
      <c r="X46" s="1"/>
    </row>
    <row r="47">
      <c r="A47" s="1"/>
      <c r="B47" s="65" t="s">
        <v>12</v>
      </c>
      <c r="C47" s="58"/>
      <c r="D47" s="66">
        <v>10327.0</v>
      </c>
      <c r="E47" s="58"/>
      <c r="F47" s="67" t="s">
        <v>50</v>
      </c>
      <c r="G47" s="60"/>
      <c r="H47" s="68">
        <f>COUNTIFS(Minifigures!$C$22:$C$1137,D47)</f>
        <v>8</v>
      </c>
      <c r="I47" s="60"/>
      <c r="J47" s="69">
        <v>2024.0</v>
      </c>
      <c r="K47" s="70">
        <v>172.9</v>
      </c>
      <c r="L47" s="71">
        <v>45332.0</v>
      </c>
      <c r="M47" s="58"/>
      <c r="N47" s="72" t="s">
        <v>8</v>
      </c>
      <c r="O47" s="72" t="s">
        <v>8</v>
      </c>
      <c r="P47" s="63">
        <f t="shared" si="10"/>
        <v>2024</v>
      </c>
      <c r="Q47" s="73"/>
      <c r="R47" s="1"/>
      <c r="S47" s="1"/>
      <c r="T47" s="1"/>
      <c r="U47" s="1"/>
      <c r="V47" s="1"/>
      <c r="W47" s="1"/>
      <c r="X47" s="1"/>
    </row>
    <row r="48">
      <c r="A48" s="1"/>
      <c r="B48" s="65" t="s">
        <v>12</v>
      </c>
      <c r="C48" s="58"/>
      <c r="D48" s="66">
        <v>10330.0</v>
      </c>
      <c r="E48" s="58"/>
      <c r="F48" s="67" t="s">
        <v>51</v>
      </c>
      <c r="G48" s="60"/>
      <c r="H48" s="68">
        <f>COUNTIFS(Minifigures!$C$22:$C$1137,D48)</f>
        <v>1</v>
      </c>
      <c r="I48" s="60"/>
      <c r="J48" s="69">
        <v>2024.0</v>
      </c>
      <c r="K48" s="70">
        <v>79.9</v>
      </c>
      <c r="L48" s="71">
        <v>45393.0</v>
      </c>
      <c r="M48" s="58"/>
      <c r="N48" s="72" t="s">
        <v>8</v>
      </c>
      <c r="O48" s="72" t="s">
        <v>9</v>
      </c>
      <c r="P48" s="63">
        <f t="shared" si="10"/>
        <v>2024</v>
      </c>
      <c r="Q48" s="73"/>
      <c r="R48" s="1"/>
      <c r="S48" s="1"/>
      <c r="T48" s="1"/>
      <c r="U48" s="1"/>
      <c r="V48" s="1"/>
      <c r="W48" s="1"/>
      <c r="X48" s="1"/>
    </row>
    <row r="49">
      <c r="A49" s="1"/>
      <c r="B49" s="65" t="s">
        <v>12</v>
      </c>
      <c r="C49" s="58"/>
      <c r="D49" s="66">
        <v>10337.0</v>
      </c>
      <c r="E49" s="58"/>
      <c r="F49" s="67" t="s">
        <v>52</v>
      </c>
      <c r="G49" s="60"/>
      <c r="H49" s="68">
        <f>COUNTIFS(Minifigures!$C$22:$C$1137,D49)</f>
        <v>0</v>
      </c>
      <c r="I49" s="60"/>
      <c r="J49" s="69">
        <v>2024.0</v>
      </c>
      <c r="K49" s="70">
        <v>179.99</v>
      </c>
      <c r="L49" s="71">
        <v>45505.0</v>
      </c>
      <c r="M49" s="58"/>
      <c r="N49" s="72" t="s">
        <v>8</v>
      </c>
      <c r="O49" s="72" t="s">
        <v>8</v>
      </c>
      <c r="P49" s="63">
        <f t="shared" si="10"/>
        <v>2024</v>
      </c>
      <c r="Q49" s="1"/>
      <c r="R49" s="1"/>
      <c r="S49" s="1"/>
      <c r="T49" s="1"/>
      <c r="U49" s="1"/>
      <c r="V49" s="1"/>
      <c r="W49" s="1"/>
      <c r="X49" s="1"/>
    </row>
    <row r="50">
      <c r="A50" s="1"/>
      <c r="B50" s="65" t="s">
        <v>12</v>
      </c>
      <c r="C50" s="58"/>
      <c r="D50" s="66">
        <v>10351.0</v>
      </c>
      <c r="E50" s="58"/>
      <c r="F50" s="67" t="s">
        <v>53</v>
      </c>
      <c r="G50" s="60"/>
      <c r="H50" s="68">
        <f>COUNTIFS(Minifigures!$C$22:$C$1137,D50)</f>
        <v>4</v>
      </c>
      <c r="I50" s="60"/>
      <c r="J50" s="69">
        <v>2025.0</v>
      </c>
      <c r="K50" s="70">
        <v>104.0</v>
      </c>
      <c r="L50" s="71">
        <v>46126.0</v>
      </c>
      <c r="M50" s="58"/>
      <c r="N50" s="72" t="s">
        <v>9</v>
      </c>
      <c r="O50" s="72" t="s">
        <v>9</v>
      </c>
      <c r="P50" s="63">
        <f t="shared" si="10"/>
        <v>2026</v>
      </c>
      <c r="Q50" s="73"/>
      <c r="R50" s="1"/>
      <c r="S50" s="1"/>
      <c r="T50" s="1"/>
      <c r="U50" s="1"/>
      <c r="V50" s="1"/>
      <c r="W50" s="1"/>
      <c r="X50" s="1"/>
    </row>
    <row r="51">
      <c r="A51" s="1"/>
      <c r="B51" s="65" t="s">
        <v>12</v>
      </c>
      <c r="C51" s="58"/>
      <c r="D51" s="66">
        <v>10353.0</v>
      </c>
      <c r="E51" s="58"/>
      <c r="F51" s="67" t="s">
        <v>54</v>
      </c>
      <c r="G51" s="60"/>
      <c r="H51" s="68">
        <f>COUNTIFS(Minifigures!$C$22:$C$1137,D51)</f>
        <v>1</v>
      </c>
      <c r="I51" s="60"/>
      <c r="J51" s="69">
        <v>2025.0</v>
      </c>
      <c r="K51" s="70">
        <v>67.21</v>
      </c>
      <c r="L51" s="71">
        <v>45757.0</v>
      </c>
      <c r="M51" s="58"/>
      <c r="N51" s="72" t="s">
        <v>8</v>
      </c>
      <c r="O51" s="72" t="s">
        <v>9</v>
      </c>
      <c r="P51" s="63">
        <f t="shared" si="10"/>
        <v>2025</v>
      </c>
      <c r="Q51" s="73"/>
      <c r="R51" s="1"/>
      <c r="S51" s="1"/>
      <c r="T51" s="1"/>
      <c r="U51" s="1"/>
      <c r="V51" s="1"/>
      <c r="W51" s="1"/>
      <c r="X51" s="1"/>
    </row>
    <row r="52">
      <c r="A52" s="1"/>
      <c r="B52" s="65" t="s">
        <v>12</v>
      </c>
      <c r="C52" s="58"/>
      <c r="D52" s="66">
        <v>10356.0</v>
      </c>
      <c r="E52" s="58"/>
      <c r="F52" s="67" t="s">
        <v>55</v>
      </c>
      <c r="G52" s="60"/>
      <c r="H52" s="68">
        <f>COUNTIFS(Minifigures!$C$22:$C$1137,D52)</f>
        <v>9</v>
      </c>
      <c r="I52" s="60"/>
      <c r="J52" s="69">
        <v>2025.0</v>
      </c>
      <c r="K52" s="70">
        <v>340.0</v>
      </c>
      <c r="L52" s="71">
        <v>45963.0</v>
      </c>
      <c r="M52" s="58"/>
      <c r="N52" s="72" t="s">
        <v>8</v>
      </c>
      <c r="O52" s="72" t="s">
        <v>9</v>
      </c>
      <c r="P52" s="63">
        <f t="shared" si="10"/>
        <v>2025</v>
      </c>
      <c r="Q52" s="73"/>
      <c r="R52" s="1"/>
      <c r="S52" s="1"/>
      <c r="T52" s="1"/>
      <c r="U52" s="1"/>
      <c r="V52" s="1"/>
      <c r="W52" s="1"/>
      <c r="X52" s="1"/>
    </row>
    <row r="53">
      <c r="A53" s="1"/>
      <c r="B53" s="65" t="s">
        <v>12</v>
      </c>
      <c r="C53" s="58"/>
      <c r="D53" s="66">
        <v>10363.0</v>
      </c>
      <c r="E53" s="58"/>
      <c r="F53" s="67" t="s">
        <v>56</v>
      </c>
      <c r="G53" s="60"/>
      <c r="H53" s="68">
        <f>COUNTIFS(Minifigures!$C$22:$C$1137,D53)</f>
        <v>1</v>
      </c>
      <c r="I53" s="60"/>
      <c r="J53" s="69">
        <v>2025.0</v>
      </c>
      <c r="K53" s="70">
        <v>49.9</v>
      </c>
      <c r="L53" s="71">
        <v>45962.0</v>
      </c>
      <c r="M53" s="58"/>
      <c r="N53" s="72" t="s">
        <v>9</v>
      </c>
      <c r="O53" s="72" t="s">
        <v>9</v>
      </c>
      <c r="P53" s="63">
        <f t="shared" si="10"/>
        <v>2025</v>
      </c>
      <c r="Q53" s="73"/>
      <c r="R53" s="1"/>
      <c r="S53" s="1"/>
      <c r="T53" s="1"/>
      <c r="U53" s="1"/>
      <c r="V53" s="1"/>
      <c r="W53" s="1"/>
      <c r="X53" s="1"/>
    </row>
    <row r="54">
      <c r="A54" s="1"/>
      <c r="B54" s="65" t="s">
        <v>12</v>
      </c>
      <c r="C54" s="58"/>
      <c r="D54" s="66">
        <v>10365.0</v>
      </c>
      <c r="E54" s="58"/>
      <c r="F54" s="67" t="s">
        <v>57</v>
      </c>
      <c r="G54" s="60"/>
      <c r="H54" s="68">
        <f>COUNTIFS(Minifigures!$C$22:$C$1137,D54)</f>
        <v>9</v>
      </c>
      <c r="I54" s="60"/>
      <c r="J54" s="69">
        <v>2025.0</v>
      </c>
      <c r="K54" s="70">
        <v>330.0</v>
      </c>
      <c r="L54" s="71">
        <v>45932.0</v>
      </c>
      <c r="M54" s="58"/>
      <c r="N54" s="72" t="s">
        <v>8</v>
      </c>
      <c r="O54" s="72" t="s">
        <v>8</v>
      </c>
      <c r="P54" s="63">
        <f t="shared" si="10"/>
        <v>2025</v>
      </c>
      <c r="Q54" s="73"/>
      <c r="R54" s="1"/>
      <c r="S54" s="1"/>
      <c r="T54" s="1"/>
      <c r="U54" s="1"/>
      <c r="V54" s="1"/>
      <c r="W54" s="1"/>
      <c r="X54" s="1"/>
    </row>
    <row r="55">
      <c r="A55" s="1"/>
      <c r="B55" s="65" t="s">
        <v>12</v>
      </c>
      <c r="C55" s="58"/>
      <c r="D55" s="66">
        <v>10367.0</v>
      </c>
      <c r="E55" s="58"/>
      <c r="F55" s="67" t="s">
        <v>58</v>
      </c>
      <c r="G55" s="60"/>
      <c r="H55" s="68">
        <f>COUNTIFS(Minifigures!$C$22:$C$1137,D55)</f>
        <v>1</v>
      </c>
      <c r="I55" s="60"/>
      <c r="J55" s="69">
        <v>2025.0</v>
      </c>
      <c r="K55" s="70">
        <v>107.09</v>
      </c>
      <c r="L55" s="71">
        <v>45839.0</v>
      </c>
      <c r="M55" s="58"/>
      <c r="N55" s="72" t="s">
        <v>9</v>
      </c>
      <c r="O55" s="72" t="s">
        <v>8</v>
      </c>
      <c r="P55" s="63">
        <f t="shared" si="10"/>
        <v>2025</v>
      </c>
      <c r="Q55" s="73"/>
      <c r="R55" s="1"/>
      <c r="S55" s="1"/>
      <c r="T55" s="1"/>
      <c r="U55" s="1"/>
      <c r="V55" s="1"/>
      <c r="W55" s="1"/>
      <c r="X55" s="1"/>
    </row>
    <row r="56">
      <c r="A56" s="1"/>
      <c r="B56" s="65" t="s">
        <v>12</v>
      </c>
      <c r="C56" s="58"/>
      <c r="D56" s="66">
        <v>11375.0</v>
      </c>
      <c r="E56" s="58"/>
      <c r="F56" s="67" t="s">
        <v>59</v>
      </c>
      <c r="G56" s="60"/>
      <c r="H56" s="68">
        <f>COUNTIFS(Minifigures!$C$22:$C$1137,D56)</f>
        <v>1</v>
      </c>
      <c r="I56" s="60"/>
      <c r="J56" s="69">
        <v>2026.0</v>
      </c>
      <c r="K56" s="70">
        <v>93.89</v>
      </c>
      <c r="L56" s="71">
        <v>46083.0</v>
      </c>
      <c r="M56" s="58"/>
      <c r="N56" s="72" t="s">
        <v>8</v>
      </c>
      <c r="O56" s="72" t="s">
        <v>9</v>
      </c>
      <c r="P56" s="63">
        <f t="shared" si="10"/>
        <v>2026</v>
      </c>
      <c r="Q56" s="73"/>
      <c r="R56" s="1"/>
      <c r="S56" s="1"/>
      <c r="T56" s="1"/>
      <c r="U56" s="1"/>
      <c r="V56" s="1"/>
      <c r="W56" s="1"/>
      <c r="X56" s="1"/>
    </row>
    <row r="57">
      <c r="A57" s="1"/>
      <c r="B57" s="65" t="s">
        <v>12</v>
      </c>
      <c r="C57" s="58"/>
      <c r="D57" s="66">
        <v>40768.0</v>
      </c>
      <c r="E57" s="58"/>
      <c r="F57" s="67" t="s">
        <v>60</v>
      </c>
      <c r="G57" s="60"/>
      <c r="H57" s="68">
        <f>COUNTIFS(Minifigures!$C$22:$C$1137,D57)</f>
        <v>1</v>
      </c>
      <c r="I57" s="60"/>
      <c r="J57" s="69">
        <v>2025.0</v>
      </c>
      <c r="K57" s="70">
        <v>0.0</v>
      </c>
      <c r="L57" s="71">
        <v>45964.0</v>
      </c>
      <c r="M57" s="58"/>
      <c r="N57" s="72" t="s">
        <v>8</v>
      </c>
      <c r="O57" s="72" t="s">
        <v>9</v>
      </c>
      <c r="P57" s="63">
        <f t="shared" si="10"/>
        <v>2025</v>
      </c>
      <c r="Q57" s="73"/>
      <c r="R57" s="1"/>
      <c r="S57" s="1"/>
      <c r="T57" s="1"/>
      <c r="U57" s="1"/>
      <c r="V57" s="1"/>
      <c r="W57" s="1"/>
      <c r="X57" s="1"/>
    </row>
    <row r="58">
      <c r="A58" s="1"/>
      <c r="B58" s="65" t="s">
        <v>12</v>
      </c>
      <c r="C58" s="58"/>
      <c r="D58" s="66">
        <v>6601584.0</v>
      </c>
      <c r="E58" s="58"/>
      <c r="F58" s="67" t="s">
        <v>61</v>
      </c>
      <c r="G58" s="60"/>
      <c r="H58" s="68">
        <f>COUNTIFS(Minifigures!$C$22:$C$1137,D58)</f>
        <v>0</v>
      </c>
      <c r="I58" s="60"/>
      <c r="J58" s="69">
        <v>2025.0</v>
      </c>
      <c r="K58" s="70">
        <v>0.0</v>
      </c>
      <c r="L58" s="71">
        <v>45965.0</v>
      </c>
      <c r="M58" s="58"/>
      <c r="N58" s="72" t="s">
        <v>8</v>
      </c>
      <c r="O58" s="72" t="s">
        <v>8</v>
      </c>
      <c r="P58" s="63">
        <f t="shared" si="10"/>
        <v>2025</v>
      </c>
      <c r="Q58" s="73"/>
      <c r="R58" s="1"/>
      <c r="S58" s="1"/>
      <c r="T58" s="1"/>
      <c r="U58" s="1"/>
      <c r="V58" s="1"/>
      <c r="W58" s="1"/>
      <c r="X58" s="1"/>
    </row>
    <row r="59">
      <c r="A59" s="1"/>
      <c r="B59" s="65" t="s">
        <v>15</v>
      </c>
      <c r="C59" s="58"/>
      <c r="D59" s="66">
        <v>76193.0</v>
      </c>
      <c r="E59" s="58"/>
      <c r="F59" s="67" t="s">
        <v>62</v>
      </c>
      <c r="G59" s="60"/>
      <c r="H59" s="68">
        <f>COUNTIFS(Minifigures!$C$22:$C$1137,D59)</f>
        <v>6</v>
      </c>
      <c r="I59" s="60"/>
      <c r="J59" s="69">
        <v>2021.0</v>
      </c>
      <c r="K59" s="70">
        <v>170.0</v>
      </c>
      <c r="L59" s="71">
        <v>45305.0</v>
      </c>
      <c r="M59" s="58"/>
      <c r="N59" s="72" t="s">
        <v>9</v>
      </c>
      <c r="O59" s="72" t="s">
        <v>8</v>
      </c>
      <c r="P59" s="63">
        <f t="shared" si="10"/>
        <v>2024</v>
      </c>
      <c r="Q59" s="73"/>
      <c r="R59" s="1"/>
      <c r="S59" s="1"/>
      <c r="T59" s="1"/>
      <c r="U59" s="1"/>
      <c r="V59" s="1"/>
      <c r="W59" s="1"/>
      <c r="X59" s="1"/>
    </row>
    <row r="60">
      <c r="A60" s="1"/>
      <c r="B60" s="65" t="s">
        <v>15</v>
      </c>
      <c r="C60" s="58"/>
      <c r="D60" s="66">
        <v>76218.0</v>
      </c>
      <c r="E60" s="58"/>
      <c r="F60" s="67" t="s">
        <v>63</v>
      </c>
      <c r="G60" s="60"/>
      <c r="H60" s="68">
        <f>COUNTIFS(Minifigures!$C$22:$C$1137,D60)</f>
        <v>9</v>
      </c>
      <c r="I60" s="60"/>
      <c r="J60" s="69">
        <v>2022.0</v>
      </c>
      <c r="K60" s="70">
        <v>199.9</v>
      </c>
      <c r="L60" s="71">
        <v>45422.0</v>
      </c>
      <c r="M60" s="58"/>
      <c r="N60" s="72" t="s">
        <v>9</v>
      </c>
      <c r="O60" s="72" t="s">
        <v>9</v>
      </c>
      <c r="P60" s="63">
        <f t="shared" si="10"/>
        <v>2024</v>
      </c>
      <c r="Q60" s="73"/>
      <c r="R60" s="1"/>
      <c r="S60" s="1"/>
      <c r="T60" s="1"/>
      <c r="U60" s="1"/>
      <c r="V60" s="1"/>
      <c r="W60" s="1"/>
      <c r="X60" s="1"/>
    </row>
    <row r="61">
      <c r="A61" s="1"/>
      <c r="B61" s="65" t="s">
        <v>15</v>
      </c>
      <c r="C61" s="58"/>
      <c r="D61" s="66">
        <v>76286.0</v>
      </c>
      <c r="E61" s="58"/>
      <c r="F61" s="67" t="s">
        <v>64</v>
      </c>
      <c r="G61" s="60"/>
      <c r="H61" s="68">
        <f>COUNTIFS(Minifigures!$C$22:$C$1137,D61)</f>
        <v>5</v>
      </c>
      <c r="I61" s="60"/>
      <c r="J61" s="69">
        <v>2024.0</v>
      </c>
      <c r="K61" s="70">
        <v>190.0</v>
      </c>
      <c r="L61" s="71">
        <v>45505.0</v>
      </c>
      <c r="M61" s="58"/>
      <c r="N61" s="72" t="s">
        <v>9</v>
      </c>
      <c r="O61" s="72" t="s">
        <v>8</v>
      </c>
      <c r="P61" s="63">
        <f t="shared" si="10"/>
        <v>2024</v>
      </c>
      <c r="Q61" s="73"/>
      <c r="R61" s="1"/>
      <c r="S61" s="1"/>
      <c r="T61" s="1"/>
      <c r="U61" s="1"/>
      <c r="V61" s="1"/>
      <c r="W61" s="1"/>
      <c r="X61" s="1"/>
    </row>
    <row r="62">
      <c r="A62" s="1"/>
      <c r="B62" s="65" t="s">
        <v>17</v>
      </c>
      <c r="C62" s="58"/>
      <c r="D62" s="66">
        <v>77252.0</v>
      </c>
      <c r="E62" s="58"/>
      <c r="F62" s="67" t="s">
        <v>65</v>
      </c>
      <c r="G62" s="60"/>
      <c r="H62" s="68">
        <f>COUNTIFS(Minifigures!$C$22:$C$1137,D62)</f>
        <v>2</v>
      </c>
      <c r="I62" s="60"/>
      <c r="J62" s="69">
        <v>2026.0</v>
      </c>
      <c r="K62" s="70">
        <v>27.99</v>
      </c>
      <c r="L62" s="71">
        <v>46066.0</v>
      </c>
      <c r="M62" s="58"/>
      <c r="N62" s="72" t="s">
        <v>8</v>
      </c>
      <c r="O62" s="72" t="s">
        <v>8</v>
      </c>
      <c r="P62" s="63">
        <f t="shared" si="10"/>
        <v>2026</v>
      </c>
      <c r="Q62" s="73"/>
      <c r="R62" s="1"/>
      <c r="S62" s="1"/>
      <c r="T62" s="1"/>
      <c r="U62" s="1"/>
      <c r="V62" s="1"/>
      <c r="W62" s="1"/>
      <c r="X62" s="1"/>
    </row>
    <row r="63">
      <c r="A63" s="1"/>
      <c r="B63" s="65" t="s">
        <v>17</v>
      </c>
      <c r="C63" s="58"/>
      <c r="D63" s="66">
        <v>77256.0</v>
      </c>
      <c r="E63" s="58"/>
      <c r="F63" s="67" t="s">
        <v>66</v>
      </c>
      <c r="G63" s="60"/>
      <c r="H63" s="68">
        <f>COUNTIFS(Minifigures!$C$22:$C$1137,D63)</f>
        <v>2</v>
      </c>
      <c r="I63" s="60"/>
      <c r="J63" s="69">
        <v>2026.0</v>
      </c>
      <c r="K63" s="70">
        <v>27.99</v>
      </c>
      <c r="L63" s="71">
        <v>46066.0</v>
      </c>
      <c r="M63" s="58"/>
      <c r="N63" s="72" t="s">
        <v>8</v>
      </c>
      <c r="O63" s="72" t="s">
        <v>9</v>
      </c>
      <c r="P63" s="63">
        <f t="shared" si="10"/>
        <v>2026</v>
      </c>
      <c r="Q63" s="73"/>
      <c r="R63" s="1"/>
      <c r="S63" s="1"/>
      <c r="T63" s="1"/>
      <c r="U63" s="1"/>
      <c r="V63" s="1"/>
      <c r="W63" s="1"/>
      <c r="X63" s="1"/>
    </row>
    <row r="64">
      <c r="A64" s="1"/>
      <c r="B64" s="65" t="s">
        <v>31</v>
      </c>
      <c r="C64" s="58"/>
      <c r="D64" s="66">
        <v>30384.0</v>
      </c>
      <c r="E64" s="58"/>
      <c r="F64" s="67" t="s">
        <v>67</v>
      </c>
      <c r="G64" s="60"/>
      <c r="H64" s="68">
        <f>COUNTIFS(Minifigures!$C$22:$C$1137,D64)</f>
        <v>0</v>
      </c>
      <c r="I64" s="60"/>
      <c r="J64" s="69">
        <v>2019.0</v>
      </c>
      <c r="K64" s="70">
        <v>0.0</v>
      </c>
      <c r="L64" s="71">
        <v>45717.0</v>
      </c>
      <c r="M64" s="58"/>
      <c r="N64" s="72" t="s">
        <v>8</v>
      </c>
      <c r="O64" s="72" t="s">
        <v>8</v>
      </c>
      <c r="P64" s="63">
        <f t="shared" si="10"/>
        <v>2025</v>
      </c>
      <c r="Q64" s="73"/>
      <c r="R64" s="1"/>
      <c r="S64" s="1"/>
      <c r="T64" s="1"/>
      <c r="U64" s="1"/>
      <c r="V64" s="1"/>
      <c r="W64" s="1"/>
      <c r="X64" s="1"/>
    </row>
    <row r="65">
      <c r="A65" s="1"/>
      <c r="B65" s="65" t="s">
        <v>31</v>
      </c>
      <c r="C65" s="58"/>
      <c r="D65" s="66">
        <v>30680.0</v>
      </c>
      <c r="E65" s="58"/>
      <c r="F65" s="67" t="s">
        <v>68</v>
      </c>
      <c r="G65" s="60"/>
      <c r="H65" s="68">
        <f>COUNTIFS(Minifigures!$C$22:$C$1137,D65)</f>
        <v>0</v>
      </c>
      <c r="I65" s="60"/>
      <c r="J65" s="69">
        <v>2024.0</v>
      </c>
      <c r="K65" s="70">
        <v>0.0</v>
      </c>
      <c r="L65" s="71">
        <v>45415.0</v>
      </c>
      <c r="M65" s="58"/>
      <c r="N65" s="72" t="s">
        <v>8</v>
      </c>
      <c r="O65" s="72" t="s">
        <v>9</v>
      </c>
      <c r="P65" s="63">
        <f t="shared" si="10"/>
        <v>2024</v>
      </c>
      <c r="Q65" s="73"/>
      <c r="R65" s="1"/>
      <c r="S65" s="1"/>
      <c r="T65" s="1"/>
      <c r="U65" s="1"/>
      <c r="V65" s="1"/>
      <c r="W65" s="1"/>
      <c r="X65" s="1"/>
    </row>
    <row r="66">
      <c r="A66" s="1"/>
      <c r="B66" s="65" t="s">
        <v>31</v>
      </c>
      <c r="C66" s="58"/>
      <c r="D66" s="66">
        <v>40686.0</v>
      </c>
      <c r="E66" s="58"/>
      <c r="F66" s="67" t="s">
        <v>69</v>
      </c>
      <c r="G66" s="60"/>
      <c r="H66" s="68">
        <f>COUNTIFS(Minifigures!$C$22:$C$1137,D66)</f>
        <v>8</v>
      </c>
      <c r="I66" s="60"/>
      <c r="J66" s="69">
        <v>2024.0</v>
      </c>
      <c r="K66" s="70">
        <v>0.0</v>
      </c>
      <c r="L66" s="71">
        <v>45415.0</v>
      </c>
      <c r="M66" s="58"/>
      <c r="N66" s="72" t="s">
        <v>8</v>
      </c>
      <c r="O66" s="72" t="s">
        <v>9</v>
      </c>
      <c r="P66" s="63">
        <f t="shared" si="10"/>
        <v>2024</v>
      </c>
      <c r="Q66" s="73"/>
      <c r="R66" s="1"/>
      <c r="S66" s="1"/>
      <c r="T66" s="1"/>
      <c r="U66" s="1"/>
      <c r="V66" s="1"/>
      <c r="W66" s="1"/>
      <c r="X66" s="1"/>
    </row>
    <row r="67">
      <c r="A67" s="1"/>
      <c r="B67" s="65" t="s">
        <v>31</v>
      </c>
      <c r="C67" s="58"/>
      <c r="D67" s="66">
        <v>40755.0</v>
      </c>
      <c r="E67" s="58"/>
      <c r="F67" s="67" t="s">
        <v>70</v>
      </c>
      <c r="G67" s="60"/>
      <c r="H67" s="68">
        <f>COUNTIFS(Minifigures!$C$22:$C$1137,D67)</f>
        <v>6</v>
      </c>
      <c r="I67" s="60"/>
      <c r="J67" s="69">
        <v>2025.0</v>
      </c>
      <c r="K67" s="70">
        <v>41.0</v>
      </c>
      <c r="L67" s="71">
        <v>45839.0</v>
      </c>
      <c r="M67" s="58"/>
      <c r="N67" s="72" t="s">
        <v>8</v>
      </c>
      <c r="O67" s="72" t="s">
        <v>8</v>
      </c>
      <c r="P67" s="63">
        <f t="shared" si="10"/>
        <v>2025</v>
      </c>
      <c r="Q67" s="73"/>
      <c r="R67" s="1"/>
      <c r="S67" s="1"/>
      <c r="T67" s="1"/>
      <c r="U67" s="1"/>
      <c r="V67" s="1"/>
      <c r="W67" s="1"/>
      <c r="X67" s="1"/>
    </row>
    <row r="68">
      <c r="A68" s="1"/>
      <c r="B68" s="65" t="s">
        <v>31</v>
      </c>
      <c r="C68" s="58"/>
      <c r="D68" s="66">
        <v>40771.0</v>
      </c>
      <c r="E68" s="58"/>
      <c r="F68" s="67" t="s">
        <v>71</v>
      </c>
      <c r="G68" s="60"/>
      <c r="H68" s="68">
        <f>COUNTIFS(Minifigures!$C$22:$C$1137,D68)</f>
        <v>3</v>
      </c>
      <c r="I68" s="60"/>
      <c r="J68" s="69">
        <v>2025.0</v>
      </c>
      <c r="K68" s="70">
        <v>0.0</v>
      </c>
      <c r="L68" s="71">
        <v>45931.0</v>
      </c>
      <c r="M68" s="58"/>
      <c r="N68" s="72" t="s">
        <v>8</v>
      </c>
      <c r="O68" s="72" t="s">
        <v>8</v>
      </c>
      <c r="P68" s="63">
        <f t="shared" si="10"/>
        <v>2025</v>
      </c>
      <c r="Q68" s="73"/>
      <c r="R68" s="1"/>
      <c r="S68" s="1"/>
      <c r="T68" s="1"/>
      <c r="U68" s="1"/>
      <c r="V68" s="1"/>
      <c r="W68" s="1"/>
      <c r="X68" s="1"/>
    </row>
    <row r="69">
      <c r="A69" s="1"/>
      <c r="B69" s="65" t="s">
        <v>31</v>
      </c>
      <c r="C69" s="58"/>
      <c r="D69" s="66">
        <v>40806.0</v>
      </c>
      <c r="E69" s="58"/>
      <c r="F69" s="67" t="s">
        <v>72</v>
      </c>
      <c r="G69" s="60"/>
      <c r="H69" s="68">
        <f>COUNTIFS(Minifigures!$C$22:$C$1137,D69)</f>
        <v>1</v>
      </c>
      <c r="I69" s="60"/>
      <c r="J69" s="69">
        <v>2025.0</v>
      </c>
      <c r="K69" s="70">
        <v>55.0</v>
      </c>
      <c r="L69" s="71">
        <v>45962.0</v>
      </c>
      <c r="M69" s="58"/>
      <c r="N69" s="72" t="s">
        <v>9</v>
      </c>
      <c r="O69" s="72" t="s">
        <v>9</v>
      </c>
      <c r="P69" s="63">
        <f t="shared" si="10"/>
        <v>2025</v>
      </c>
      <c r="Q69" s="73"/>
      <c r="R69" s="1"/>
      <c r="S69" s="1"/>
      <c r="T69" s="1"/>
      <c r="U69" s="1"/>
      <c r="V69" s="1"/>
      <c r="W69" s="1"/>
      <c r="X69" s="1"/>
    </row>
    <row r="70">
      <c r="A70" s="1"/>
      <c r="B70" s="65" t="s">
        <v>31</v>
      </c>
      <c r="C70" s="58"/>
      <c r="D70" s="66">
        <v>75060.0</v>
      </c>
      <c r="E70" s="58"/>
      <c r="F70" s="67" t="s">
        <v>73</v>
      </c>
      <c r="G70" s="60"/>
      <c r="H70" s="68">
        <f>COUNTIFS(Minifigures!$C$22:$C$1137,D70)</f>
        <v>4</v>
      </c>
      <c r="I70" s="60"/>
      <c r="J70" s="69">
        <v>2015.0</v>
      </c>
      <c r="K70" s="70">
        <v>420.0</v>
      </c>
      <c r="L70" s="71">
        <v>45505.0</v>
      </c>
      <c r="M70" s="58"/>
      <c r="N70" s="72" t="s">
        <v>8</v>
      </c>
      <c r="O70" s="72" t="s">
        <v>8</v>
      </c>
      <c r="P70" s="63">
        <f t="shared" si="10"/>
        <v>2024</v>
      </c>
      <c r="Q70" s="73"/>
      <c r="R70" s="1"/>
      <c r="S70" s="1"/>
      <c r="T70" s="1"/>
      <c r="U70" s="1"/>
      <c r="V70" s="1"/>
      <c r="W70" s="1"/>
      <c r="X70" s="1"/>
    </row>
    <row r="71">
      <c r="A71" s="1"/>
      <c r="B71" s="65" t="s">
        <v>31</v>
      </c>
      <c r="C71" s="58"/>
      <c r="D71" s="66">
        <v>75187.0</v>
      </c>
      <c r="E71" s="58"/>
      <c r="F71" s="67" t="s">
        <v>74</v>
      </c>
      <c r="G71" s="60"/>
      <c r="H71" s="68">
        <f>COUNTIFS(Minifigures!$C$22:$C$1137,D71)</f>
        <v>1</v>
      </c>
      <c r="I71" s="60"/>
      <c r="J71" s="69">
        <v>2017.0</v>
      </c>
      <c r="K71" s="70">
        <v>250.78</v>
      </c>
      <c r="L71" s="71">
        <v>45870.0</v>
      </c>
      <c r="M71" s="58"/>
      <c r="N71" s="72" t="s">
        <v>9</v>
      </c>
      <c r="O71" s="72" t="s">
        <v>9</v>
      </c>
      <c r="P71" s="63">
        <f t="shared" si="10"/>
        <v>2025</v>
      </c>
      <c r="Q71" s="73"/>
      <c r="R71" s="1"/>
      <c r="S71" s="1"/>
      <c r="T71" s="1"/>
      <c r="U71" s="1"/>
      <c r="V71" s="1"/>
      <c r="W71" s="1"/>
      <c r="X71" s="1"/>
    </row>
    <row r="72">
      <c r="A72" s="1"/>
      <c r="B72" s="65" t="s">
        <v>31</v>
      </c>
      <c r="C72" s="58"/>
      <c r="D72" s="66">
        <v>75192.0</v>
      </c>
      <c r="E72" s="58"/>
      <c r="F72" s="67" t="s">
        <v>75</v>
      </c>
      <c r="G72" s="60"/>
      <c r="H72" s="68">
        <f>COUNTIFS(Minifigures!$C$22:$C$1137,D72)</f>
        <v>8</v>
      </c>
      <c r="I72" s="60"/>
      <c r="J72" s="69">
        <v>2017.0</v>
      </c>
      <c r="K72" s="70">
        <v>678.9</v>
      </c>
      <c r="L72" s="71">
        <v>45314.0</v>
      </c>
      <c r="M72" s="58"/>
      <c r="N72" s="72" t="s">
        <v>8</v>
      </c>
      <c r="O72" s="72" t="s">
        <v>8</v>
      </c>
      <c r="P72" s="63">
        <f t="shared" si="10"/>
        <v>2024</v>
      </c>
      <c r="Q72" s="73"/>
      <c r="R72" s="1"/>
      <c r="S72" s="1"/>
      <c r="T72" s="1"/>
      <c r="U72" s="1"/>
      <c r="V72" s="1"/>
      <c r="W72" s="1"/>
      <c r="X72" s="1"/>
    </row>
    <row r="73">
      <c r="A73" s="1"/>
      <c r="B73" s="65" t="s">
        <v>31</v>
      </c>
      <c r="C73" s="58"/>
      <c r="D73" s="66">
        <v>75252.0</v>
      </c>
      <c r="E73" s="58"/>
      <c r="F73" s="67" t="s">
        <v>76</v>
      </c>
      <c r="G73" s="60"/>
      <c r="H73" s="68">
        <f>COUNTIFS(Minifigures!$C$22:$C$1137,D73)</f>
        <v>2</v>
      </c>
      <c r="I73" s="60"/>
      <c r="J73" s="69">
        <v>2019.0</v>
      </c>
      <c r="K73" s="70">
        <v>880.0</v>
      </c>
      <c r="L73" s="71">
        <v>45474.0</v>
      </c>
      <c r="M73" s="58"/>
      <c r="N73" s="72" t="s">
        <v>8</v>
      </c>
      <c r="O73" s="72" t="s">
        <v>8</v>
      </c>
      <c r="P73" s="63">
        <f t="shared" si="10"/>
        <v>2024</v>
      </c>
      <c r="Q73" s="73"/>
      <c r="R73" s="1"/>
      <c r="S73" s="1"/>
      <c r="T73" s="1"/>
      <c r="U73" s="1"/>
      <c r="V73" s="1"/>
      <c r="W73" s="1"/>
      <c r="X73" s="1"/>
    </row>
    <row r="74">
      <c r="A74" s="1"/>
      <c r="B74" s="65" t="s">
        <v>31</v>
      </c>
      <c r="C74" s="58"/>
      <c r="D74" s="66">
        <v>75278.0</v>
      </c>
      <c r="E74" s="58"/>
      <c r="F74" s="67" t="s">
        <v>77</v>
      </c>
      <c r="G74" s="60"/>
      <c r="H74" s="68">
        <f>COUNTIFS(Minifigures!$C$22:$C$1137,D74)</f>
        <v>1</v>
      </c>
      <c r="I74" s="60"/>
      <c r="J74" s="69">
        <v>2025.0</v>
      </c>
      <c r="K74" s="70">
        <v>90.0</v>
      </c>
      <c r="L74" s="71">
        <v>45870.0</v>
      </c>
      <c r="M74" s="58"/>
      <c r="N74" s="72" t="s">
        <v>9</v>
      </c>
      <c r="O74" s="72" t="s">
        <v>8</v>
      </c>
      <c r="P74" s="63">
        <f t="shared" si="10"/>
        <v>2025</v>
      </c>
      <c r="Q74" s="73"/>
      <c r="R74" s="1"/>
      <c r="S74" s="1"/>
      <c r="T74" s="1"/>
      <c r="U74" s="1"/>
      <c r="V74" s="1"/>
      <c r="W74" s="1"/>
      <c r="X74" s="1"/>
    </row>
    <row r="75">
      <c r="A75" s="1"/>
      <c r="B75" s="65" t="s">
        <v>31</v>
      </c>
      <c r="C75" s="58"/>
      <c r="D75" s="66">
        <v>75302.0</v>
      </c>
      <c r="E75" s="58"/>
      <c r="F75" s="67" t="s">
        <v>78</v>
      </c>
      <c r="G75" s="60"/>
      <c r="H75" s="68">
        <f>COUNTIFS(Minifigures!$C$22:$C$1137,D75)</f>
        <v>3</v>
      </c>
      <c r="I75" s="60"/>
      <c r="J75" s="69">
        <v>2021.0</v>
      </c>
      <c r="K75" s="70">
        <v>92.0</v>
      </c>
      <c r="L75" s="71">
        <v>45464.0</v>
      </c>
      <c r="M75" s="58"/>
      <c r="N75" s="72" t="s">
        <v>8</v>
      </c>
      <c r="O75" s="72" t="s">
        <v>8</v>
      </c>
      <c r="P75" s="63">
        <f t="shared" si="10"/>
        <v>2024</v>
      </c>
      <c r="Q75" s="73"/>
      <c r="R75" s="1"/>
      <c r="S75" s="1"/>
      <c r="T75" s="1"/>
      <c r="U75" s="1"/>
      <c r="V75" s="1"/>
      <c r="W75" s="1"/>
      <c r="X75" s="1"/>
    </row>
    <row r="76">
      <c r="A76" s="1"/>
      <c r="B76" s="65" t="s">
        <v>31</v>
      </c>
      <c r="C76" s="58"/>
      <c r="D76" s="66">
        <v>75308.0</v>
      </c>
      <c r="E76" s="58"/>
      <c r="F76" s="67" t="s">
        <v>79</v>
      </c>
      <c r="G76" s="60"/>
      <c r="H76" s="68">
        <f>COUNTIFS(Minifigures!$C$22:$C$1137,D76)</f>
        <v>1</v>
      </c>
      <c r="I76" s="60"/>
      <c r="J76" s="69">
        <v>2021.0</v>
      </c>
      <c r="K76" s="70">
        <v>175.0</v>
      </c>
      <c r="L76" s="71">
        <v>45369.0</v>
      </c>
      <c r="M76" s="58"/>
      <c r="N76" s="72" t="s">
        <v>9</v>
      </c>
      <c r="O76" s="72" t="s">
        <v>8</v>
      </c>
      <c r="P76" s="63">
        <f t="shared" si="10"/>
        <v>2024</v>
      </c>
      <c r="Q76" s="73"/>
      <c r="R76" s="1"/>
      <c r="S76" s="1"/>
      <c r="T76" s="1"/>
      <c r="U76" s="1"/>
      <c r="V76" s="1"/>
      <c r="W76" s="1"/>
      <c r="X76" s="1"/>
    </row>
    <row r="77">
      <c r="A77" s="1"/>
      <c r="B77" s="65" t="s">
        <v>31</v>
      </c>
      <c r="C77" s="58"/>
      <c r="D77" s="66">
        <v>75309.0</v>
      </c>
      <c r="E77" s="58"/>
      <c r="F77" s="67" t="s">
        <v>80</v>
      </c>
      <c r="G77" s="60"/>
      <c r="H77" s="68">
        <f>COUNTIFS(Minifigures!$C$22:$C$1137,D77)</f>
        <v>2</v>
      </c>
      <c r="I77" s="60"/>
      <c r="J77" s="69">
        <v>2021.0</v>
      </c>
      <c r="K77" s="70">
        <v>438.9</v>
      </c>
      <c r="L77" s="71">
        <v>45422.0</v>
      </c>
      <c r="M77" s="58"/>
      <c r="N77" s="72" t="s">
        <v>8</v>
      </c>
      <c r="O77" s="72" t="s">
        <v>8</v>
      </c>
      <c r="P77" s="63">
        <f t="shared" si="10"/>
        <v>2024</v>
      </c>
      <c r="Q77" s="73"/>
      <c r="R77" s="1"/>
      <c r="S77" s="1"/>
      <c r="T77" s="1"/>
      <c r="U77" s="1"/>
      <c r="V77" s="1"/>
      <c r="W77" s="1"/>
      <c r="X77" s="1"/>
    </row>
    <row r="78">
      <c r="A78" s="1"/>
      <c r="B78" s="65" t="s">
        <v>31</v>
      </c>
      <c r="C78" s="58"/>
      <c r="D78" s="66">
        <v>75310.0</v>
      </c>
      <c r="E78" s="58"/>
      <c r="F78" s="67" t="s">
        <v>81</v>
      </c>
      <c r="G78" s="60"/>
      <c r="H78" s="68">
        <f>COUNTIFS(Minifigures!$C$22:$C$1137,D78)</f>
        <v>2</v>
      </c>
      <c r="I78" s="60"/>
      <c r="J78" s="69">
        <v>2021.0</v>
      </c>
      <c r="K78" s="70">
        <v>20.0</v>
      </c>
      <c r="L78" s="71">
        <v>45429.0</v>
      </c>
      <c r="M78" s="58"/>
      <c r="N78" s="72" t="s">
        <v>8</v>
      </c>
      <c r="O78" s="72" t="s">
        <v>8</v>
      </c>
      <c r="P78" s="63">
        <f t="shared" si="10"/>
        <v>2024</v>
      </c>
      <c r="Q78" s="73"/>
      <c r="R78" s="1"/>
      <c r="S78" s="1"/>
      <c r="T78" s="1"/>
      <c r="U78" s="1"/>
      <c r="V78" s="1"/>
      <c r="W78" s="1"/>
      <c r="X78" s="1"/>
    </row>
    <row r="79">
      <c r="A79" s="1"/>
      <c r="B79" s="65" t="s">
        <v>31</v>
      </c>
      <c r="C79" s="58"/>
      <c r="D79" s="66">
        <v>75312.0</v>
      </c>
      <c r="E79" s="58"/>
      <c r="F79" s="67" t="s">
        <v>82</v>
      </c>
      <c r="G79" s="60"/>
      <c r="H79" s="68">
        <f>COUNTIFS(Minifigures!$C$22:$C$1137,D79)</f>
        <v>2</v>
      </c>
      <c r="I79" s="60"/>
      <c r="J79" s="69">
        <v>2021.0</v>
      </c>
      <c r="K79" s="70">
        <v>49.0</v>
      </c>
      <c r="L79" s="71">
        <v>45464.0</v>
      </c>
      <c r="M79" s="58"/>
      <c r="N79" s="72" t="s">
        <v>8</v>
      </c>
      <c r="O79" s="72" t="s">
        <v>8</v>
      </c>
      <c r="P79" s="63">
        <f t="shared" si="10"/>
        <v>2024</v>
      </c>
      <c r="Q79" s="73"/>
      <c r="R79" s="1"/>
      <c r="S79" s="1"/>
      <c r="T79" s="1"/>
      <c r="U79" s="1"/>
      <c r="V79" s="1"/>
      <c r="W79" s="1"/>
      <c r="X79" s="1"/>
    </row>
    <row r="80">
      <c r="A80" s="1"/>
      <c r="B80" s="65" t="s">
        <v>31</v>
      </c>
      <c r="C80" s="58"/>
      <c r="D80" s="66">
        <v>75313.0</v>
      </c>
      <c r="E80" s="58"/>
      <c r="F80" s="67" t="s">
        <v>83</v>
      </c>
      <c r="G80" s="60"/>
      <c r="H80" s="68">
        <f>COUNTIFS(Minifigures!$C$22:$C$1137,D80)</f>
        <v>9</v>
      </c>
      <c r="I80" s="60"/>
      <c r="J80" s="69">
        <v>2021.0</v>
      </c>
      <c r="K80" s="70">
        <v>902.9</v>
      </c>
      <c r="L80" s="71">
        <v>45422.0</v>
      </c>
      <c r="M80" s="58"/>
      <c r="N80" s="72" t="s">
        <v>8</v>
      </c>
      <c r="O80" s="72" t="s">
        <v>8</v>
      </c>
      <c r="P80" s="63">
        <f t="shared" si="10"/>
        <v>2024</v>
      </c>
      <c r="Q80" s="73"/>
      <c r="R80" s="1"/>
      <c r="S80" s="1"/>
      <c r="T80" s="1"/>
      <c r="U80" s="1"/>
      <c r="V80" s="1"/>
      <c r="W80" s="1"/>
      <c r="X80" s="1"/>
    </row>
    <row r="81">
      <c r="A81" s="1"/>
      <c r="B81" s="65" t="s">
        <v>31</v>
      </c>
      <c r="C81" s="58"/>
      <c r="D81" s="66">
        <v>75331.0</v>
      </c>
      <c r="E81" s="58"/>
      <c r="F81" s="67" t="s">
        <v>84</v>
      </c>
      <c r="G81" s="60"/>
      <c r="H81" s="68">
        <f>COUNTIFS(Minifigures!$C$22:$C$1137,D81)</f>
        <v>4</v>
      </c>
      <c r="I81" s="60"/>
      <c r="J81" s="69">
        <v>2022.0</v>
      </c>
      <c r="K81" s="70">
        <v>540.0</v>
      </c>
      <c r="L81" s="71">
        <v>45372.0</v>
      </c>
      <c r="M81" s="58"/>
      <c r="N81" s="72" t="s">
        <v>8</v>
      </c>
      <c r="O81" s="72" t="s">
        <v>8</v>
      </c>
      <c r="P81" s="63">
        <f t="shared" si="10"/>
        <v>2024</v>
      </c>
      <c r="Q81" s="73"/>
      <c r="R81" s="1"/>
      <c r="S81" s="1"/>
      <c r="T81" s="1"/>
      <c r="U81" s="1"/>
      <c r="V81" s="1"/>
      <c r="W81" s="1"/>
      <c r="X81" s="1"/>
    </row>
    <row r="82">
      <c r="A82" s="1"/>
      <c r="B82" s="65" t="s">
        <v>31</v>
      </c>
      <c r="C82" s="58"/>
      <c r="D82" s="66">
        <v>75333.0</v>
      </c>
      <c r="E82" s="58"/>
      <c r="F82" s="67" t="s">
        <v>85</v>
      </c>
      <c r="G82" s="60"/>
      <c r="H82" s="68">
        <f>COUNTIFS(Minifigures!$C$22:$C$1137,D82)</f>
        <v>3</v>
      </c>
      <c r="I82" s="60"/>
      <c r="J82" s="69">
        <v>2024.0</v>
      </c>
      <c r="K82" s="70">
        <v>33.81</v>
      </c>
      <c r="L82" s="71">
        <v>45721.0</v>
      </c>
      <c r="M82" s="58"/>
      <c r="N82" s="72" t="s">
        <v>8</v>
      </c>
      <c r="O82" s="72" t="s">
        <v>8</v>
      </c>
      <c r="P82" s="63">
        <f t="shared" si="10"/>
        <v>2025</v>
      </c>
      <c r="Q82" s="73"/>
      <c r="R82" s="1"/>
      <c r="S82" s="1"/>
      <c r="T82" s="1"/>
      <c r="U82" s="1"/>
      <c r="V82" s="1"/>
      <c r="W82" s="1"/>
      <c r="X82" s="1"/>
    </row>
    <row r="83">
      <c r="A83" s="1"/>
      <c r="B83" s="65" t="s">
        <v>31</v>
      </c>
      <c r="C83" s="58"/>
      <c r="D83" s="66">
        <v>75335.0</v>
      </c>
      <c r="E83" s="58"/>
      <c r="F83" s="67" t="s">
        <v>86</v>
      </c>
      <c r="G83" s="60"/>
      <c r="H83" s="68">
        <f>COUNTIFS(Minifigures!$C$22:$C$1137,D83)</f>
        <v>1</v>
      </c>
      <c r="I83" s="60"/>
      <c r="J83" s="69">
        <v>2022.0</v>
      </c>
      <c r="K83" s="70">
        <v>180.0</v>
      </c>
      <c r="L83" s="71">
        <v>45870.0</v>
      </c>
      <c r="M83" s="58"/>
      <c r="N83" s="72" t="s">
        <v>9</v>
      </c>
      <c r="O83" s="72" t="s">
        <v>9</v>
      </c>
      <c r="P83" s="63">
        <f t="shared" si="10"/>
        <v>2025</v>
      </c>
      <c r="Q83" s="73"/>
      <c r="R83" s="1"/>
      <c r="S83" s="1"/>
      <c r="T83" s="1"/>
      <c r="U83" s="1"/>
      <c r="V83" s="1"/>
      <c r="W83" s="1"/>
      <c r="X83" s="1"/>
    </row>
    <row r="84">
      <c r="A84" s="1"/>
      <c r="B84" s="65" t="s">
        <v>31</v>
      </c>
      <c r="C84" s="58"/>
      <c r="D84" s="66">
        <v>75336.0</v>
      </c>
      <c r="E84" s="58"/>
      <c r="F84" s="67" t="s">
        <v>87</v>
      </c>
      <c r="G84" s="60"/>
      <c r="H84" s="68">
        <f>COUNTIFS(Minifigures!$C$22:$C$1137,D84)</f>
        <v>4</v>
      </c>
      <c r="I84" s="60"/>
      <c r="J84" s="69">
        <v>2022.0</v>
      </c>
      <c r="K84" s="70">
        <v>100.0</v>
      </c>
      <c r="L84" s="71">
        <v>45464.0</v>
      </c>
      <c r="M84" s="58"/>
      <c r="N84" s="72" t="s">
        <v>8</v>
      </c>
      <c r="O84" s="72" t="s">
        <v>8</v>
      </c>
      <c r="P84" s="63">
        <f t="shared" si="10"/>
        <v>2024</v>
      </c>
      <c r="Q84" s="73"/>
      <c r="R84" s="1"/>
      <c r="S84" s="1"/>
      <c r="T84" s="1"/>
      <c r="U84" s="1"/>
      <c r="V84" s="1"/>
      <c r="W84" s="1"/>
      <c r="X84" s="1"/>
    </row>
    <row r="85">
      <c r="A85" s="1"/>
      <c r="B85" s="65" t="s">
        <v>31</v>
      </c>
      <c r="C85" s="58"/>
      <c r="D85" s="66">
        <v>75337.0</v>
      </c>
      <c r="E85" s="58"/>
      <c r="F85" s="67" t="s">
        <v>88</v>
      </c>
      <c r="G85" s="60"/>
      <c r="H85" s="68">
        <f>COUNTIFS(Minifigures!$C$22:$C$1137,D85)</f>
        <v>9</v>
      </c>
      <c r="I85" s="60"/>
      <c r="J85" s="69">
        <v>2022.0</v>
      </c>
      <c r="K85" s="70">
        <v>104.9</v>
      </c>
      <c r="L85" s="71">
        <v>45505.0</v>
      </c>
      <c r="M85" s="58"/>
      <c r="N85" s="72" t="s">
        <v>8</v>
      </c>
      <c r="O85" s="72" t="s">
        <v>8</v>
      </c>
      <c r="P85" s="63">
        <f t="shared" si="10"/>
        <v>2024</v>
      </c>
      <c r="Q85" s="73"/>
      <c r="R85" s="1"/>
      <c r="S85" s="1"/>
      <c r="T85" s="1"/>
      <c r="U85" s="1"/>
      <c r="V85" s="1"/>
      <c r="W85" s="1"/>
      <c r="X85" s="1"/>
    </row>
    <row r="86">
      <c r="A86" s="1"/>
      <c r="B86" s="65" t="s">
        <v>31</v>
      </c>
      <c r="C86" s="58"/>
      <c r="D86" s="66">
        <v>75355.0</v>
      </c>
      <c r="E86" s="58"/>
      <c r="F86" s="67" t="s">
        <v>89</v>
      </c>
      <c r="G86" s="60"/>
      <c r="H86" s="68">
        <f>COUNTIFS(Minifigures!$C$22:$C$1137,D86)</f>
        <v>2</v>
      </c>
      <c r="I86" s="60"/>
      <c r="J86" s="69">
        <v>2023.0</v>
      </c>
      <c r="K86" s="70">
        <v>204.9</v>
      </c>
      <c r="L86" s="71">
        <v>45419.0</v>
      </c>
      <c r="M86" s="58"/>
      <c r="N86" s="72" t="s">
        <v>8</v>
      </c>
      <c r="O86" s="72" t="s">
        <v>8</v>
      </c>
      <c r="P86" s="63">
        <f t="shared" si="10"/>
        <v>2024</v>
      </c>
      <c r="Q86" s="73"/>
      <c r="R86" s="1"/>
      <c r="S86" s="1"/>
      <c r="T86" s="1"/>
      <c r="U86" s="1"/>
      <c r="V86" s="1"/>
      <c r="W86" s="1"/>
      <c r="X86" s="1"/>
    </row>
    <row r="87">
      <c r="A87" s="1"/>
      <c r="B87" s="65" t="s">
        <v>31</v>
      </c>
      <c r="C87" s="58"/>
      <c r="D87" s="66">
        <v>75356.0</v>
      </c>
      <c r="E87" s="58"/>
      <c r="F87" s="67" t="s">
        <v>90</v>
      </c>
      <c r="G87" s="60"/>
      <c r="H87" s="68">
        <f>COUNTIFS(Minifigures!$C$22:$C$1137,D87)</f>
        <v>0</v>
      </c>
      <c r="I87" s="60"/>
      <c r="J87" s="69">
        <v>2024.0</v>
      </c>
      <c r="K87" s="70">
        <v>71.74</v>
      </c>
      <c r="L87" s="71">
        <v>45722.0</v>
      </c>
      <c r="M87" s="58"/>
      <c r="N87" s="72" t="s">
        <v>8</v>
      </c>
      <c r="O87" s="72" t="s">
        <v>8</v>
      </c>
      <c r="P87" s="63">
        <f t="shared" si="10"/>
        <v>2025</v>
      </c>
      <c r="Q87" s="73"/>
      <c r="R87" s="1"/>
      <c r="S87" s="1"/>
      <c r="T87" s="1"/>
      <c r="U87" s="1"/>
      <c r="V87" s="1"/>
      <c r="W87" s="1"/>
      <c r="X87" s="1"/>
    </row>
    <row r="88">
      <c r="A88" s="1"/>
      <c r="B88" s="65" t="s">
        <v>31</v>
      </c>
      <c r="C88" s="58"/>
      <c r="D88" s="66">
        <v>75360.0</v>
      </c>
      <c r="E88" s="58"/>
      <c r="F88" s="67" t="s">
        <v>91</v>
      </c>
      <c r="G88" s="60"/>
      <c r="H88" s="68">
        <f>COUNTIFS(Minifigures!$C$22:$C$1137,D88)</f>
        <v>2</v>
      </c>
      <c r="I88" s="60"/>
      <c r="J88" s="69">
        <v>2023.0</v>
      </c>
      <c r="K88" s="70">
        <v>27.0</v>
      </c>
      <c r="L88" s="71">
        <v>45901.0</v>
      </c>
      <c r="M88" s="58"/>
      <c r="N88" s="72" t="s">
        <v>9</v>
      </c>
      <c r="O88" s="72" t="s">
        <v>9</v>
      </c>
      <c r="P88" s="63">
        <f t="shared" si="10"/>
        <v>2025</v>
      </c>
      <c r="Q88" s="73"/>
      <c r="R88" s="1"/>
      <c r="S88" s="1"/>
      <c r="T88" s="1"/>
      <c r="U88" s="1"/>
      <c r="V88" s="1"/>
      <c r="W88" s="1"/>
      <c r="X88" s="1"/>
    </row>
    <row r="89">
      <c r="A89" s="1"/>
      <c r="B89" s="65" t="s">
        <v>31</v>
      </c>
      <c r="C89" s="58"/>
      <c r="D89" s="66">
        <v>75362.0</v>
      </c>
      <c r="E89" s="58"/>
      <c r="F89" s="67" t="s">
        <v>92</v>
      </c>
      <c r="G89" s="60"/>
      <c r="H89" s="68">
        <f>COUNTIFS(Minifigures!$C$22:$C$1137,D89)</f>
        <v>4</v>
      </c>
      <c r="I89" s="60"/>
      <c r="J89" s="69">
        <v>2024.0</v>
      </c>
      <c r="K89" s="70">
        <v>76.86</v>
      </c>
      <c r="L89" s="71">
        <v>45723.0</v>
      </c>
      <c r="M89" s="58"/>
      <c r="N89" s="72" t="s">
        <v>8</v>
      </c>
      <c r="O89" s="72" t="s">
        <v>8</v>
      </c>
      <c r="P89" s="63">
        <f t="shared" si="10"/>
        <v>2025</v>
      </c>
      <c r="Q89" s="73"/>
      <c r="R89" s="1"/>
      <c r="S89" s="1"/>
      <c r="T89" s="1"/>
      <c r="U89" s="1"/>
      <c r="V89" s="1"/>
      <c r="W89" s="1"/>
      <c r="X89" s="1"/>
    </row>
    <row r="90">
      <c r="A90" s="1"/>
      <c r="B90" s="65" t="s">
        <v>31</v>
      </c>
      <c r="C90" s="58"/>
      <c r="D90" s="66">
        <v>75365.0</v>
      </c>
      <c r="E90" s="58"/>
      <c r="F90" s="67" t="s">
        <v>93</v>
      </c>
      <c r="G90" s="60"/>
      <c r="H90" s="68">
        <f>COUNTIFS(Minifigures!$C$22:$C$1137,D90)</f>
        <v>12</v>
      </c>
      <c r="I90" s="60"/>
      <c r="J90" s="69">
        <v>2023.0</v>
      </c>
      <c r="K90" s="70">
        <v>135.0</v>
      </c>
      <c r="L90" s="71">
        <v>45839.0</v>
      </c>
      <c r="M90" s="58"/>
      <c r="N90" s="72" t="s">
        <v>8</v>
      </c>
      <c r="O90" s="72" t="s">
        <v>8</v>
      </c>
      <c r="P90" s="63">
        <f t="shared" si="10"/>
        <v>2025</v>
      </c>
      <c r="Q90" s="73"/>
      <c r="R90" s="1"/>
      <c r="S90" s="1"/>
      <c r="T90" s="1"/>
      <c r="U90" s="1"/>
      <c r="V90" s="1"/>
      <c r="W90" s="1"/>
      <c r="X90" s="1"/>
    </row>
    <row r="91">
      <c r="A91" s="1"/>
      <c r="B91" s="65" t="s">
        <v>31</v>
      </c>
      <c r="C91" s="58"/>
      <c r="D91" s="66">
        <v>75367.0</v>
      </c>
      <c r="E91" s="58"/>
      <c r="F91" s="67" t="s">
        <v>94</v>
      </c>
      <c r="G91" s="60"/>
      <c r="H91" s="68">
        <f>COUNTIFS(Minifigures!$C$22:$C$1137,D91)</f>
        <v>2</v>
      </c>
      <c r="I91" s="60"/>
      <c r="J91" s="69">
        <v>2023.0</v>
      </c>
      <c r="K91" s="70">
        <v>807.9</v>
      </c>
      <c r="L91" s="71">
        <v>45422.0</v>
      </c>
      <c r="M91" s="58"/>
      <c r="N91" s="72" t="s">
        <v>8</v>
      </c>
      <c r="O91" s="72" t="s">
        <v>8</v>
      </c>
      <c r="P91" s="63">
        <f t="shared" si="10"/>
        <v>2024</v>
      </c>
      <c r="Q91" s="73"/>
      <c r="R91" s="1"/>
      <c r="S91" s="1"/>
      <c r="T91" s="1"/>
      <c r="U91" s="1"/>
      <c r="V91" s="1"/>
      <c r="W91" s="1"/>
      <c r="X91" s="1"/>
    </row>
    <row r="92">
      <c r="A92" s="1"/>
      <c r="B92" s="65" t="s">
        <v>31</v>
      </c>
      <c r="C92" s="58"/>
      <c r="D92" s="66">
        <v>75372.0</v>
      </c>
      <c r="E92" s="58"/>
      <c r="F92" s="67" t="s">
        <v>95</v>
      </c>
      <c r="G92" s="60"/>
      <c r="H92" s="68">
        <f>COUNTIFS(Minifigures!$C$22:$C$1137,D92)</f>
        <v>9</v>
      </c>
      <c r="I92" s="60"/>
      <c r="J92" s="69">
        <v>2024.0</v>
      </c>
      <c r="K92" s="70">
        <v>12.99</v>
      </c>
      <c r="L92" s="71">
        <v>45962.0</v>
      </c>
      <c r="M92" s="58"/>
      <c r="N92" s="72" t="s">
        <v>8</v>
      </c>
      <c r="O92" s="72" t="s">
        <v>9</v>
      </c>
      <c r="P92" s="63">
        <f t="shared" si="10"/>
        <v>2025</v>
      </c>
      <c r="Q92" s="73"/>
      <c r="R92" s="1"/>
      <c r="S92" s="1"/>
      <c r="T92" s="1"/>
      <c r="U92" s="1"/>
      <c r="V92" s="1"/>
      <c r="W92" s="1"/>
      <c r="X92" s="1"/>
    </row>
    <row r="93">
      <c r="A93" s="1"/>
      <c r="B93" s="65" t="s">
        <v>31</v>
      </c>
      <c r="C93" s="58"/>
      <c r="D93" s="66">
        <v>75374.0</v>
      </c>
      <c r="E93" s="58"/>
      <c r="F93" s="67" t="s">
        <v>96</v>
      </c>
      <c r="G93" s="60"/>
      <c r="H93" s="68">
        <f>COUNTIFS(Minifigures!$C$22:$C$1137,D93)</f>
        <v>5</v>
      </c>
      <c r="I93" s="60"/>
      <c r="J93" s="69">
        <v>2025.0</v>
      </c>
      <c r="K93" s="70">
        <v>143.49</v>
      </c>
      <c r="L93" s="71">
        <v>45870.0</v>
      </c>
      <c r="M93" s="58"/>
      <c r="N93" s="72" t="s">
        <v>8</v>
      </c>
      <c r="O93" s="72" t="s">
        <v>8</v>
      </c>
      <c r="P93" s="63">
        <f t="shared" si="10"/>
        <v>2025</v>
      </c>
      <c r="Q93" s="73"/>
      <c r="R93" s="1"/>
      <c r="S93" s="1"/>
      <c r="T93" s="1"/>
      <c r="U93" s="1"/>
      <c r="V93" s="1"/>
      <c r="W93" s="1"/>
      <c r="X93" s="1"/>
    </row>
    <row r="94">
      <c r="A94" s="1"/>
      <c r="B94" s="65" t="s">
        <v>31</v>
      </c>
      <c r="C94" s="58"/>
      <c r="D94" s="66">
        <v>75376.0</v>
      </c>
      <c r="E94" s="58"/>
      <c r="F94" s="67" t="s">
        <v>97</v>
      </c>
      <c r="G94" s="60"/>
      <c r="H94" s="68">
        <f>COUNTIFS(Minifigures!$C$22:$C$1137,D94)</f>
        <v>0</v>
      </c>
      <c r="I94" s="60"/>
      <c r="J94" s="69">
        <v>2024.0</v>
      </c>
      <c r="K94" s="70">
        <v>81.79</v>
      </c>
      <c r="L94" s="71">
        <v>45721.0</v>
      </c>
      <c r="M94" s="58"/>
      <c r="N94" s="72" t="s">
        <v>8</v>
      </c>
      <c r="O94" s="72" t="s">
        <v>8</v>
      </c>
      <c r="P94" s="63">
        <f t="shared" si="10"/>
        <v>2025</v>
      </c>
      <c r="Q94" s="73"/>
      <c r="R94" s="1"/>
      <c r="S94" s="1"/>
      <c r="T94" s="1"/>
      <c r="U94" s="1"/>
      <c r="V94" s="1"/>
      <c r="W94" s="1"/>
      <c r="X94" s="1"/>
    </row>
    <row r="95">
      <c r="A95" s="1"/>
      <c r="B95" s="65" t="s">
        <v>31</v>
      </c>
      <c r="C95" s="58"/>
      <c r="D95" s="66">
        <v>75379.0</v>
      </c>
      <c r="E95" s="58"/>
      <c r="F95" s="67" t="s">
        <v>98</v>
      </c>
      <c r="G95" s="60"/>
      <c r="H95" s="68">
        <f>COUNTIFS(Minifigures!$C$22:$C$1137,D95)</f>
        <v>2</v>
      </c>
      <c r="I95" s="60"/>
      <c r="J95" s="69">
        <v>2024.0</v>
      </c>
      <c r="K95" s="70">
        <v>89.9</v>
      </c>
      <c r="L95" s="71">
        <v>45435.0</v>
      </c>
      <c r="M95" s="58"/>
      <c r="N95" s="72" t="s">
        <v>9</v>
      </c>
      <c r="O95" s="72" t="s">
        <v>8</v>
      </c>
      <c r="P95" s="63">
        <f t="shared" si="10"/>
        <v>2024</v>
      </c>
      <c r="Q95" s="73"/>
      <c r="R95" s="1"/>
      <c r="S95" s="1"/>
      <c r="T95" s="1"/>
      <c r="U95" s="1"/>
      <c r="V95" s="1"/>
      <c r="W95" s="1"/>
      <c r="X95" s="1"/>
    </row>
    <row r="96">
      <c r="A96" s="1"/>
      <c r="B96" s="65" t="s">
        <v>31</v>
      </c>
      <c r="C96" s="58"/>
      <c r="D96" s="66">
        <v>75381.0</v>
      </c>
      <c r="E96" s="58"/>
      <c r="F96" s="67" t="s">
        <v>99</v>
      </c>
      <c r="G96" s="60"/>
      <c r="H96" s="68">
        <f>COUNTIFS(Minifigures!$C$22:$C$1137,D96)</f>
        <v>1</v>
      </c>
      <c r="I96" s="60"/>
      <c r="J96" s="69">
        <v>2024.0</v>
      </c>
      <c r="K96" s="70">
        <v>56.9</v>
      </c>
      <c r="L96" s="71">
        <v>45419.0</v>
      </c>
      <c r="M96" s="58"/>
      <c r="N96" s="72" t="s">
        <v>8</v>
      </c>
      <c r="O96" s="72" t="s">
        <v>8</v>
      </c>
      <c r="P96" s="63">
        <f t="shared" si="10"/>
        <v>2024</v>
      </c>
      <c r="Q96" s="73"/>
      <c r="R96" s="1"/>
      <c r="S96" s="1"/>
      <c r="T96" s="1"/>
      <c r="U96" s="1"/>
      <c r="V96" s="1"/>
      <c r="W96" s="1"/>
      <c r="X96" s="1"/>
    </row>
    <row r="97">
      <c r="A97" s="1"/>
      <c r="B97" s="65" t="s">
        <v>31</v>
      </c>
      <c r="C97" s="58"/>
      <c r="D97" s="66">
        <v>75382.0</v>
      </c>
      <c r="E97" s="58"/>
      <c r="F97" s="67" t="s">
        <v>100</v>
      </c>
      <c r="G97" s="60"/>
      <c r="H97" s="68">
        <f>COUNTIFS(Minifigures!$C$22:$C$1137,D97)</f>
        <v>2</v>
      </c>
      <c r="I97" s="60"/>
      <c r="J97" s="69">
        <v>2024.0</v>
      </c>
      <c r="K97" s="70">
        <v>229.99</v>
      </c>
      <c r="L97" s="71">
        <v>45415.0</v>
      </c>
      <c r="M97" s="58"/>
      <c r="N97" s="72" t="s">
        <v>8</v>
      </c>
      <c r="O97" s="72" t="s">
        <v>9</v>
      </c>
      <c r="P97" s="63">
        <f t="shared" si="10"/>
        <v>2024</v>
      </c>
      <c r="Q97" s="73"/>
      <c r="R97" s="1"/>
      <c r="S97" s="1"/>
      <c r="T97" s="1"/>
      <c r="U97" s="1"/>
      <c r="V97" s="1"/>
      <c r="W97" s="1"/>
      <c r="X97" s="1"/>
    </row>
    <row r="98">
      <c r="A98" s="1"/>
      <c r="B98" s="65" t="s">
        <v>31</v>
      </c>
      <c r="C98" s="58"/>
      <c r="D98" s="66">
        <v>75383.0</v>
      </c>
      <c r="E98" s="58"/>
      <c r="F98" s="67" t="s">
        <v>101</v>
      </c>
      <c r="G98" s="60"/>
      <c r="H98" s="68">
        <f>COUNTIFS(Minifigures!$C$22:$C$1137,D98)</f>
        <v>4</v>
      </c>
      <c r="I98" s="60"/>
      <c r="J98" s="69">
        <v>2024.0</v>
      </c>
      <c r="K98" s="70">
        <v>83.0</v>
      </c>
      <c r="L98" s="71">
        <v>45429.0</v>
      </c>
      <c r="M98" s="58"/>
      <c r="N98" s="72" t="s">
        <v>8</v>
      </c>
      <c r="O98" s="72" t="s">
        <v>8</v>
      </c>
      <c r="P98" s="63">
        <f t="shared" si="10"/>
        <v>2024</v>
      </c>
      <c r="Q98" s="73"/>
      <c r="R98" s="1"/>
      <c r="S98" s="1"/>
      <c r="T98" s="1"/>
      <c r="U98" s="1"/>
      <c r="V98" s="1"/>
      <c r="W98" s="1"/>
      <c r="X98" s="1"/>
    </row>
    <row r="99">
      <c r="A99" s="1"/>
      <c r="B99" s="65" t="s">
        <v>31</v>
      </c>
      <c r="C99" s="58"/>
      <c r="D99" s="66">
        <v>75385.0</v>
      </c>
      <c r="E99" s="58"/>
      <c r="F99" s="67" t="s">
        <v>102</v>
      </c>
      <c r="G99" s="60"/>
      <c r="H99" s="68">
        <f>COUNTIFS(Minifigures!$C$22:$C$1137,D99)</f>
        <v>5</v>
      </c>
      <c r="I99" s="60"/>
      <c r="J99" s="69">
        <v>2024.0</v>
      </c>
      <c r="K99" s="70">
        <v>54.99</v>
      </c>
      <c r="L99" s="71">
        <v>45505.0</v>
      </c>
      <c r="M99" s="58"/>
      <c r="N99" s="72" t="s">
        <v>8</v>
      </c>
      <c r="O99" s="72" t="s">
        <v>8</v>
      </c>
      <c r="P99" s="63">
        <f t="shared" si="10"/>
        <v>2024</v>
      </c>
      <c r="Q99" s="73"/>
      <c r="R99" s="1"/>
      <c r="S99" s="1"/>
      <c r="T99" s="1"/>
      <c r="U99" s="1"/>
      <c r="V99" s="1"/>
      <c r="W99" s="1"/>
      <c r="X99" s="1"/>
    </row>
    <row r="100">
      <c r="A100" s="1"/>
      <c r="B100" s="65" t="s">
        <v>31</v>
      </c>
      <c r="C100" s="58"/>
      <c r="D100" s="66">
        <v>75386.0</v>
      </c>
      <c r="E100" s="58"/>
      <c r="F100" s="67" t="s">
        <v>103</v>
      </c>
      <c r="G100" s="60"/>
      <c r="H100" s="68">
        <f>COUNTIFS(Minifigures!$C$22:$C$1137,D100)</f>
        <v>4</v>
      </c>
      <c r="I100" s="60"/>
      <c r="J100" s="69">
        <v>2024.0</v>
      </c>
      <c r="K100" s="70">
        <v>36.0</v>
      </c>
      <c r="L100" s="71">
        <v>45474.0</v>
      </c>
      <c r="M100" s="58"/>
      <c r="N100" s="72" t="s">
        <v>8</v>
      </c>
      <c r="O100" s="72" t="s">
        <v>8</v>
      </c>
      <c r="P100" s="63">
        <f t="shared" si="10"/>
        <v>2024</v>
      </c>
      <c r="Q100" s="73"/>
      <c r="R100" s="1"/>
      <c r="S100" s="1"/>
      <c r="T100" s="1"/>
      <c r="U100" s="1"/>
      <c r="V100" s="1"/>
      <c r="W100" s="1"/>
      <c r="X100" s="1"/>
    </row>
    <row r="101">
      <c r="A101" s="1"/>
      <c r="B101" s="65" t="s">
        <v>31</v>
      </c>
      <c r="C101" s="58"/>
      <c r="D101" s="66">
        <v>75387.0</v>
      </c>
      <c r="E101" s="58"/>
      <c r="F101" s="67" t="s">
        <v>104</v>
      </c>
      <c r="G101" s="60"/>
      <c r="H101" s="68">
        <f>COUNTIFS(Minifigures!$C$22:$C$1137,D101)</f>
        <v>8</v>
      </c>
      <c r="I101" s="60"/>
      <c r="J101" s="69">
        <v>2025.0</v>
      </c>
      <c r="K101" s="70">
        <v>56.36</v>
      </c>
      <c r="L101" s="71">
        <v>45724.0</v>
      </c>
      <c r="M101" s="58"/>
      <c r="N101" s="72" t="s">
        <v>8</v>
      </c>
      <c r="O101" s="72" t="s">
        <v>8</v>
      </c>
      <c r="P101" s="63">
        <f t="shared" si="10"/>
        <v>2025</v>
      </c>
      <c r="Q101" s="73"/>
      <c r="R101" s="1"/>
      <c r="S101" s="1"/>
      <c r="T101" s="1"/>
      <c r="U101" s="1"/>
      <c r="V101" s="1"/>
      <c r="W101" s="1"/>
      <c r="X101" s="1"/>
    </row>
    <row r="102">
      <c r="A102" s="1"/>
      <c r="B102" s="65" t="s">
        <v>31</v>
      </c>
      <c r="C102" s="58"/>
      <c r="D102" s="66">
        <v>75389.0</v>
      </c>
      <c r="E102" s="58"/>
      <c r="F102" s="67" t="s">
        <v>105</v>
      </c>
      <c r="G102" s="60"/>
      <c r="H102" s="68">
        <f>COUNTIFS(Minifigures!$C$22:$C$1137,D102)</f>
        <v>6</v>
      </c>
      <c r="I102" s="60"/>
      <c r="J102" s="69">
        <v>2024.0</v>
      </c>
      <c r="K102" s="70">
        <v>179.99</v>
      </c>
      <c r="L102" s="71">
        <v>45505.0</v>
      </c>
      <c r="M102" s="58"/>
      <c r="N102" s="72" t="s">
        <v>8</v>
      </c>
      <c r="O102" s="72" t="s">
        <v>8</v>
      </c>
      <c r="P102" s="63">
        <f t="shared" si="10"/>
        <v>2024</v>
      </c>
      <c r="Q102" s="73"/>
      <c r="R102" s="1"/>
      <c r="S102" s="1"/>
      <c r="T102" s="1"/>
      <c r="U102" s="1"/>
      <c r="V102" s="1"/>
      <c r="W102" s="1"/>
      <c r="X102" s="1"/>
    </row>
    <row r="103">
      <c r="A103" s="1"/>
      <c r="B103" s="65" t="s">
        <v>31</v>
      </c>
      <c r="C103" s="58"/>
      <c r="D103" s="66">
        <v>75391.0</v>
      </c>
      <c r="E103" s="58"/>
      <c r="F103" s="67" t="s">
        <v>106</v>
      </c>
      <c r="G103" s="60"/>
      <c r="H103" s="68">
        <f>COUNTIFS(Minifigures!$C$22:$C$1137,D103)</f>
        <v>1</v>
      </c>
      <c r="I103" s="60"/>
      <c r="J103" s="69">
        <v>2025.0</v>
      </c>
      <c r="K103" s="70">
        <v>10.9</v>
      </c>
      <c r="L103" s="71">
        <v>45725.0</v>
      </c>
      <c r="M103" s="58"/>
      <c r="N103" s="72" t="s">
        <v>8</v>
      </c>
      <c r="O103" s="72" t="s">
        <v>8</v>
      </c>
      <c r="P103" s="63">
        <f t="shared" si="10"/>
        <v>2025</v>
      </c>
      <c r="Q103" s="73"/>
      <c r="R103" s="1"/>
      <c r="S103" s="1"/>
      <c r="T103" s="1"/>
      <c r="U103" s="1"/>
      <c r="V103" s="1"/>
      <c r="W103" s="1"/>
      <c r="X103" s="1"/>
    </row>
    <row r="104">
      <c r="A104" s="1"/>
      <c r="B104" s="65" t="s">
        <v>31</v>
      </c>
      <c r="C104" s="58"/>
      <c r="D104" s="66">
        <v>75392.0</v>
      </c>
      <c r="E104" s="58"/>
      <c r="F104" s="67" t="s">
        <v>107</v>
      </c>
      <c r="G104" s="60"/>
      <c r="H104" s="68">
        <f>COUNTIFS(Minifigures!$C$22:$C$1137,D104)</f>
        <v>2</v>
      </c>
      <c r="I104" s="60"/>
      <c r="J104" s="69">
        <v>2025.0</v>
      </c>
      <c r="K104" s="70">
        <v>100.44</v>
      </c>
      <c r="L104" s="71">
        <v>45839.0</v>
      </c>
      <c r="M104" s="58"/>
      <c r="N104" s="72" t="s">
        <v>9</v>
      </c>
      <c r="O104" s="72" t="s">
        <v>8</v>
      </c>
      <c r="P104" s="63">
        <f t="shared" si="10"/>
        <v>2025</v>
      </c>
      <c r="Q104" s="73"/>
      <c r="R104" s="1"/>
      <c r="S104" s="1"/>
      <c r="T104" s="1"/>
      <c r="U104" s="1"/>
      <c r="V104" s="1"/>
      <c r="W104" s="1"/>
      <c r="X104" s="1"/>
    </row>
    <row r="105">
      <c r="A105" s="1"/>
      <c r="B105" s="65" t="s">
        <v>31</v>
      </c>
      <c r="C105" s="58"/>
      <c r="D105" s="66">
        <v>75393.0</v>
      </c>
      <c r="E105" s="58"/>
      <c r="F105" s="67" t="s">
        <v>108</v>
      </c>
      <c r="G105" s="60"/>
      <c r="H105" s="68">
        <f>COUNTIFS(Minifigures!$C$22:$C$1137,D105)</f>
        <v>5</v>
      </c>
      <c r="I105" s="60"/>
      <c r="J105" s="69">
        <v>2024.0</v>
      </c>
      <c r="K105" s="70">
        <v>94.9</v>
      </c>
      <c r="L105" s="71">
        <v>45870.0</v>
      </c>
      <c r="M105" s="58"/>
      <c r="N105" s="72" t="s">
        <v>8</v>
      </c>
      <c r="O105" s="72" t="s">
        <v>8</v>
      </c>
      <c r="P105" s="63">
        <f t="shared" si="10"/>
        <v>2025</v>
      </c>
      <c r="Q105" s="73"/>
      <c r="R105" s="1"/>
      <c r="S105" s="1"/>
      <c r="T105" s="1"/>
      <c r="U105" s="1"/>
      <c r="V105" s="1"/>
      <c r="W105" s="1"/>
      <c r="X105" s="1"/>
    </row>
    <row r="106">
      <c r="A106" s="1"/>
      <c r="B106" s="65" t="s">
        <v>31</v>
      </c>
      <c r="C106" s="58"/>
      <c r="D106" s="66">
        <v>75394.0</v>
      </c>
      <c r="E106" s="58"/>
      <c r="F106" s="67" t="s">
        <v>76</v>
      </c>
      <c r="G106" s="60"/>
      <c r="H106" s="68">
        <f>COUNTIFS(Minifigures!$C$22:$C$1137,D106)</f>
        <v>7</v>
      </c>
      <c r="I106" s="60"/>
      <c r="J106" s="69">
        <v>2024.0</v>
      </c>
      <c r="K106" s="70">
        <v>169.99</v>
      </c>
      <c r="L106" s="71">
        <v>45505.0</v>
      </c>
      <c r="M106" s="58"/>
      <c r="N106" s="72" t="s">
        <v>8</v>
      </c>
      <c r="O106" s="72" t="s">
        <v>8</v>
      </c>
      <c r="P106" s="63">
        <f t="shared" si="10"/>
        <v>2024</v>
      </c>
      <c r="Q106" s="73"/>
      <c r="R106" s="1"/>
      <c r="S106" s="1"/>
      <c r="T106" s="1"/>
      <c r="U106" s="1"/>
      <c r="V106" s="1"/>
      <c r="W106" s="1"/>
      <c r="X106" s="1"/>
    </row>
    <row r="107">
      <c r="A107" s="1"/>
      <c r="B107" s="65" t="s">
        <v>31</v>
      </c>
      <c r="C107" s="58"/>
      <c r="D107" s="66">
        <v>75396.0</v>
      </c>
      <c r="E107" s="58"/>
      <c r="F107" s="67" t="s">
        <v>109</v>
      </c>
      <c r="G107" s="60"/>
      <c r="H107" s="68">
        <f>COUNTIFS(Minifigures!$C$22:$C$1137,D107)</f>
        <v>6</v>
      </c>
      <c r="I107" s="60"/>
      <c r="J107" s="69">
        <v>2024.0</v>
      </c>
      <c r="K107" s="70">
        <v>81.99</v>
      </c>
      <c r="L107" s="71">
        <v>45726.0</v>
      </c>
      <c r="M107" s="58"/>
      <c r="N107" s="72" t="s">
        <v>8</v>
      </c>
      <c r="O107" s="72" t="s">
        <v>8</v>
      </c>
      <c r="P107" s="63">
        <f t="shared" si="10"/>
        <v>2025</v>
      </c>
      <c r="Q107" s="73"/>
      <c r="R107" s="1"/>
      <c r="S107" s="1"/>
      <c r="T107" s="1"/>
      <c r="U107" s="1"/>
      <c r="V107" s="1"/>
      <c r="W107" s="1"/>
      <c r="X107" s="1"/>
    </row>
    <row r="108">
      <c r="A108" s="1"/>
      <c r="B108" s="65" t="s">
        <v>31</v>
      </c>
      <c r="C108" s="58"/>
      <c r="D108" s="66">
        <v>75397.0</v>
      </c>
      <c r="E108" s="58"/>
      <c r="F108" s="67" t="s">
        <v>110</v>
      </c>
      <c r="G108" s="60"/>
      <c r="H108" s="68">
        <f>COUNTIFS(Minifigures!$C$22:$C$1137,D108)</f>
        <v>11</v>
      </c>
      <c r="I108" s="60"/>
      <c r="J108" s="69">
        <v>2024.0</v>
      </c>
      <c r="K108" s="70">
        <v>512.49</v>
      </c>
      <c r="L108" s="71">
        <v>45727.0</v>
      </c>
      <c r="M108" s="58"/>
      <c r="N108" s="72" t="s">
        <v>8</v>
      </c>
      <c r="O108" s="72" t="s">
        <v>8</v>
      </c>
      <c r="P108" s="63">
        <f t="shared" si="10"/>
        <v>2025</v>
      </c>
      <c r="Q108" s="73"/>
      <c r="R108" s="1"/>
      <c r="S108" s="1"/>
      <c r="T108" s="1"/>
      <c r="U108" s="1"/>
      <c r="V108" s="1"/>
      <c r="W108" s="1"/>
      <c r="X108" s="1"/>
    </row>
    <row r="109">
      <c r="A109" s="1"/>
      <c r="B109" s="65" t="s">
        <v>31</v>
      </c>
      <c r="C109" s="58"/>
      <c r="D109" s="66">
        <v>75398.0</v>
      </c>
      <c r="E109" s="58"/>
      <c r="F109" s="67" t="s">
        <v>111</v>
      </c>
      <c r="G109" s="60"/>
      <c r="H109" s="68">
        <f>COUNTIFS(Minifigures!$C$22:$C$1137,D109)</f>
        <v>1</v>
      </c>
      <c r="I109" s="60"/>
      <c r="J109" s="69">
        <v>2024.0</v>
      </c>
      <c r="K109" s="70">
        <v>139.99</v>
      </c>
      <c r="L109" s="71">
        <v>45505.0</v>
      </c>
      <c r="M109" s="58"/>
      <c r="N109" s="72" t="s">
        <v>9</v>
      </c>
      <c r="O109" s="72" t="s">
        <v>9</v>
      </c>
      <c r="P109" s="63">
        <f t="shared" si="10"/>
        <v>2024</v>
      </c>
      <c r="Q109" s="73"/>
      <c r="R109" s="1"/>
      <c r="S109" s="1"/>
      <c r="T109" s="1"/>
      <c r="U109" s="1"/>
      <c r="V109" s="1"/>
      <c r="W109" s="1"/>
      <c r="X109" s="1"/>
    </row>
    <row r="110">
      <c r="A110" s="1"/>
      <c r="B110" s="65" t="s">
        <v>31</v>
      </c>
      <c r="C110" s="58"/>
      <c r="D110" s="66">
        <v>75399.0</v>
      </c>
      <c r="E110" s="58"/>
      <c r="F110" s="67" t="s">
        <v>112</v>
      </c>
      <c r="G110" s="60"/>
      <c r="H110" s="68">
        <f>COUNTIFS(Minifigures!$C$22:$C$1137,D110)</f>
        <v>4</v>
      </c>
      <c r="I110" s="60"/>
      <c r="J110" s="69">
        <v>2025.0</v>
      </c>
      <c r="K110" s="70">
        <v>57.9</v>
      </c>
      <c r="L110" s="71">
        <v>45870.0</v>
      </c>
      <c r="M110" s="58"/>
      <c r="N110" s="72" t="s">
        <v>8</v>
      </c>
      <c r="O110" s="72" t="s">
        <v>8</v>
      </c>
      <c r="P110" s="63">
        <f t="shared" si="10"/>
        <v>2025</v>
      </c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65" t="s">
        <v>31</v>
      </c>
      <c r="C111" s="58"/>
      <c r="D111" s="66">
        <v>75400.0</v>
      </c>
      <c r="E111" s="58"/>
      <c r="F111" s="67" t="s">
        <v>113</v>
      </c>
      <c r="G111" s="60"/>
      <c r="H111" s="68">
        <f>COUNTIFS(Minifigures!$C$22:$C$1137,D111)</f>
        <v>2</v>
      </c>
      <c r="I111" s="60"/>
      <c r="J111" s="69">
        <v>2025.0</v>
      </c>
      <c r="K111" s="70">
        <v>15.0</v>
      </c>
      <c r="L111" s="71">
        <v>45839.0</v>
      </c>
      <c r="M111" s="58"/>
      <c r="N111" s="72" t="s">
        <v>8</v>
      </c>
      <c r="O111" s="72" t="s">
        <v>8</v>
      </c>
      <c r="P111" s="63">
        <f t="shared" si="10"/>
        <v>2025</v>
      </c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65" t="s">
        <v>31</v>
      </c>
      <c r="C112" s="58"/>
      <c r="D112" s="66">
        <v>75400.0</v>
      </c>
      <c r="E112" s="58"/>
      <c r="F112" s="67" t="s">
        <v>113</v>
      </c>
      <c r="G112" s="60"/>
      <c r="H112" s="68">
        <f>COUNTIFS(Minifigures!$C$22:$C$1137,D112)</f>
        <v>2</v>
      </c>
      <c r="I112" s="60"/>
      <c r="J112" s="69">
        <v>2025.0</v>
      </c>
      <c r="K112" s="70">
        <v>11.0</v>
      </c>
      <c r="L112" s="71">
        <v>46143.0</v>
      </c>
      <c r="M112" s="58"/>
      <c r="N112" s="72" t="s">
        <v>8</v>
      </c>
      <c r="O112" s="72" t="s">
        <v>9</v>
      </c>
      <c r="P112" s="63">
        <f t="shared" si="10"/>
        <v>2026</v>
      </c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65" t="s">
        <v>31</v>
      </c>
      <c r="C113" s="58"/>
      <c r="D113" s="66">
        <v>75401.0</v>
      </c>
      <c r="E113" s="58"/>
      <c r="F113" s="67" t="s">
        <v>114</v>
      </c>
      <c r="G113" s="60"/>
      <c r="H113" s="68">
        <f>COUNTIFS(Minifigures!$C$22:$C$1137,D113)</f>
        <v>3</v>
      </c>
      <c r="I113" s="60"/>
      <c r="J113" s="69">
        <v>2025.0</v>
      </c>
      <c r="K113" s="70">
        <v>35.99</v>
      </c>
      <c r="L113" s="71">
        <v>45696.0</v>
      </c>
      <c r="M113" s="58"/>
      <c r="N113" s="72" t="s">
        <v>8</v>
      </c>
      <c r="O113" s="72" t="s">
        <v>8</v>
      </c>
      <c r="P113" s="63">
        <f t="shared" si="10"/>
        <v>2025</v>
      </c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65" t="s">
        <v>31</v>
      </c>
      <c r="C114" s="58"/>
      <c r="D114" s="66">
        <v>75402.0</v>
      </c>
      <c r="E114" s="58"/>
      <c r="F114" s="67" t="s">
        <v>115</v>
      </c>
      <c r="G114" s="60"/>
      <c r="H114" s="68">
        <f>COUNTIFS(Minifigures!$C$22:$C$1137,D114)</f>
        <v>4</v>
      </c>
      <c r="I114" s="60"/>
      <c r="J114" s="69">
        <v>2025.0</v>
      </c>
      <c r="K114" s="70">
        <v>55.99</v>
      </c>
      <c r="L114" s="71">
        <v>45696.0</v>
      </c>
      <c r="M114" s="58"/>
      <c r="N114" s="72" t="s">
        <v>8</v>
      </c>
      <c r="O114" s="72" t="s">
        <v>8</v>
      </c>
      <c r="P114" s="63">
        <f t="shared" si="10"/>
        <v>2025</v>
      </c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65" t="s">
        <v>31</v>
      </c>
      <c r="C115" s="58"/>
      <c r="D115" s="66">
        <v>75406.0</v>
      </c>
      <c r="E115" s="58"/>
      <c r="F115" s="67" t="s">
        <v>116</v>
      </c>
      <c r="G115" s="60"/>
      <c r="H115" s="68">
        <f>COUNTIFS(Minifigures!$C$22:$C$1137,D115)</f>
        <v>0</v>
      </c>
      <c r="I115" s="60"/>
      <c r="J115" s="69">
        <v>2025.0</v>
      </c>
      <c r="K115" s="70">
        <v>63.9</v>
      </c>
      <c r="L115" s="71">
        <v>45870.0</v>
      </c>
      <c r="M115" s="58"/>
      <c r="N115" s="72" t="s">
        <v>8</v>
      </c>
      <c r="O115" s="72" t="s">
        <v>8</v>
      </c>
      <c r="P115" s="63">
        <f t="shared" si="10"/>
        <v>2025</v>
      </c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65" t="s">
        <v>31</v>
      </c>
      <c r="C116" s="58"/>
      <c r="D116" s="66">
        <v>75409.0</v>
      </c>
      <c r="E116" s="58"/>
      <c r="F116" s="67" t="s">
        <v>117</v>
      </c>
      <c r="G116" s="60"/>
      <c r="H116" s="68">
        <f>COUNTIFS(Minifigures!$C$22:$C$1137,D116)</f>
        <v>2</v>
      </c>
      <c r="I116" s="60"/>
      <c r="J116" s="69">
        <v>2025.0</v>
      </c>
      <c r="K116" s="70">
        <v>310.0</v>
      </c>
      <c r="L116" s="71">
        <v>45839.0</v>
      </c>
      <c r="M116" s="58"/>
      <c r="N116" s="72" t="s">
        <v>8</v>
      </c>
      <c r="O116" s="72" t="s">
        <v>8</v>
      </c>
      <c r="P116" s="63">
        <f t="shared" si="10"/>
        <v>2025</v>
      </c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65" t="s">
        <v>31</v>
      </c>
      <c r="C117" s="58"/>
      <c r="D117" s="66">
        <v>75416.0</v>
      </c>
      <c r="E117" s="58"/>
      <c r="F117" s="67" t="s">
        <v>118</v>
      </c>
      <c r="G117" s="60"/>
      <c r="H117" s="68">
        <f>COUNTIFS(Minifigures!$C$22:$C$1137,D117)</f>
        <v>1</v>
      </c>
      <c r="I117" s="60"/>
      <c r="J117" s="69">
        <v>2025.0</v>
      </c>
      <c r="K117" s="70">
        <v>83.21</v>
      </c>
      <c r="L117" s="71">
        <v>45870.0</v>
      </c>
      <c r="M117" s="58"/>
      <c r="N117" s="72" t="s">
        <v>9</v>
      </c>
      <c r="O117" s="72" t="s">
        <v>9</v>
      </c>
      <c r="P117" s="63">
        <f t="shared" si="10"/>
        <v>2025</v>
      </c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65" t="s">
        <v>31</v>
      </c>
      <c r="C118" s="58"/>
      <c r="D118" s="66">
        <v>75417.0</v>
      </c>
      <c r="E118" s="58"/>
      <c r="F118" s="67" t="s">
        <v>119</v>
      </c>
      <c r="G118" s="60"/>
      <c r="H118" s="68">
        <f>COUNTIFS(Minifigures!$C$22:$C$1137,D118)</f>
        <v>1</v>
      </c>
      <c r="I118" s="60"/>
      <c r="J118" s="69">
        <v>2025.0</v>
      </c>
      <c r="K118" s="70">
        <v>172.9</v>
      </c>
      <c r="L118" s="71">
        <v>45870.0</v>
      </c>
      <c r="M118" s="58"/>
      <c r="N118" s="72" t="s">
        <v>8</v>
      </c>
      <c r="O118" s="72" t="s">
        <v>8</v>
      </c>
      <c r="P118" s="63">
        <f t="shared" si="10"/>
        <v>2025</v>
      </c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65" t="s">
        <v>31</v>
      </c>
      <c r="C119" s="58"/>
      <c r="D119" s="66">
        <v>75419.0</v>
      </c>
      <c r="E119" s="58"/>
      <c r="F119" s="67" t="s">
        <v>120</v>
      </c>
      <c r="G119" s="60"/>
      <c r="H119" s="68">
        <f>COUNTIFS(Minifigures!$C$22:$C$1137,D119)</f>
        <v>40</v>
      </c>
      <c r="I119" s="60"/>
      <c r="J119" s="69">
        <v>2025.0</v>
      </c>
      <c r="K119" s="70">
        <v>950.0</v>
      </c>
      <c r="L119" s="71">
        <v>45931.0</v>
      </c>
      <c r="M119" s="58"/>
      <c r="N119" s="72" t="s">
        <v>8</v>
      </c>
      <c r="O119" s="72" t="s">
        <v>8</v>
      </c>
      <c r="P119" s="63">
        <f t="shared" si="10"/>
        <v>2025</v>
      </c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65" t="s">
        <v>31</v>
      </c>
      <c r="C120" s="58"/>
      <c r="D120" s="66">
        <v>75428.0</v>
      </c>
      <c r="E120" s="58"/>
      <c r="F120" s="67" t="s">
        <v>121</v>
      </c>
      <c r="G120" s="60"/>
      <c r="H120" s="68">
        <f>COUNTIFS(Minifigures!$C$22:$C$1137,D120)</f>
        <v>1</v>
      </c>
      <c r="I120" s="60"/>
      <c r="J120" s="69">
        <v>2025.0</v>
      </c>
      <c r="K120" s="70">
        <v>134.99</v>
      </c>
      <c r="L120" s="71">
        <v>45870.0</v>
      </c>
      <c r="M120" s="58"/>
      <c r="N120" s="72" t="s">
        <v>8</v>
      </c>
      <c r="O120" s="72" t="s">
        <v>8</v>
      </c>
      <c r="P120" s="63">
        <f t="shared" si="10"/>
        <v>2025</v>
      </c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65" t="s">
        <v>31</v>
      </c>
      <c r="C121" s="58"/>
      <c r="D121" s="66">
        <v>75432.0</v>
      </c>
      <c r="E121" s="58"/>
      <c r="F121" s="67" t="s">
        <v>122</v>
      </c>
      <c r="G121" s="60"/>
      <c r="H121" s="68">
        <f>COUNTIFS(Minifigures!$C$22:$C$1137,D121)</f>
        <v>3</v>
      </c>
      <c r="I121" s="60"/>
      <c r="J121" s="69">
        <v>2025.0</v>
      </c>
      <c r="K121" s="70">
        <v>52.99</v>
      </c>
      <c r="L121" s="71">
        <v>45901.0</v>
      </c>
      <c r="M121" s="58"/>
      <c r="N121" s="72" t="s">
        <v>8</v>
      </c>
      <c r="O121" s="72" t="s">
        <v>9</v>
      </c>
      <c r="P121" s="63">
        <f t="shared" si="10"/>
        <v>2025</v>
      </c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65" t="s">
        <v>31</v>
      </c>
      <c r="C122" s="58"/>
      <c r="D122" s="66">
        <v>75433.0</v>
      </c>
      <c r="E122" s="58"/>
      <c r="F122" s="67" t="s">
        <v>123</v>
      </c>
      <c r="G122" s="60"/>
      <c r="H122" s="68">
        <f>COUNTIFS(Minifigures!$C$22:$C$1137,D122)</f>
        <v>2</v>
      </c>
      <c r="I122" s="60"/>
      <c r="J122" s="69">
        <v>2025.0</v>
      </c>
      <c r="K122" s="70">
        <v>58.9</v>
      </c>
      <c r="L122" s="71">
        <v>45870.0</v>
      </c>
      <c r="M122" s="58"/>
      <c r="N122" s="72" t="s">
        <v>8</v>
      </c>
      <c r="O122" s="72" t="s">
        <v>8</v>
      </c>
      <c r="P122" s="63">
        <f t="shared" si="10"/>
        <v>2025</v>
      </c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65" t="s">
        <v>31</v>
      </c>
      <c r="C123" s="58"/>
      <c r="D123" s="66">
        <v>75434.0</v>
      </c>
      <c r="E123" s="58"/>
      <c r="F123" s="67" t="s">
        <v>124</v>
      </c>
      <c r="G123" s="60"/>
      <c r="H123" s="68">
        <f>COUNTIFS(Minifigures!$C$22:$C$1137,D123)</f>
        <v>1</v>
      </c>
      <c r="I123" s="60"/>
      <c r="J123" s="69">
        <v>2025.0</v>
      </c>
      <c r="K123" s="70">
        <v>79.04</v>
      </c>
      <c r="L123" s="71">
        <v>45870.0</v>
      </c>
      <c r="M123" s="58"/>
      <c r="N123" s="72" t="s">
        <v>9</v>
      </c>
      <c r="O123" s="72" t="s">
        <v>9</v>
      </c>
      <c r="P123" s="63">
        <f t="shared" si="10"/>
        <v>2025</v>
      </c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65" t="s">
        <v>31</v>
      </c>
      <c r="C124" s="58"/>
      <c r="D124" s="66">
        <v>75435.0</v>
      </c>
      <c r="E124" s="58"/>
      <c r="F124" s="67" t="s">
        <v>125</v>
      </c>
      <c r="G124" s="60"/>
      <c r="H124" s="68">
        <f>COUNTIFS(Minifigures!$C$22:$C$1137,D124)</f>
        <v>12</v>
      </c>
      <c r="I124" s="60"/>
      <c r="J124" s="69">
        <v>2025.0</v>
      </c>
      <c r="K124" s="70">
        <v>129.9</v>
      </c>
      <c r="L124" s="71">
        <v>45870.0</v>
      </c>
      <c r="M124" s="58"/>
      <c r="N124" s="72" t="s">
        <v>8</v>
      </c>
      <c r="O124" s="72" t="s">
        <v>8</v>
      </c>
      <c r="P124" s="63">
        <f t="shared" si="10"/>
        <v>2025</v>
      </c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65" t="s">
        <v>31</v>
      </c>
      <c r="C125" s="58"/>
      <c r="D125" s="66">
        <v>75436.0</v>
      </c>
      <c r="E125" s="58"/>
      <c r="F125" s="67" t="s">
        <v>126</v>
      </c>
      <c r="G125" s="60"/>
      <c r="H125" s="68">
        <f>COUNTIFS(Minifigures!$C$22:$C$1137,D125)</f>
        <v>2</v>
      </c>
      <c r="I125" s="60"/>
      <c r="J125" s="69">
        <v>2026.0</v>
      </c>
      <c r="K125" s="70">
        <v>9.5</v>
      </c>
      <c r="L125" s="71">
        <v>46046.0</v>
      </c>
      <c r="M125" s="58"/>
      <c r="N125" s="72" t="s">
        <v>8</v>
      </c>
      <c r="O125" s="72" t="s">
        <v>9</v>
      </c>
      <c r="P125" s="63">
        <f t="shared" si="10"/>
        <v>2026</v>
      </c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65" t="s">
        <v>31</v>
      </c>
      <c r="C126" s="58"/>
      <c r="D126" s="66">
        <v>75437.0</v>
      </c>
      <c r="E126" s="58"/>
      <c r="F126" s="67" t="s">
        <v>127</v>
      </c>
      <c r="G126" s="60"/>
      <c r="H126" s="68">
        <f>COUNTIFS(Minifigures!$C$22:$C$1137,D126)</f>
        <v>2</v>
      </c>
      <c r="I126" s="60"/>
      <c r="J126" s="69">
        <v>2026.0</v>
      </c>
      <c r="K126" s="70">
        <v>24.99</v>
      </c>
      <c r="L126" s="71">
        <v>46066.0</v>
      </c>
      <c r="M126" s="58"/>
      <c r="N126" s="72" t="s">
        <v>8</v>
      </c>
      <c r="O126" s="72" t="s">
        <v>9</v>
      </c>
      <c r="P126" s="63">
        <f t="shared" si="10"/>
        <v>2026</v>
      </c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65" t="s">
        <v>31</v>
      </c>
      <c r="C127" s="58"/>
      <c r="D127" s="66">
        <v>75440.0</v>
      </c>
      <c r="E127" s="58"/>
      <c r="F127" s="67" t="s">
        <v>128</v>
      </c>
      <c r="G127" s="60"/>
      <c r="H127" s="68">
        <f>COUNTIFS(Minifigures!$C$22:$C$1137,D127)</f>
        <v>0</v>
      </c>
      <c r="I127" s="60"/>
      <c r="J127" s="69">
        <v>2026.0</v>
      </c>
      <c r="K127" s="70">
        <v>55.2</v>
      </c>
      <c r="L127" s="71">
        <v>46030.0</v>
      </c>
      <c r="M127" s="58"/>
      <c r="N127" s="72" t="s">
        <v>8</v>
      </c>
      <c r="O127" s="72" t="s">
        <v>9</v>
      </c>
      <c r="P127" s="63">
        <f t="shared" si="10"/>
        <v>2026</v>
      </c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65" t="s">
        <v>31</v>
      </c>
      <c r="C128" s="58"/>
      <c r="D128" s="66">
        <v>75441.0</v>
      </c>
      <c r="E128" s="58"/>
      <c r="F128" s="67" t="s">
        <v>129</v>
      </c>
      <c r="G128" s="60"/>
      <c r="H128" s="68">
        <f>COUNTIFS(Minifigures!$C$22:$C$1137,D128)</f>
        <v>0</v>
      </c>
      <c r="I128" s="60"/>
      <c r="J128" s="69">
        <v>2026.0</v>
      </c>
      <c r="K128" s="70">
        <v>67.8</v>
      </c>
      <c r="L128" s="71">
        <v>46029.0</v>
      </c>
      <c r="M128" s="58"/>
      <c r="N128" s="72" t="s">
        <v>8</v>
      </c>
      <c r="O128" s="72" t="s">
        <v>9</v>
      </c>
      <c r="P128" s="63">
        <f t="shared" si="10"/>
        <v>2026</v>
      </c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65" t="s">
        <v>31</v>
      </c>
      <c r="C129" s="58"/>
      <c r="D129" s="66">
        <v>75449.0</v>
      </c>
      <c r="E129" s="58"/>
      <c r="F129" s="76" t="s">
        <v>130</v>
      </c>
      <c r="G129" s="77"/>
      <c r="H129" s="68">
        <f>COUNTIFS(Minifigures!$C$22:$C$1137,D129)</f>
        <v>4</v>
      </c>
      <c r="I129" s="60"/>
      <c r="J129" s="69">
        <v>2026.0</v>
      </c>
      <c r="K129" s="70">
        <v>16.9</v>
      </c>
      <c r="L129" s="71">
        <v>46079.0</v>
      </c>
      <c r="M129" s="58"/>
      <c r="N129" s="72" t="s">
        <v>8</v>
      </c>
      <c r="O129" s="72" t="s">
        <v>9</v>
      </c>
      <c r="P129" s="63">
        <f t="shared" si="10"/>
        <v>2026</v>
      </c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65" t="s">
        <v>31</v>
      </c>
      <c r="C130" s="58"/>
      <c r="D130" s="66">
        <v>75452.0</v>
      </c>
      <c r="E130" s="58"/>
      <c r="F130" s="76" t="s">
        <v>131</v>
      </c>
      <c r="G130" s="77"/>
      <c r="H130" s="68">
        <f>COUNTIFS(Minifigures!$C$22:$C$1137,D130)</f>
        <v>1</v>
      </c>
      <c r="I130" s="60"/>
      <c r="J130" s="69">
        <v>2026.0</v>
      </c>
      <c r="K130" s="70">
        <v>76.2</v>
      </c>
      <c r="L130" s="71">
        <v>46028.0</v>
      </c>
      <c r="M130" s="58"/>
      <c r="N130" s="72" t="s">
        <v>9</v>
      </c>
      <c r="O130" s="72" t="s">
        <v>9</v>
      </c>
      <c r="P130" s="63">
        <f t="shared" si="10"/>
        <v>2026</v>
      </c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65" t="s">
        <v>31</v>
      </c>
      <c r="C131" s="58"/>
      <c r="D131" s="78" t="s">
        <v>132</v>
      </c>
      <c r="E131" s="58"/>
      <c r="F131" s="76" t="s">
        <v>133</v>
      </c>
      <c r="G131" s="77"/>
      <c r="H131" s="68">
        <f>COUNTIFS(Minifigures!$C$22:$C$1137,D131)</f>
        <v>0</v>
      </c>
      <c r="I131" s="60"/>
      <c r="J131" s="69">
        <v>2024.0</v>
      </c>
      <c r="K131" s="70">
        <v>0.0</v>
      </c>
      <c r="L131" s="71">
        <v>45415.0</v>
      </c>
      <c r="M131" s="58"/>
      <c r="N131" s="72" t="s">
        <v>8</v>
      </c>
      <c r="O131" s="72" t="s">
        <v>9</v>
      </c>
      <c r="P131" s="63">
        <f t="shared" si="10"/>
        <v>2024</v>
      </c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65" t="s">
        <v>10</v>
      </c>
      <c r="C132" s="58"/>
      <c r="D132" s="66">
        <v>8293.0</v>
      </c>
      <c r="E132" s="58"/>
      <c r="F132" s="76" t="s">
        <v>134</v>
      </c>
      <c r="G132" s="77"/>
      <c r="H132" s="68">
        <f>COUNTIFS(Minifigures!$C$22:$C$1137,D132)</f>
        <v>0</v>
      </c>
      <c r="I132" s="60"/>
      <c r="J132" s="69">
        <v>2008.0</v>
      </c>
      <c r="K132" s="70">
        <v>35.0</v>
      </c>
      <c r="L132" s="71">
        <v>41821.0</v>
      </c>
      <c r="M132" s="58"/>
      <c r="N132" s="72" t="s">
        <v>8</v>
      </c>
      <c r="O132" s="72" t="s">
        <v>9</v>
      </c>
      <c r="P132" s="63">
        <f t="shared" si="10"/>
        <v>2014</v>
      </c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65" t="s">
        <v>10</v>
      </c>
      <c r="C133" s="58"/>
      <c r="D133" s="66">
        <v>9395.0</v>
      </c>
      <c r="E133" s="58"/>
      <c r="F133" s="67" t="s">
        <v>135</v>
      </c>
      <c r="G133" s="60"/>
      <c r="H133" s="68">
        <f>COUNTIFS(Minifigures!$C$22:$C$1137,D133)</f>
        <v>0</v>
      </c>
      <c r="I133" s="60"/>
      <c r="J133" s="69">
        <v>2012.0</v>
      </c>
      <c r="K133" s="70">
        <v>150.0</v>
      </c>
      <c r="L133" s="71">
        <v>41821.0</v>
      </c>
      <c r="M133" s="58"/>
      <c r="N133" s="72" t="s">
        <v>8</v>
      </c>
      <c r="O133" s="72" t="s">
        <v>9</v>
      </c>
      <c r="P133" s="63">
        <f t="shared" si="10"/>
        <v>2014</v>
      </c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65" t="s">
        <v>10</v>
      </c>
      <c r="C134" s="58"/>
      <c r="D134" s="66">
        <v>42083.0</v>
      </c>
      <c r="E134" s="58"/>
      <c r="F134" s="67" t="s">
        <v>136</v>
      </c>
      <c r="G134" s="60"/>
      <c r="H134" s="68">
        <f>COUNTIFS(Minifigures!$C$22:$C$1137,D134)</f>
        <v>0</v>
      </c>
      <c r="I134" s="60"/>
      <c r="J134" s="69">
        <v>2018.0</v>
      </c>
      <c r="K134" s="70">
        <v>380.0</v>
      </c>
      <c r="L134" s="71">
        <v>45309.0</v>
      </c>
      <c r="M134" s="58"/>
      <c r="N134" s="72" t="s">
        <v>8</v>
      </c>
      <c r="O134" s="72" t="s">
        <v>8</v>
      </c>
      <c r="P134" s="63">
        <f t="shared" si="10"/>
        <v>2024</v>
      </c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65" t="s">
        <v>10</v>
      </c>
      <c r="C135" s="58"/>
      <c r="D135" s="66">
        <v>42096.0</v>
      </c>
      <c r="E135" s="58"/>
      <c r="F135" s="67" t="s">
        <v>137</v>
      </c>
      <c r="G135" s="60"/>
      <c r="H135" s="68">
        <f>COUNTIFS(Minifigures!$C$22:$C$1137,D135)</f>
        <v>0</v>
      </c>
      <c r="I135" s="60"/>
      <c r="J135" s="69">
        <v>2019.0</v>
      </c>
      <c r="K135" s="70">
        <v>201.9</v>
      </c>
      <c r="L135" s="71">
        <v>45314.0</v>
      </c>
      <c r="M135" s="58"/>
      <c r="N135" s="72" t="s">
        <v>8</v>
      </c>
      <c r="O135" s="72" t="s">
        <v>8</v>
      </c>
      <c r="P135" s="63">
        <f t="shared" si="10"/>
        <v>2024</v>
      </c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65" t="s">
        <v>10</v>
      </c>
      <c r="C136" s="58"/>
      <c r="D136" s="66">
        <v>42115.0</v>
      </c>
      <c r="E136" s="58"/>
      <c r="F136" s="67" t="s">
        <v>138</v>
      </c>
      <c r="G136" s="60"/>
      <c r="H136" s="68">
        <f>COUNTIFS(Minifigures!$C$22:$C$1137,D136)</f>
        <v>0</v>
      </c>
      <c r="I136" s="60"/>
      <c r="J136" s="69">
        <v>2020.0</v>
      </c>
      <c r="K136" s="70">
        <v>287.12</v>
      </c>
      <c r="L136" s="71">
        <v>45243.0</v>
      </c>
      <c r="M136" s="58"/>
      <c r="N136" s="72" t="s">
        <v>8</v>
      </c>
      <c r="O136" s="72" t="s">
        <v>9</v>
      </c>
      <c r="P136" s="63">
        <f t="shared" si="10"/>
        <v>2023</v>
      </c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65" t="s">
        <v>10</v>
      </c>
      <c r="C137" s="58"/>
      <c r="D137" s="66">
        <v>42131.0</v>
      </c>
      <c r="E137" s="58"/>
      <c r="F137" s="76" t="s">
        <v>139</v>
      </c>
      <c r="G137" s="77"/>
      <c r="H137" s="68">
        <f>COUNTIFS(Minifigures!$C$22:$C$1137,D137)</f>
        <v>0</v>
      </c>
      <c r="I137" s="60"/>
      <c r="J137" s="69">
        <v>2021.0</v>
      </c>
      <c r="K137" s="70">
        <v>600.0</v>
      </c>
      <c r="L137" s="71">
        <v>45901.0</v>
      </c>
      <c r="M137" s="58"/>
      <c r="N137" s="72" t="s">
        <v>8</v>
      </c>
      <c r="O137" s="72" t="s">
        <v>9</v>
      </c>
      <c r="P137" s="63">
        <f t="shared" si="10"/>
        <v>2025</v>
      </c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65" t="s">
        <v>10</v>
      </c>
      <c r="C138" s="58"/>
      <c r="D138" s="66">
        <v>42141.0</v>
      </c>
      <c r="E138" s="58"/>
      <c r="F138" s="67" t="s">
        <v>140</v>
      </c>
      <c r="G138" s="60"/>
      <c r="H138" s="68">
        <f>COUNTIFS(Minifigures!$C$22:$C$1137,D138)</f>
        <v>0</v>
      </c>
      <c r="I138" s="60"/>
      <c r="J138" s="69">
        <v>2022.0</v>
      </c>
      <c r="K138" s="70">
        <v>136.63</v>
      </c>
      <c r="L138" s="71">
        <v>44897.0</v>
      </c>
      <c r="M138" s="58"/>
      <c r="N138" s="72" t="s">
        <v>8</v>
      </c>
      <c r="O138" s="72" t="s">
        <v>9</v>
      </c>
      <c r="P138" s="63">
        <f t="shared" si="10"/>
        <v>2022</v>
      </c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65" t="s">
        <v>10</v>
      </c>
      <c r="C139" s="58"/>
      <c r="D139" s="66">
        <v>42143.0</v>
      </c>
      <c r="E139" s="58"/>
      <c r="F139" s="67" t="s">
        <v>141</v>
      </c>
      <c r="G139" s="60"/>
      <c r="H139" s="68">
        <f>COUNTIFS(Minifigures!$C$22:$C$1137,D139)</f>
        <v>0</v>
      </c>
      <c r="I139" s="60"/>
      <c r="J139" s="69">
        <v>2022.0</v>
      </c>
      <c r="K139" s="70">
        <v>349.9</v>
      </c>
      <c r="L139" s="71">
        <v>45295.0</v>
      </c>
      <c r="M139" s="58"/>
      <c r="N139" s="72" t="s">
        <v>8</v>
      </c>
      <c r="O139" s="72" t="s">
        <v>9</v>
      </c>
      <c r="P139" s="63">
        <f t="shared" si="10"/>
        <v>2024</v>
      </c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65" t="s">
        <v>10</v>
      </c>
      <c r="C140" s="58"/>
      <c r="D140" s="66">
        <v>42163.0</v>
      </c>
      <c r="E140" s="58"/>
      <c r="F140" s="76" t="s">
        <v>142</v>
      </c>
      <c r="G140" s="77"/>
      <c r="H140" s="68">
        <f>COUNTIFS(Minifigures!$C$22:$C$1137,D140)</f>
        <v>0</v>
      </c>
      <c r="I140" s="60"/>
      <c r="J140" s="69">
        <v>2024.0</v>
      </c>
      <c r="K140" s="70">
        <v>9.99</v>
      </c>
      <c r="L140" s="71">
        <v>45901.0</v>
      </c>
      <c r="M140" s="58"/>
      <c r="N140" s="72" t="s">
        <v>8</v>
      </c>
      <c r="O140" s="72" t="s">
        <v>9</v>
      </c>
      <c r="P140" s="63">
        <f t="shared" si="10"/>
        <v>2025</v>
      </c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65" t="s">
        <v>10</v>
      </c>
      <c r="C141" s="58"/>
      <c r="D141" s="66">
        <v>42171.0</v>
      </c>
      <c r="E141" s="58"/>
      <c r="F141" s="67" t="s">
        <v>143</v>
      </c>
      <c r="G141" s="60"/>
      <c r="H141" s="68">
        <f>COUNTIFS(Minifigures!$C$22:$C$1137,D141)</f>
        <v>0</v>
      </c>
      <c r="I141" s="60"/>
      <c r="J141" s="69">
        <v>2024.0</v>
      </c>
      <c r="K141" s="70">
        <v>215.9</v>
      </c>
      <c r="L141" s="71">
        <v>45354.0</v>
      </c>
      <c r="M141" s="58"/>
      <c r="N141" s="72" t="s">
        <v>8</v>
      </c>
      <c r="O141" s="72" t="s">
        <v>8</v>
      </c>
      <c r="P141" s="63">
        <f t="shared" si="10"/>
        <v>2024</v>
      </c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65" t="s">
        <v>10</v>
      </c>
      <c r="C142" s="58"/>
      <c r="D142" s="66">
        <v>42172.0</v>
      </c>
      <c r="E142" s="58"/>
      <c r="F142" s="67" t="s">
        <v>144</v>
      </c>
      <c r="G142" s="60"/>
      <c r="H142" s="68">
        <f>COUNTIFS(Minifigures!$C$22:$C$1137,D142)</f>
        <v>0</v>
      </c>
      <c r="I142" s="60"/>
      <c r="J142" s="69">
        <v>2024.0</v>
      </c>
      <c r="K142" s="70">
        <v>449.99</v>
      </c>
      <c r="L142" s="71">
        <v>45505.0</v>
      </c>
      <c r="M142" s="58"/>
      <c r="N142" s="72" t="s">
        <v>8</v>
      </c>
      <c r="O142" s="72" t="s">
        <v>8</v>
      </c>
      <c r="P142" s="63">
        <f t="shared" si="10"/>
        <v>2024</v>
      </c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65" t="s">
        <v>10</v>
      </c>
      <c r="C143" s="58"/>
      <c r="D143" s="66">
        <v>42206.0</v>
      </c>
      <c r="E143" s="58"/>
      <c r="F143" s="76" t="s">
        <v>145</v>
      </c>
      <c r="G143" s="77"/>
      <c r="H143" s="68">
        <f>COUNTIFS(Minifigures!$C$22:$C$1137,D143)</f>
        <v>0</v>
      </c>
      <c r="I143" s="60"/>
      <c r="J143" s="69">
        <v>2025.0</v>
      </c>
      <c r="K143" s="70">
        <v>204.0</v>
      </c>
      <c r="L143" s="71">
        <v>45839.0</v>
      </c>
      <c r="M143" s="58"/>
      <c r="N143" s="72" t="s">
        <v>8</v>
      </c>
      <c r="O143" s="72" t="s">
        <v>8</v>
      </c>
      <c r="P143" s="63">
        <f t="shared" si="10"/>
        <v>2025</v>
      </c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65" t="s">
        <v>10</v>
      </c>
      <c r="C144" s="58"/>
      <c r="D144" s="66">
        <v>42207.0</v>
      </c>
      <c r="E144" s="58"/>
      <c r="F144" s="76" t="s">
        <v>146</v>
      </c>
      <c r="G144" s="77"/>
      <c r="H144" s="68">
        <f>COUNTIFS(Minifigures!$C$22:$C$1137,D144)</f>
        <v>0</v>
      </c>
      <c r="I144" s="60"/>
      <c r="J144" s="69">
        <v>2025.0</v>
      </c>
      <c r="K144" s="70">
        <v>198.0</v>
      </c>
      <c r="L144" s="71">
        <v>45839.0</v>
      </c>
      <c r="M144" s="58"/>
      <c r="N144" s="72" t="s">
        <v>8</v>
      </c>
      <c r="O144" s="72" t="s">
        <v>8</v>
      </c>
      <c r="P144" s="63">
        <f t="shared" si="10"/>
        <v>2025</v>
      </c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65" t="s">
        <v>10</v>
      </c>
      <c r="C145" s="58"/>
      <c r="D145" s="66">
        <v>42228.0</v>
      </c>
      <c r="E145" s="58"/>
      <c r="F145" s="67" t="s">
        <v>147</v>
      </c>
      <c r="G145" s="60"/>
      <c r="H145" s="68">
        <f>COUNTIFS(Minifigures!$C$22:$C$1137,D145)</f>
        <v>0</v>
      </c>
      <c r="I145" s="60"/>
      <c r="J145" s="69">
        <v>2026.0</v>
      </c>
      <c r="K145" s="70">
        <v>198.0</v>
      </c>
      <c r="L145" s="71">
        <v>46126.0</v>
      </c>
      <c r="M145" s="58"/>
      <c r="N145" s="72" t="s">
        <v>8</v>
      </c>
      <c r="O145" s="72" t="s">
        <v>9</v>
      </c>
      <c r="P145" s="63">
        <f t="shared" si="10"/>
        <v>2026</v>
      </c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65" t="s">
        <v>10</v>
      </c>
      <c r="C146" s="58"/>
      <c r="D146" s="66">
        <v>5008946.0</v>
      </c>
      <c r="E146" s="58"/>
      <c r="F146" s="67" t="s">
        <v>148</v>
      </c>
      <c r="G146" s="60"/>
      <c r="H146" s="68">
        <f>COUNTIFS(Minifigures!$C$22:$C$1137,D146)</f>
        <v>0</v>
      </c>
      <c r="I146" s="60"/>
      <c r="J146" s="69">
        <v>2024.0</v>
      </c>
      <c r="K146" s="70">
        <v>0.0</v>
      </c>
      <c r="L146" s="71">
        <v>45505.0</v>
      </c>
      <c r="M146" s="58"/>
      <c r="N146" s="72" t="s">
        <v>8</v>
      </c>
      <c r="O146" s="72" t="s">
        <v>8</v>
      </c>
      <c r="P146" s="63">
        <f t="shared" si="10"/>
        <v>2024</v>
      </c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65"/>
      <c r="C147" s="58"/>
      <c r="D147" s="65"/>
      <c r="E147" s="58"/>
      <c r="F147" s="67"/>
      <c r="G147" s="60"/>
      <c r="H147" s="68">
        <f>COUNTIFS(Minifigures!$C$22:$C$1137,D147)</f>
        <v>0</v>
      </c>
      <c r="I147" s="60"/>
      <c r="J147" s="79"/>
      <c r="K147" s="70"/>
      <c r="L147" s="71"/>
      <c r="M147" s="58"/>
      <c r="N147" s="72"/>
      <c r="O147" s="72"/>
      <c r="P147" s="63">
        <f t="shared" si="10"/>
        <v>1899</v>
      </c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65"/>
      <c r="C148" s="58"/>
      <c r="D148" s="65"/>
      <c r="E148" s="58"/>
      <c r="F148" s="67"/>
      <c r="G148" s="60"/>
      <c r="H148" s="68">
        <f>COUNTIFS(Minifigures!$C$22:$C$1137,D148)</f>
        <v>0</v>
      </c>
      <c r="I148" s="60"/>
      <c r="J148" s="79"/>
      <c r="K148" s="70"/>
      <c r="L148" s="71"/>
      <c r="M148" s="58"/>
      <c r="N148" s="72"/>
      <c r="O148" s="72"/>
      <c r="P148" s="63">
        <f t="shared" si="10"/>
        <v>1899</v>
      </c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65"/>
      <c r="C149" s="58"/>
      <c r="D149" s="65"/>
      <c r="E149" s="58"/>
      <c r="F149" s="67"/>
      <c r="G149" s="60"/>
      <c r="H149" s="68">
        <f>COUNTIFS(Minifigures!$C$22:$C$1137,D149)</f>
        <v>0</v>
      </c>
      <c r="I149" s="60"/>
      <c r="J149" s="79"/>
      <c r="K149" s="70"/>
      <c r="L149" s="71"/>
      <c r="M149" s="58"/>
      <c r="N149" s="72"/>
      <c r="O149" s="72"/>
      <c r="P149" s="63">
        <f t="shared" si="10"/>
        <v>1899</v>
      </c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65"/>
      <c r="C150" s="58"/>
      <c r="D150" s="65"/>
      <c r="E150" s="58"/>
      <c r="F150" s="67"/>
      <c r="G150" s="60"/>
      <c r="H150" s="68">
        <f>COUNTIFS(Minifigures!$C$22:$C$1137,D150)</f>
        <v>0</v>
      </c>
      <c r="I150" s="60"/>
      <c r="J150" s="79"/>
      <c r="K150" s="70"/>
      <c r="L150" s="71"/>
      <c r="M150" s="58"/>
      <c r="N150" s="72"/>
      <c r="O150" s="72"/>
      <c r="P150" s="63">
        <f t="shared" si="10"/>
        <v>1899</v>
      </c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65"/>
      <c r="C151" s="58"/>
      <c r="D151" s="65"/>
      <c r="E151" s="58"/>
      <c r="F151" s="67"/>
      <c r="G151" s="60"/>
      <c r="H151" s="68">
        <f>COUNTIFS(Minifigures!$C$22:$C$1137,D151)</f>
        <v>0</v>
      </c>
      <c r="I151" s="60"/>
      <c r="J151" s="79"/>
      <c r="K151" s="70"/>
      <c r="L151" s="71"/>
      <c r="M151" s="58"/>
      <c r="N151" s="72"/>
      <c r="O151" s="72"/>
      <c r="P151" s="63">
        <f t="shared" si="10"/>
        <v>1899</v>
      </c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65"/>
      <c r="C152" s="58"/>
      <c r="D152" s="65"/>
      <c r="E152" s="58"/>
      <c r="F152" s="67"/>
      <c r="G152" s="60"/>
      <c r="H152" s="68">
        <f>COUNTIFS(Minifigures!$C$22:$C$1137,D152)</f>
        <v>0</v>
      </c>
      <c r="I152" s="60"/>
      <c r="J152" s="79"/>
      <c r="K152" s="70"/>
      <c r="L152" s="71"/>
      <c r="M152" s="58"/>
      <c r="N152" s="72"/>
      <c r="O152" s="72"/>
      <c r="P152" s="63">
        <f t="shared" si="10"/>
        <v>1899</v>
      </c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65"/>
      <c r="C153" s="58"/>
      <c r="D153" s="65"/>
      <c r="E153" s="58"/>
      <c r="F153" s="67"/>
      <c r="G153" s="60"/>
      <c r="H153" s="68">
        <f>COUNTIFS(Minifigures!$C$22:$C$1137,D153)</f>
        <v>0</v>
      </c>
      <c r="I153" s="60"/>
      <c r="J153" s="79"/>
      <c r="K153" s="70"/>
      <c r="L153" s="71"/>
      <c r="M153" s="58"/>
      <c r="N153" s="72"/>
      <c r="O153" s="72"/>
      <c r="P153" s="63">
        <f t="shared" si="10"/>
        <v>1899</v>
      </c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65"/>
      <c r="C154" s="58"/>
      <c r="D154" s="65"/>
      <c r="E154" s="58"/>
      <c r="F154" s="67"/>
      <c r="G154" s="60"/>
      <c r="H154" s="68">
        <f>COUNTIFS(Minifigures!$C$22:$C$1137,D154)</f>
        <v>0</v>
      </c>
      <c r="I154" s="60"/>
      <c r="J154" s="79"/>
      <c r="K154" s="70"/>
      <c r="L154" s="71"/>
      <c r="M154" s="58"/>
      <c r="N154" s="72"/>
      <c r="O154" s="72"/>
      <c r="P154" s="63">
        <f t="shared" si="10"/>
        <v>1899</v>
      </c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65"/>
      <c r="C155" s="58"/>
      <c r="D155" s="65"/>
      <c r="E155" s="58"/>
      <c r="F155" s="67"/>
      <c r="G155" s="60"/>
      <c r="H155" s="68">
        <f>COUNTIFS(Minifigures!$C$22:$C$1137,D155)</f>
        <v>0</v>
      </c>
      <c r="I155" s="60"/>
      <c r="J155" s="79"/>
      <c r="K155" s="70"/>
      <c r="L155" s="71"/>
      <c r="M155" s="58"/>
      <c r="N155" s="72"/>
      <c r="O155" s="72"/>
      <c r="P155" s="63">
        <f t="shared" si="10"/>
        <v>1899</v>
      </c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65"/>
      <c r="C156" s="58"/>
      <c r="D156" s="65"/>
      <c r="E156" s="58"/>
      <c r="F156" s="67"/>
      <c r="G156" s="60"/>
      <c r="H156" s="68">
        <f>COUNTIFS(Minifigures!$C$22:$C$1137,D156)</f>
        <v>0</v>
      </c>
      <c r="I156" s="60"/>
      <c r="J156" s="79"/>
      <c r="K156" s="70"/>
      <c r="L156" s="71"/>
      <c r="M156" s="58"/>
      <c r="N156" s="72"/>
      <c r="O156" s="72"/>
      <c r="P156" s="63">
        <f t="shared" si="10"/>
        <v>1899</v>
      </c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65"/>
      <c r="C157" s="58"/>
      <c r="D157" s="65"/>
      <c r="E157" s="58"/>
      <c r="F157" s="67"/>
      <c r="G157" s="60"/>
      <c r="H157" s="68">
        <f>COUNTIFS(Minifigures!$C$22:$C$1137,D157)</f>
        <v>0</v>
      </c>
      <c r="I157" s="60"/>
      <c r="J157" s="79"/>
      <c r="K157" s="70"/>
      <c r="L157" s="71"/>
      <c r="M157" s="58"/>
      <c r="N157" s="72"/>
      <c r="O157" s="72"/>
      <c r="P157" s="63">
        <f t="shared" si="10"/>
        <v>1899</v>
      </c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65"/>
      <c r="C158" s="58"/>
      <c r="D158" s="65"/>
      <c r="E158" s="58"/>
      <c r="F158" s="67"/>
      <c r="G158" s="60"/>
      <c r="H158" s="68">
        <f>COUNTIFS(Minifigures!$C$22:$C$1137,D158)</f>
        <v>0</v>
      </c>
      <c r="I158" s="60"/>
      <c r="J158" s="79"/>
      <c r="K158" s="70"/>
      <c r="L158" s="71"/>
      <c r="M158" s="58"/>
      <c r="N158" s="72"/>
      <c r="O158" s="72"/>
      <c r="P158" s="63">
        <f t="shared" si="10"/>
        <v>1899</v>
      </c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65"/>
      <c r="C159" s="58"/>
      <c r="D159" s="65"/>
      <c r="E159" s="58"/>
      <c r="F159" s="67"/>
      <c r="G159" s="60"/>
      <c r="H159" s="68">
        <f>COUNTIFS(Minifigures!$C$22:$C$1137,D159)</f>
        <v>0</v>
      </c>
      <c r="I159" s="60"/>
      <c r="J159" s="79"/>
      <c r="K159" s="70"/>
      <c r="L159" s="71"/>
      <c r="M159" s="58"/>
      <c r="N159" s="72"/>
      <c r="O159" s="72"/>
      <c r="P159" s="63">
        <f t="shared" si="10"/>
        <v>1899</v>
      </c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65"/>
      <c r="C160" s="58"/>
      <c r="D160" s="65"/>
      <c r="E160" s="58"/>
      <c r="F160" s="67"/>
      <c r="G160" s="60"/>
      <c r="H160" s="68">
        <f>COUNTIFS(Minifigures!$C$22:$C$1137,D160)</f>
        <v>0</v>
      </c>
      <c r="I160" s="60"/>
      <c r="J160" s="79"/>
      <c r="K160" s="70"/>
      <c r="L160" s="71"/>
      <c r="M160" s="58"/>
      <c r="N160" s="72"/>
      <c r="O160" s="72"/>
      <c r="P160" s="63">
        <f t="shared" si="10"/>
        <v>1899</v>
      </c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65"/>
      <c r="C161" s="58"/>
      <c r="D161" s="65"/>
      <c r="E161" s="58"/>
      <c r="F161" s="67"/>
      <c r="G161" s="60"/>
      <c r="H161" s="68">
        <f>COUNTIFS(Minifigures!$C$22:$C$1137,D161)</f>
        <v>0</v>
      </c>
      <c r="I161" s="60"/>
      <c r="J161" s="79"/>
      <c r="K161" s="70"/>
      <c r="L161" s="71"/>
      <c r="M161" s="58"/>
      <c r="N161" s="72"/>
      <c r="O161" s="72"/>
      <c r="P161" s="63">
        <f t="shared" si="10"/>
        <v>1899</v>
      </c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65"/>
      <c r="C162" s="58"/>
      <c r="D162" s="65"/>
      <c r="E162" s="58"/>
      <c r="F162" s="67"/>
      <c r="G162" s="60"/>
      <c r="H162" s="68">
        <f>COUNTIFS(Minifigures!$C$22:$C$1137,D162)</f>
        <v>0</v>
      </c>
      <c r="I162" s="60"/>
      <c r="J162" s="79"/>
      <c r="K162" s="70"/>
      <c r="L162" s="71"/>
      <c r="M162" s="58"/>
      <c r="N162" s="72"/>
      <c r="O162" s="72"/>
      <c r="P162" s="63">
        <f t="shared" si="10"/>
        <v>1899</v>
      </c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65"/>
      <c r="C163" s="58"/>
      <c r="D163" s="65"/>
      <c r="E163" s="58"/>
      <c r="F163" s="67"/>
      <c r="G163" s="60"/>
      <c r="H163" s="68">
        <f>COUNTIFS(Minifigures!$C$22:$C$1137,D163)</f>
        <v>0</v>
      </c>
      <c r="I163" s="60"/>
      <c r="J163" s="79"/>
      <c r="K163" s="70"/>
      <c r="L163" s="71"/>
      <c r="M163" s="58"/>
      <c r="N163" s="72"/>
      <c r="O163" s="72"/>
      <c r="P163" s="63">
        <f t="shared" si="10"/>
        <v>1899</v>
      </c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65"/>
      <c r="C164" s="58"/>
      <c r="D164" s="65"/>
      <c r="E164" s="58"/>
      <c r="F164" s="67"/>
      <c r="G164" s="60"/>
      <c r="H164" s="68">
        <f>COUNTIFS(Minifigures!$C$22:$C$1137,D164)</f>
        <v>0</v>
      </c>
      <c r="I164" s="60"/>
      <c r="J164" s="79"/>
      <c r="K164" s="70"/>
      <c r="L164" s="71"/>
      <c r="M164" s="58"/>
      <c r="N164" s="72"/>
      <c r="O164" s="72"/>
      <c r="P164" s="63">
        <f t="shared" si="10"/>
        <v>1899</v>
      </c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65"/>
      <c r="C165" s="58"/>
      <c r="D165" s="65"/>
      <c r="E165" s="58"/>
      <c r="F165" s="67"/>
      <c r="G165" s="60"/>
      <c r="H165" s="68">
        <f>COUNTIFS(Minifigures!$C$22:$C$1137,D165)</f>
        <v>0</v>
      </c>
      <c r="I165" s="60"/>
      <c r="J165" s="79"/>
      <c r="K165" s="70"/>
      <c r="L165" s="71"/>
      <c r="M165" s="58"/>
      <c r="N165" s="72"/>
      <c r="O165" s="72"/>
      <c r="P165" s="63">
        <f t="shared" si="10"/>
        <v>1899</v>
      </c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65"/>
      <c r="C166" s="58"/>
      <c r="D166" s="65"/>
      <c r="E166" s="58"/>
      <c r="F166" s="67"/>
      <c r="G166" s="60"/>
      <c r="H166" s="68">
        <f>COUNTIFS(Minifigures!$C$22:$C$1137,D166)</f>
        <v>0</v>
      </c>
      <c r="I166" s="60"/>
      <c r="J166" s="79"/>
      <c r="K166" s="70"/>
      <c r="L166" s="71"/>
      <c r="M166" s="58"/>
      <c r="N166" s="72"/>
      <c r="O166" s="72"/>
      <c r="P166" s="63">
        <f t="shared" si="10"/>
        <v>1899</v>
      </c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65"/>
      <c r="C167" s="58"/>
      <c r="D167" s="65"/>
      <c r="E167" s="58"/>
      <c r="F167" s="67"/>
      <c r="G167" s="60"/>
      <c r="H167" s="68">
        <f>COUNTIFS(Minifigures!$C$22:$C$1137,D167)</f>
        <v>0</v>
      </c>
      <c r="I167" s="60"/>
      <c r="J167" s="79"/>
      <c r="K167" s="70"/>
      <c r="L167" s="71"/>
      <c r="M167" s="58"/>
      <c r="N167" s="72"/>
      <c r="O167" s="72"/>
      <c r="P167" s="63">
        <f t="shared" si="10"/>
        <v>1899</v>
      </c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65"/>
      <c r="C168" s="58"/>
      <c r="D168" s="65"/>
      <c r="E168" s="58"/>
      <c r="F168" s="67"/>
      <c r="G168" s="60"/>
      <c r="H168" s="68">
        <f>COUNTIFS(Minifigures!$C$22:$C$1137,D168)</f>
        <v>0</v>
      </c>
      <c r="I168" s="60"/>
      <c r="J168" s="79"/>
      <c r="K168" s="70"/>
      <c r="L168" s="71"/>
      <c r="M168" s="58"/>
      <c r="N168" s="72"/>
      <c r="O168" s="72"/>
      <c r="P168" s="63">
        <f t="shared" si="10"/>
        <v>1899</v>
      </c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65"/>
      <c r="C169" s="58"/>
      <c r="D169" s="65"/>
      <c r="E169" s="58"/>
      <c r="F169" s="67"/>
      <c r="G169" s="60"/>
      <c r="H169" s="68">
        <f>COUNTIFS(Minifigures!$C$22:$C$1137,D169)</f>
        <v>0</v>
      </c>
      <c r="I169" s="60"/>
      <c r="J169" s="79"/>
      <c r="K169" s="70"/>
      <c r="L169" s="71"/>
      <c r="M169" s="58"/>
      <c r="N169" s="72"/>
      <c r="O169" s="72"/>
      <c r="P169" s="63">
        <f t="shared" si="10"/>
        <v>1899</v>
      </c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65"/>
      <c r="C170" s="58"/>
      <c r="D170" s="65"/>
      <c r="E170" s="58"/>
      <c r="F170" s="67"/>
      <c r="G170" s="60"/>
      <c r="H170" s="68">
        <f>COUNTIFS(Minifigures!$C$22:$C$1137,D170)</f>
        <v>0</v>
      </c>
      <c r="I170" s="60"/>
      <c r="J170" s="79"/>
      <c r="K170" s="70"/>
      <c r="L170" s="71"/>
      <c r="M170" s="58"/>
      <c r="N170" s="72"/>
      <c r="O170" s="72"/>
      <c r="P170" s="63">
        <f t="shared" si="10"/>
        <v>1899</v>
      </c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65"/>
      <c r="C171" s="58"/>
      <c r="D171" s="65"/>
      <c r="E171" s="58"/>
      <c r="F171" s="67"/>
      <c r="G171" s="60"/>
      <c r="H171" s="68">
        <f>COUNTIFS(Minifigures!$C$22:$C$1137,D171)</f>
        <v>0</v>
      </c>
      <c r="I171" s="60"/>
      <c r="J171" s="79"/>
      <c r="K171" s="70"/>
      <c r="L171" s="71"/>
      <c r="M171" s="58"/>
      <c r="N171" s="72"/>
      <c r="O171" s="72"/>
      <c r="P171" s="63">
        <f t="shared" si="10"/>
        <v>1899</v>
      </c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65"/>
      <c r="C172" s="58"/>
      <c r="D172" s="65"/>
      <c r="E172" s="58"/>
      <c r="F172" s="67"/>
      <c r="G172" s="60"/>
      <c r="H172" s="68">
        <f>COUNTIFS(Minifigures!$C$22:$C$1137,D172)</f>
        <v>0</v>
      </c>
      <c r="I172" s="60"/>
      <c r="J172" s="79"/>
      <c r="K172" s="70"/>
      <c r="L172" s="71"/>
      <c r="M172" s="58"/>
      <c r="N172" s="72"/>
      <c r="O172" s="72"/>
      <c r="P172" s="63">
        <f t="shared" si="10"/>
        <v>1899</v>
      </c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65"/>
      <c r="C173" s="58"/>
      <c r="D173" s="65"/>
      <c r="E173" s="58"/>
      <c r="F173" s="67"/>
      <c r="G173" s="60"/>
      <c r="H173" s="68">
        <f>COUNTIFS(Minifigures!$C$22:$C$1137,D173)</f>
        <v>0</v>
      </c>
      <c r="I173" s="60"/>
      <c r="J173" s="79"/>
      <c r="K173" s="70"/>
      <c r="L173" s="71"/>
      <c r="M173" s="58"/>
      <c r="N173" s="72"/>
      <c r="O173" s="72"/>
      <c r="P173" s="63">
        <f t="shared" si="10"/>
        <v>1899</v>
      </c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65"/>
      <c r="C174" s="58"/>
      <c r="D174" s="65"/>
      <c r="E174" s="58"/>
      <c r="F174" s="67"/>
      <c r="G174" s="60"/>
      <c r="H174" s="68">
        <f>COUNTIFS(Minifigures!$C$22:$C$1137,D174)</f>
        <v>0</v>
      </c>
      <c r="I174" s="60"/>
      <c r="J174" s="79"/>
      <c r="K174" s="70"/>
      <c r="L174" s="71"/>
      <c r="M174" s="58"/>
      <c r="N174" s="72"/>
      <c r="O174" s="72"/>
      <c r="P174" s="63">
        <f t="shared" si="10"/>
        <v>1899</v>
      </c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65"/>
      <c r="C175" s="58"/>
      <c r="D175" s="65"/>
      <c r="E175" s="58"/>
      <c r="F175" s="67"/>
      <c r="G175" s="60"/>
      <c r="H175" s="68">
        <f>COUNTIFS(Minifigures!$C$22:$C$1137,D175)</f>
        <v>0</v>
      </c>
      <c r="I175" s="60"/>
      <c r="J175" s="79"/>
      <c r="K175" s="70"/>
      <c r="L175" s="71"/>
      <c r="M175" s="58"/>
      <c r="N175" s="72"/>
      <c r="O175" s="72"/>
      <c r="P175" s="63">
        <f t="shared" si="10"/>
        <v>1899</v>
      </c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65"/>
      <c r="C176" s="58"/>
      <c r="D176" s="65"/>
      <c r="E176" s="58"/>
      <c r="F176" s="67"/>
      <c r="G176" s="60"/>
      <c r="H176" s="68">
        <f>COUNTIFS(Minifigures!$C$22:$C$1137,D176)</f>
        <v>0</v>
      </c>
      <c r="I176" s="60"/>
      <c r="J176" s="79"/>
      <c r="K176" s="70"/>
      <c r="L176" s="71"/>
      <c r="M176" s="58"/>
      <c r="N176" s="72"/>
      <c r="O176" s="72"/>
      <c r="P176" s="63">
        <f t="shared" si="10"/>
        <v>1899</v>
      </c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65"/>
      <c r="C177" s="58"/>
      <c r="D177" s="65"/>
      <c r="E177" s="58"/>
      <c r="F177" s="67"/>
      <c r="G177" s="60"/>
      <c r="H177" s="68">
        <f>COUNTIFS(Minifigures!$C$22:$C$1137,D177)</f>
        <v>0</v>
      </c>
      <c r="I177" s="60"/>
      <c r="J177" s="79"/>
      <c r="K177" s="70"/>
      <c r="L177" s="71"/>
      <c r="M177" s="58"/>
      <c r="N177" s="72"/>
      <c r="O177" s="72"/>
      <c r="P177" s="63">
        <f t="shared" si="10"/>
        <v>1899</v>
      </c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65"/>
      <c r="C178" s="58"/>
      <c r="D178" s="65"/>
      <c r="E178" s="58"/>
      <c r="F178" s="67"/>
      <c r="G178" s="60"/>
      <c r="H178" s="68">
        <f>COUNTIFS(Minifigures!$C$22:$C$1137,D178)</f>
        <v>0</v>
      </c>
      <c r="I178" s="60"/>
      <c r="J178" s="79"/>
      <c r="K178" s="70"/>
      <c r="L178" s="71"/>
      <c r="M178" s="58"/>
      <c r="N178" s="72"/>
      <c r="O178" s="72"/>
      <c r="P178" s="63">
        <f t="shared" si="10"/>
        <v>1899</v>
      </c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65"/>
      <c r="C179" s="58"/>
      <c r="D179" s="65"/>
      <c r="E179" s="58"/>
      <c r="F179" s="67"/>
      <c r="G179" s="60"/>
      <c r="H179" s="68">
        <f>COUNTIFS(Minifigures!$C$22:$C$1137,D179)</f>
        <v>0</v>
      </c>
      <c r="I179" s="60"/>
      <c r="J179" s="79"/>
      <c r="K179" s="70"/>
      <c r="L179" s="71"/>
      <c r="M179" s="58"/>
      <c r="N179" s="72"/>
      <c r="O179" s="72"/>
      <c r="P179" s="63">
        <f t="shared" si="10"/>
        <v>1899</v>
      </c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65"/>
      <c r="C180" s="58"/>
      <c r="D180" s="65"/>
      <c r="E180" s="58"/>
      <c r="F180" s="67"/>
      <c r="G180" s="60"/>
      <c r="H180" s="68">
        <f>COUNTIFS(Minifigures!$C$22:$C$1137,D180)</f>
        <v>0</v>
      </c>
      <c r="I180" s="60"/>
      <c r="J180" s="79"/>
      <c r="K180" s="70"/>
      <c r="L180" s="71"/>
      <c r="M180" s="58"/>
      <c r="N180" s="72"/>
      <c r="O180" s="72"/>
      <c r="P180" s="63">
        <f t="shared" si="10"/>
        <v>1899</v>
      </c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65"/>
      <c r="C181" s="58"/>
      <c r="D181" s="65"/>
      <c r="E181" s="58"/>
      <c r="F181" s="67"/>
      <c r="G181" s="60"/>
      <c r="H181" s="68">
        <f>COUNTIFS(Minifigures!$C$22:$C$1137,D181)</f>
        <v>0</v>
      </c>
      <c r="I181" s="60"/>
      <c r="J181" s="79"/>
      <c r="K181" s="70"/>
      <c r="L181" s="71"/>
      <c r="M181" s="58"/>
      <c r="N181" s="72"/>
      <c r="O181" s="72"/>
      <c r="P181" s="63">
        <f t="shared" si="10"/>
        <v>1899</v>
      </c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65"/>
      <c r="C182" s="58"/>
      <c r="D182" s="65"/>
      <c r="E182" s="58"/>
      <c r="F182" s="67"/>
      <c r="G182" s="60"/>
      <c r="H182" s="68">
        <f>COUNTIFS(Minifigures!$C$22:$C$1137,D182)</f>
        <v>0</v>
      </c>
      <c r="I182" s="60"/>
      <c r="J182" s="79"/>
      <c r="K182" s="70"/>
      <c r="L182" s="71"/>
      <c r="M182" s="58"/>
      <c r="N182" s="72"/>
      <c r="O182" s="72"/>
      <c r="P182" s="63">
        <f t="shared" si="10"/>
        <v>1899</v>
      </c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65"/>
      <c r="C183" s="58"/>
      <c r="D183" s="65"/>
      <c r="E183" s="58"/>
      <c r="F183" s="67"/>
      <c r="G183" s="60"/>
      <c r="H183" s="68">
        <f>COUNTIFS(Minifigures!$C$22:$C$1137,D183)</f>
        <v>0</v>
      </c>
      <c r="I183" s="60"/>
      <c r="J183" s="79"/>
      <c r="K183" s="70"/>
      <c r="L183" s="71"/>
      <c r="M183" s="58"/>
      <c r="N183" s="72"/>
      <c r="O183" s="72"/>
      <c r="P183" s="63">
        <f t="shared" si="10"/>
        <v>1899</v>
      </c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65"/>
      <c r="C184" s="58"/>
      <c r="D184" s="65"/>
      <c r="E184" s="58"/>
      <c r="F184" s="67"/>
      <c r="G184" s="60"/>
      <c r="H184" s="68">
        <f>COUNTIFS(Minifigures!$C$22:$C$1137,D184)</f>
        <v>0</v>
      </c>
      <c r="I184" s="60"/>
      <c r="J184" s="79"/>
      <c r="K184" s="70"/>
      <c r="L184" s="71"/>
      <c r="M184" s="58"/>
      <c r="N184" s="72"/>
      <c r="O184" s="72"/>
      <c r="P184" s="63">
        <f t="shared" si="10"/>
        <v>1899</v>
      </c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65"/>
      <c r="C185" s="58"/>
      <c r="D185" s="65"/>
      <c r="E185" s="58"/>
      <c r="F185" s="67"/>
      <c r="G185" s="60"/>
      <c r="H185" s="68">
        <f>COUNTIFS(Minifigures!$C$22:$C$1137,D185)</f>
        <v>0</v>
      </c>
      <c r="I185" s="60"/>
      <c r="J185" s="79"/>
      <c r="K185" s="70"/>
      <c r="L185" s="71"/>
      <c r="M185" s="58"/>
      <c r="N185" s="72"/>
      <c r="O185" s="72"/>
      <c r="P185" s="63">
        <f t="shared" si="10"/>
        <v>1899</v>
      </c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65"/>
      <c r="C186" s="58"/>
      <c r="D186" s="65"/>
      <c r="E186" s="58"/>
      <c r="F186" s="67"/>
      <c r="G186" s="60"/>
      <c r="H186" s="68">
        <f>COUNTIFS(Minifigures!$C$22:$C$1137,D186)</f>
        <v>0</v>
      </c>
      <c r="I186" s="60"/>
      <c r="J186" s="79"/>
      <c r="K186" s="70"/>
      <c r="L186" s="71"/>
      <c r="M186" s="58"/>
      <c r="N186" s="72"/>
      <c r="O186" s="72"/>
      <c r="P186" s="63">
        <f t="shared" si="10"/>
        <v>1899</v>
      </c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65"/>
      <c r="C187" s="58"/>
      <c r="D187" s="65"/>
      <c r="E187" s="58"/>
      <c r="F187" s="67"/>
      <c r="G187" s="60"/>
      <c r="H187" s="68">
        <f>COUNTIFS(Minifigures!$C$22:$C$1137,D187)</f>
        <v>0</v>
      </c>
      <c r="I187" s="60"/>
      <c r="J187" s="79"/>
      <c r="K187" s="70"/>
      <c r="L187" s="71"/>
      <c r="M187" s="58"/>
      <c r="N187" s="72"/>
      <c r="O187" s="72"/>
      <c r="P187" s="63">
        <f t="shared" si="10"/>
        <v>1899</v>
      </c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65"/>
      <c r="C188" s="58"/>
      <c r="D188" s="65"/>
      <c r="E188" s="58"/>
      <c r="F188" s="67"/>
      <c r="G188" s="60"/>
      <c r="H188" s="68">
        <f>COUNTIFS(Minifigures!$C$22:$C$1137,D188)</f>
        <v>0</v>
      </c>
      <c r="I188" s="60"/>
      <c r="J188" s="79"/>
      <c r="K188" s="70"/>
      <c r="L188" s="71"/>
      <c r="M188" s="58"/>
      <c r="N188" s="72"/>
      <c r="O188" s="72"/>
      <c r="P188" s="63">
        <f t="shared" si="10"/>
        <v>1899</v>
      </c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65"/>
      <c r="C189" s="58"/>
      <c r="D189" s="65"/>
      <c r="E189" s="58"/>
      <c r="F189" s="67"/>
      <c r="G189" s="60"/>
      <c r="H189" s="68">
        <f>COUNTIFS(Minifigures!$C$22:$C$1137,D189)</f>
        <v>0</v>
      </c>
      <c r="I189" s="60"/>
      <c r="J189" s="79"/>
      <c r="K189" s="70"/>
      <c r="L189" s="71"/>
      <c r="M189" s="58"/>
      <c r="N189" s="72"/>
      <c r="O189" s="72"/>
      <c r="P189" s="63">
        <f t="shared" si="10"/>
        <v>1899</v>
      </c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65"/>
      <c r="C190" s="58"/>
      <c r="D190" s="65"/>
      <c r="E190" s="58"/>
      <c r="F190" s="67"/>
      <c r="G190" s="60"/>
      <c r="H190" s="68">
        <f>COUNTIFS(Minifigures!$C$22:$C$1137,D190)</f>
        <v>0</v>
      </c>
      <c r="I190" s="60"/>
      <c r="J190" s="79"/>
      <c r="K190" s="70"/>
      <c r="L190" s="71"/>
      <c r="M190" s="58"/>
      <c r="N190" s="72"/>
      <c r="O190" s="72"/>
      <c r="P190" s="63">
        <f t="shared" si="10"/>
        <v>1899</v>
      </c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65"/>
      <c r="C191" s="58"/>
      <c r="D191" s="65"/>
      <c r="E191" s="58"/>
      <c r="F191" s="67"/>
      <c r="G191" s="60"/>
      <c r="H191" s="68">
        <f>COUNTIFS(Minifigures!$C$22:$C$1137,D191)</f>
        <v>0</v>
      </c>
      <c r="I191" s="60"/>
      <c r="J191" s="79"/>
      <c r="K191" s="70"/>
      <c r="L191" s="71"/>
      <c r="M191" s="58"/>
      <c r="N191" s="72"/>
      <c r="O191" s="72"/>
      <c r="P191" s="63">
        <f t="shared" si="10"/>
        <v>1899</v>
      </c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65"/>
      <c r="C192" s="58"/>
      <c r="D192" s="65"/>
      <c r="E192" s="58"/>
      <c r="F192" s="67"/>
      <c r="G192" s="60"/>
      <c r="H192" s="68">
        <f>COUNTIFS(Minifigures!$C$22:$C$1137,D192)</f>
        <v>0</v>
      </c>
      <c r="I192" s="60"/>
      <c r="J192" s="79"/>
      <c r="K192" s="70"/>
      <c r="L192" s="71"/>
      <c r="M192" s="58"/>
      <c r="N192" s="72"/>
      <c r="O192" s="72"/>
      <c r="P192" s="63">
        <f t="shared" si="10"/>
        <v>1899</v>
      </c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65"/>
      <c r="C193" s="58"/>
      <c r="D193" s="65"/>
      <c r="E193" s="58"/>
      <c r="F193" s="67"/>
      <c r="G193" s="60"/>
      <c r="H193" s="68">
        <f>COUNTIFS(Minifigures!$C$22:$C$1137,D193)</f>
        <v>0</v>
      </c>
      <c r="I193" s="60"/>
      <c r="J193" s="79"/>
      <c r="K193" s="70"/>
      <c r="L193" s="71"/>
      <c r="M193" s="58"/>
      <c r="N193" s="72"/>
      <c r="O193" s="72"/>
      <c r="P193" s="63">
        <f t="shared" si="10"/>
        <v>1899</v>
      </c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65"/>
      <c r="C194" s="58"/>
      <c r="D194" s="65"/>
      <c r="E194" s="58"/>
      <c r="F194" s="67"/>
      <c r="G194" s="60"/>
      <c r="H194" s="68">
        <f>COUNTIFS(Minifigures!$C$22:$C$1137,D194)</f>
        <v>0</v>
      </c>
      <c r="I194" s="60"/>
      <c r="J194" s="79"/>
      <c r="K194" s="70"/>
      <c r="L194" s="71"/>
      <c r="M194" s="58"/>
      <c r="N194" s="72"/>
      <c r="O194" s="72"/>
      <c r="P194" s="63">
        <f t="shared" si="10"/>
        <v>1899</v>
      </c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65"/>
      <c r="C195" s="58"/>
      <c r="D195" s="65"/>
      <c r="E195" s="58"/>
      <c r="F195" s="67"/>
      <c r="G195" s="60"/>
      <c r="H195" s="68">
        <f>COUNTIFS(Minifigures!$C$22:$C$1137,D195)</f>
        <v>0</v>
      </c>
      <c r="I195" s="60"/>
      <c r="J195" s="79"/>
      <c r="K195" s="70"/>
      <c r="L195" s="71"/>
      <c r="M195" s="58"/>
      <c r="N195" s="72"/>
      <c r="O195" s="72"/>
      <c r="P195" s="63">
        <f t="shared" si="10"/>
        <v>1899</v>
      </c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65"/>
      <c r="C196" s="58"/>
      <c r="D196" s="65"/>
      <c r="E196" s="58"/>
      <c r="F196" s="67"/>
      <c r="G196" s="60"/>
      <c r="H196" s="68">
        <f>COUNTIFS(Minifigures!$C$22:$C$1137,D196)</f>
        <v>0</v>
      </c>
      <c r="I196" s="60"/>
      <c r="J196" s="79"/>
      <c r="K196" s="70"/>
      <c r="L196" s="71"/>
      <c r="M196" s="58"/>
      <c r="N196" s="72"/>
      <c r="O196" s="72"/>
      <c r="P196" s="63">
        <f t="shared" si="10"/>
        <v>1899</v>
      </c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65"/>
      <c r="C197" s="58"/>
      <c r="D197" s="65"/>
      <c r="E197" s="58"/>
      <c r="F197" s="67"/>
      <c r="G197" s="60"/>
      <c r="H197" s="68">
        <f>COUNTIFS(Minifigures!$C$22:$C$1137,D197)</f>
        <v>0</v>
      </c>
      <c r="I197" s="60"/>
      <c r="J197" s="79"/>
      <c r="K197" s="70"/>
      <c r="L197" s="71"/>
      <c r="M197" s="58"/>
      <c r="N197" s="72"/>
      <c r="O197" s="72"/>
      <c r="P197" s="63">
        <f t="shared" si="10"/>
        <v>1899</v>
      </c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65"/>
      <c r="C198" s="58"/>
      <c r="D198" s="65"/>
      <c r="E198" s="58"/>
      <c r="F198" s="67"/>
      <c r="G198" s="60"/>
      <c r="H198" s="68">
        <f>COUNTIFS(Minifigures!$C$22:$C$1137,D198)</f>
        <v>0</v>
      </c>
      <c r="I198" s="60"/>
      <c r="J198" s="79"/>
      <c r="K198" s="70"/>
      <c r="L198" s="71"/>
      <c r="M198" s="58"/>
      <c r="N198" s="72"/>
      <c r="O198" s="72"/>
      <c r="P198" s="63">
        <f t="shared" si="10"/>
        <v>1899</v>
      </c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65"/>
      <c r="C199" s="58"/>
      <c r="D199" s="65"/>
      <c r="E199" s="58"/>
      <c r="F199" s="67"/>
      <c r="G199" s="60"/>
      <c r="H199" s="68">
        <f>COUNTIFS(Minifigures!$C$22:$C$1137,D199)</f>
        <v>0</v>
      </c>
      <c r="I199" s="60"/>
      <c r="J199" s="79"/>
      <c r="K199" s="70"/>
      <c r="L199" s="71"/>
      <c r="M199" s="58"/>
      <c r="N199" s="72"/>
      <c r="O199" s="72"/>
      <c r="P199" s="63">
        <f t="shared" si="10"/>
        <v>1899</v>
      </c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65"/>
      <c r="C200" s="58"/>
      <c r="D200" s="65"/>
      <c r="E200" s="58"/>
      <c r="F200" s="67"/>
      <c r="G200" s="60"/>
      <c r="H200" s="68">
        <f>COUNTIFS(Minifigures!$C$22:$C$1137,D200)</f>
        <v>0</v>
      </c>
      <c r="I200" s="60"/>
      <c r="J200" s="79"/>
      <c r="K200" s="70"/>
      <c r="L200" s="71"/>
      <c r="M200" s="58"/>
      <c r="N200" s="72"/>
      <c r="O200" s="72"/>
      <c r="P200" s="63">
        <f t="shared" si="10"/>
        <v>1899</v>
      </c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65"/>
      <c r="C201" s="58"/>
      <c r="D201" s="65"/>
      <c r="E201" s="58"/>
      <c r="F201" s="67"/>
      <c r="G201" s="60"/>
      <c r="H201" s="68">
        <f>COUNTIFS(Minifigures!$C$22:$C$1137,D201)</f>
        <v>0</v>
      </c>
      <c r="I201" s="60"/>
      <c r="J201" s="79"/>
      <c r="K201" s="70"/>
      <c r="L201" s="71"/>
      <c r="M201" s="58"/>
      <c r="N201" s="72"/>
      <c r="O201" s="72"/>
      <c r="P201" s="63">
        <f t="shared" si="10"/>
        <v>1899</v>
      </c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65"/>
      <c r="C202" s="58"/>
      <c r="D202" s="65"/>
      <c r="E202" s="58"/>
      <c r="F202" s="67"/>
      <c r="G202" s="60"/>
      <c r="H202" s="68">
        <f>COUNTIFS(Minifigures!$C$22:$C$1137,D202)</f>
        <v>0</v>
      </c>
      <c r="I202" s="60"/>
      <c r="J202" s="79"/>
      <c r="K202" s="70"/>
      <c r="L202" s="71"/>
      <c r="M202" s="58"/>
      <c r="N202" s="72"/>
      <c r="O202" s="72"/>
      <c r="P202" s="63">
        <f t="shared" si="10"/>
        <v>1899</v>
      </c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65"/>
      <c r="C203" s="58"/>
      <c r="D203" s="65"/>
      <c r="E203" s="58"/>
      <c r="F203" s="67"/>
      <c r="G203" s="60"/>
      <c r="H203" s="68">
        <f>COUNTIFS(Minifigures!$C$22:$C$1137,D203)</f>
        <v>0</v>
      </c>
      <c r="I203" s="60"/>
      <c r="J203" s="79"/>
      <c r="K203" s="70"/>
      <c r="L203" s="71"/>
      <c r="M203" s="58"/>
      <c r="N203" s="72"/>
      <c r="O203" s="72"/>
      <c r="P203" s="63">
        <f t="shared" si="10"/>
        <v>1899</v>
      </c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65"/>
      <c r="C204" s="58"/>
      <c r="D204" s="65"/>
      <c r="E204" s="58"/>
      <c r="F204" s="67"/>
      <c r="G204" s="60"/>
      <c r="H204" s="68">
        <f>COUNTIFS(Minifigures!$C$22:$C$1137,D204)</f>
        <v>0</v>
      </c>
      <c r="I204" s="60"/>
      <c r="J204" s="79"/>
      <c r="K204" s="70"/>
      <c r="L204" s="71"/>
      <c r="M204" s="58"/>
      <c r="N204" s="72"/>
      <c r="O204" s="72"/>
      <c r="P204" s="63">
        <f t="shared" si="10"/>
        <v>1899</v>
      </c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65"/>
      <c r="C205" s="58"/>
      <c r="D205" s="65"/>
      <c r="E205" s="58"/>
      <c r="F205" s="67"/>
      <c r="G205" s="60"/>
      <c r="H205" s="68">
        <f>COUNTIFS(Minifigures!$C$22:$C$1137,D205)</f>
        <v>0</v>
      </c>
      <c r="I205" s="60"/>
      <c r="J205" s="79"/>
      <c r="K205" s="70"/>
      <c r="L205" s="71"/>
      <c r="M205" s="58"/>
      <c r="N205" s="72"/>
      <c r="O205" s="72"/>
      <c r="P205" s="63">
        <f t="shared" si="10"/>
        <v>1899</v>
      </c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65"/>
      <c r="C206" s="58"/>
      <c r="D206" s="65"/>
      <c r="E206" s="58"/>
      <c r="F206" s="67"/>
      <c r="G206" s="60"/>
      <c r="H206" s="68">
        <f>COUNTIFS(Minifigures!$C$22:$C$1137,D206)</f>
        <v>0</v>
      </c>
      <c r="I206" s="60"/>
      <c r="J206" s="79"/>
      <c r="K206" s="70"/>
      <c r="L206" s="71"/>
      <c r="M206" s="58"/>
      <c r="N206" s="72"/>
      <c r="O206" s="72"/>
      <c r="P206" s="63">
        <f t="shared" si="10"/>
        <v>1899</v>
      </c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65"/>
      <c r="C207" s="58"/>
      <c r="D207" s="65"/>
      <c r="E207" s="58"/>
      <c r="F207" s="67"/>
      <c r="G207" s="60"/>
      <c r="H207" s="68">
        <f>COUNTIFS(Minifigures!$C$22:$C$1137,D207)</f>
        <v>0</v>
      </c>
      <c r="I207" s="60"/>
      <c r="J207" s="79"/>
      <c r="K207" s="70"/>
      <c r="L207" s="71"/>
      <c r="M207" s="58"/>
      <c r="N207" s="72"/>
      <c r="O207" s="72"/>
      <c r="P207" s="63">
        <f t="shared" si="10"/>
        <v>1899</v>
      </c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65"/>
      <c r="C208" s="58"/>
      <c r="D208" s="65"/>
      <c r="E208" s="58"/>
      <c r="F208" s="67"/>
      <c r="G208" s="60"/>
      <c r="H208" s="68">
        <f>COUNTIFS(Minifigures!$C$22:$C$1137,D208)</f>
        <v>0</v>
      </c>
      <c r="I208" s="60"/>
      <c r="J208" s="79"/>
      <c r="K208" s="70"/>
      <c r="L208" s="71"/>
      <c r="M208" s="58"/>
      <c r="N208" s="72"/>
      <c r="O208" s="72"/>
      <c r="P208" s="63">
        <f t="shared" si="10"/>
        <v>1899</v>
      </c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65"/>
      <c r="C209" s="58"/>
      <c r="D209" s="65"/>
      <c r="E209" s="58"/>
      <c r="F209" s="67"/>
      <c r="G209" s="60"/>
      <c r="H209" s="68">
        <f>COUNTIFS(Minifigures!$C$22:$C$1137,D209)</f>
        <v>0</v>
      </c>
      <c r="I209" s="60"/>
      <c r="J209" s="79"/>
      <c r="K209" s="70"/>
      <c r="L209" s="71"/>
      <c r="M209" s="58"/>
      <c r="N209" s="72"/>
      <c r="O209" s="72"/>
      <c r="P209" s="63">
        <f t="shared" si="10"/>
        <v>1899</v>
      </c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65"/>
      <c r="C210" s="58"/>
      <c r="D210" s="65"/>
      <c r="E210" s="58"/>
      <c r="F210" s="67"/>
      <c r="G210" s="60"/>
      <c r="H210" s="68">
        <f>COUNTIFS(Minifigures!$C$22:$C$1137,D210)</f>
        <v>0</v>
      </c>
      <c r="I210" s="60"/>
      <c r="J210" s="79"/>
      <c r="K210" s="70"/>
      <c r="L210" s="71"/>
      <c r="M210" s="58"/>
      <c r="N210" s="72"/>
      <c r="O210" s="72"/>
      <c r="P210" s="63">
        <f t="shared" si="10"/>
        <v>1899</v>
      </c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65"/>
      <c r="C211" s="58"/>
      <c r="D211" s="65"/>
      <c r="E211" s="58"/>
      <c r="F211" s="67"/>
      <c r="G211" s="60"/>
      <c r="H211" s="68">
        <f>COUNTIFS(Minifigures!$C$22:$C$1137,D211)</f>
        <v>0</v>
      </c>
      <c r="I211" s="60"/>
      <c r="J211" s="79"/>
      <c r="K211" s="70"/>
      <c r="L211" s="71"/>
      <c r="M211" s="58"/>
      <c r="N211" s="72"/>
      <c r="O211" s="72"/>
      <c r="P211" s="63">
        <f t="shared" si="10"/>
        <v>1899</v>
      </c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65"/>
      <c r="C212" s="58"/>
      <c r="D212" s="65"/>
      <c r="E212" s="58"/>
      <c r="F212" s="67"/>
      <c r="G212" s="60"/>
      <c r="H212" s="68">
        <f>COUNTIFS(Minifigures!$C$22:$C$1137,D212)</f>
        <v>0</v>
      </c>
      <c r="I212" s="60"/>
      <c r="J212" s="79"/>
      <c r="K212" s="70"/>
      <c r="L212" s="71"/>
      <c r="M212" s="58"/>
      <c r="N212" s="72"/>
      <c r="O212" s="72"/>
      <c r="P212" s="63">
        <f t="shared" si="10"/>
        <v>1899</v>
      </c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65"/>
      <c r="C213" s="58"/>
      <c r="D213" s="65"/>
      <c r="E213" s="58"/>
      <c r="F213" s="67"/>
      <c r="G213" s="60"/>
      <c r="H213" s="68">
        <f>COUNTIFS(Minifigures!$C$22:$C$1137,D213)</f>
        <v>0</v>
      </c>
      <c r="I213" s="60"/>
      <c r="J213" s="79"/>
      <c r="K213" s="70"/>
      <c r="L213" s="71"/>
      <c r="M213" s="58"/>
      <c r="N213" s="72"/>
      <c r="O213" s="72"/>
      <c r="P213" s="63">
        <f t="shared" si="10"/>
        <v>1899</v>
      </c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65"/>
      <c r="C214" s="58"/>
      <c r="D214" s="65"/>
      <c r="E214" s="58"/>
      <c r="F214" s="67"/>
      <c r="G214" s="60"/>
      <c r="H214" s="68">
        <f>COUNTIFS(Minifigures!$C$22:$C$1137,D214)</f>
        <v>0</v>
      </c>
      <c r="I214" s="60"/>
      <c r="J214" s="79"/>
      <c r="K214" s="70"/>
      <c r="L214" s="71"/>
      <c r="M214" s="58"/>
      <c r="N214" s="72"/>
      <c r="O214" s="72"/>
      <c r="P214" s="63">
        <f t="shared" si="10"/>
        <v>1899</v>
      </c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65"/>
      <c r="C215" s="58"/>
      <c r="D215" s="65"/>
      <c r="E215" s="58"/>
      <c r="F215" s="67"/>
      <c r="G215" s="60"/>
      <c r="H215" s="68">
        <f>COUNTIFS(Minifigures!$C$22:$C$1137,D215)</f>
        <v>0</v>
      </c>
      <c r="I215" s="60"/>
      <c r="J215" s="79"/>
      <c r="K215" s="70"/>
      <c r="L215" s="71"/>
      <c r="M215" s="58"/>
      <c r="N215" s="72"/>
      <c r="O215" s="72"/>
      <c r="P215" s="63">
        <f t="shared" si="10"/>
        <v>1899</v>
      </c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65"/>
      <c r="C216" s="58"/>
      <c r="D216" s="65"/>
      <c r="E216" s="58"/>
      <c r="F216" s="67"/>
      <c r="G216" s="60"/>
      <c r="H216" s="68">
        <f>COUNTIFS(Minifigures!$C$22:$C$1137,D216)</f>
        <v>0</v>
      </c>
      <c r="I216" s="60"/>
      <c r="J216" s="79"/>
      <c r="K216" s="70"/>
      <c r="L216" s="71"/>
      <c r="M216" s="58"/>
      <c r="N216" s="72"/>
      <c r="O216" s="72"/>
      <c r="P216" s="63">
        <f t="shared" si="10"/>
        <v>1899</v>
      </c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65"/>
      <c r="C217" s="58"/>
      <c r="D217" s="65"/>
      <c r="E217" s="58"/>
      <c r="F217" s="67"/>
      <c r="G217" s="60"/>
      <c r="H217" s="68">
        <f>COUNTIFS(Minifigures!$C$22:$C$1137,D217)</f>
        <v>0</v>
      </c>
      <c r="I217" s="60"/>
      <c r="J217" s="79"/>
      <c r="K217" s="70"/>
      <c r="L217" s="71"/>
      <c r="M217" s="58"/>
      <c r="N217" s="72"/>
      <c r="O217" s="72"/>
      <c r="P217" s="63">
        <f t="shared" si="10"/>
        <v>1899</v>
      </c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65"/>
      <c r="C218" s="58"/>
      <c r="D218" s="65"/>
      <c r="E218" s="58"/>
      <c r="F218" s="67"/>
      <c r="G218" s="60"/>
      <c r="H218" s="68">
        <f>COUNTIFS(Minifigures!$C$22:$C$1137,D218)</f>
        <v>0</v>
      </c>
      <c r="I218" s="60"/>
      <c r="J218" s="79"/>
      <c r="K218" s="70"/>
      <c r="L218" s="71"/>
      <c r="M218" s="58"/>
      <c r="N218" s="72"/>
      <c r="O218" s="72"/>
      <c r="P218" s="63">
        <f t="shared" si="10"/>
        <v>1899</v>
      </c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65"/>
      <c r="C219" s="58"/>
      <c r="D219" s="65"/>
      <c r="E219" s="58"/>
      <c r="F219" s="67"/>
      <c r="G219" s="60"/>
      <c r="H219" s="68">
        <f>COUNTIFS(Minifigures!$C$22:$C$1137,D219)</f>
        <v>0</v>
      </c>
      <c r="I219" s="60"/>
      <c r="J219" s="79"/>
      <c r="K219" s="70"/>
      <c r="L219" s="71"/>
      <c r="M219" s="58"/>
      <c r="N219" s="72"/>
      <c r="O219" s="72"/>
      <c r="P219" s="63">
        <f t="shared" si="10"/>
        <v>1899</v>
      </c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65"/>
      <c r="C220" s="58"/>
      <c r="D220" s="65"/>
      <c r="E220" s="58"/>
      <c r="F220" s="67"/>
      <c r="G220" s="60"/>
      <c r="H220" s="68">
        <f>COUNTIFS(Minifigures!$C$22:$C$1137,D220)</f>
        <v>0</v>
      </c>
      <c r="I220" s="60"/>
      <c r="J220" s="79"/>
      <c r="K220" s="70"/>
      <c r="L220" s="71"/>
      <c r="M220" s="58"/>
      <c r="N220" s="72"/>
      <c r="O220" s="72"/>
      <c r="P220" s="63">
        <f t="shared" si="10"/>
        <v>1899</v>
      </c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65"/>
      <c r="C221" s="58"/>
      <c r="D221" s="65"/>
      <c r="E221" s="58"/>
      <c r="F221" s="67"/>
      <c r="G221" s="60"/>
      <c r="H221" s="68">
        <f>COUNTIFS(Minifigures!$C$22:$C$1137,D221)</f>
        <v>0</v>
      </c>
      <c r="I221" s="60"/>
      <c r="J221" s="79"/>
      <c r="K221" s="70"/>
      <c r="L221" s="71"/>
      <c r="M221" s="58"/>
      <c r="N221" s="72"/>
      <c r="O221" s="72"/>
      <c r="P221" s="63">
        <f t="shared" si="10"/>
        <v>1899</v>
      </c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65"/>
      <c r="C222" s="58"/>
      <c r="D222" s="65"/>
      <c r="E222" s="58"/>
      <c r="F222" s="67"/>
      <c r="G222" s="60"/>
      <c r="H222" s="68">
        <f>COUNTIFS(Minifigures!$C$22:$C$1137,D222)</f>
        <v>0</v>
      </c>
      <c r="I222" s="60"/>
      <c r="J222" s="79"/>
      <c r="K222" s="70"/>
      <c r="L222" s="71"/>
      <c r="M222" s="58"/>
      <c r="N222" s="72"/>
      <c r="O222" s="72"/>
      <c r="P222" s="63">
        <f t="shared" si="10"/>
        <v>1899</v>
      </c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65"/>
      <c r="C223" s="58"/>
      <c r="D223" s="65"/>
      <c r="E223" s="58"/>
      <c r="F223" s="67"/>
      <c r="G223" s="60"/>
      <c r="H223" s="68">
        <f>COUNTIFS(Minifigures!$C$22:$C$1137,D223)</f>
        <v>0</v>
      </c>
      <c r="I223" s="60"/>
      <c r="J223" s="79"/>
      <c r="K223" s="70"/>
      <c r="L223" s="71"/>
      <c r="M223" s="58"/>
      <c r="N223" s="72"/>
      <c r="O223" s="72"/>
      <c r="P223" s="63">
        <f t="shared" si="10"/>
        <v>1899</v>
      </c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65"/>
      <c r="C224" s="58"/>
      <c r="D224" s="65"/>
      <c r="E224" s="58"/>
      <c r="F224" s="67"/>
      <c r="G224" s="60"/>
      <c r="H224" s="68">
        <f>COUNTIFS(Minifigures!$C$22:$C$1137,D224)</f>
        <v>0</v>
      </c>
      <c r="I224" s="60"/>
      <c r="J224" s="79"/>
      <c r="K224" s="70"/>
      <c r="L224" s="71"/>
      <c r="M224" s="58"/>
      <c r="N224" s="72"/>
      <c r="O224" s="72"/>
      <c r="P224" s="63">
        <f t="shared" si="10"/>
        <v>1899</v>
      </c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65"/>
      <c r="C225" s="58"/>
      <c r="D225" s="65"/>
      <c r="E225" s="58"/>
      <c r="F225" s="67"/>
      <c r="G225" s="60"/>
      <c r="H225" s="68">
        <f>COUNTIFS(Minifigures!$C$22:$C$1137,D225)</f>
        <v>0</v>
      </c>
      <c r="I225" s="60"/>
      <c r="J225" s="79"/>
      <c r="K225" s="70"/>
      <c r="L225" s="71"/>
      <c r="M225" s="58"/>
      <c r="N225" s="72"/>
      <c r="O225" s="72"/>
      <c r="P225" s="63">
        <f t="shared" si="10"/>
        <v>1899</v>
      </c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65"/>
      <c r="C226" s="58"/>
      <c r="D226" s="65"/>
      <c r="E226" s="58"/>
      <c r="F226" s="67"/>
      <c r="G226" s="60"/>
      <c r="H226" s="68">
        <f>COUNTIFS(Minifigures!$C$22:$C$1137,D226)</f>
        <v>0</v>
      </c>
      <c r="I226" s="60"/>
      <c r="J226" s="79"/>
      <c r="K226" s="70"/>
      <c r="L226" s="71"/>
      <c r="M226" s="58"/>
      <c r="N226" s="72"/>
      <c r="O226" s="72"/>
      <c r="P226" s="63">
        <f t="shared" si="10"/>
        <v>1899</v>
      </c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65"/>
      <c r="C227" s="58"/>
      <c r="D227" s="65"/>
      <c r="E227" s="58"/>
      <c r="F227" s="67"/>
      <c r="G227" s="60"/>
      <c r="H227" s="68">
        <f>COUNTIFS(Minifigures!$C$22:$C$1137,D227)</f>
        <v>0</v>
      </c>
      <c r="I227" s="60"/>
      <c r="J227" s="79"/>
      <c r="K227" s="70"/>
      <c r="L227" s="71"/>
      <c r="M227" s="58"/>
      <c r="N227" s="72"/>
      <c r="O227" s="72"/>
      <c r="P227" s="63">
        <f t="shared" si="10"/>
        <v>1899</v>
      </c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65"/>
      <c r="C228" s="58"/>
      <c r="D228" s="65"/>
      <c r="E228" s="58"/>
      <c r="F228" s="67"/>
      <c r="G228" s="60"/>
      <c r="H228" s="68">
        <f>COUNTIFS(Minifigures!$C$22:$C$1137,D228)</f>
        <v>0</v>
      </c>
      <c r="I228" s="60"/>
      <c r="J228" s="79"/>
      <c r="K228" s="70"/>
      <c r="L228" s="71"/>
      <c r="M228" s="58"/>
      <c r="N228" s="72"/>
      <c r="O228" s="72"/>
      <c r="P228" s="63">
        <f t="shared" si="10"/>
        <v>1899</v>
      </c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65"/>
      <c r="C229" s="58"/>
      <c r="D229" s="65"/>
      <c r="E229" s="58"/>
      <c r="F229" s="67"/>
      <c r="G229" s="60"/>
      <c r="H229" s="68">
        <f>COUNTIFS(Minifigures!$C$22:$C$1137,D229)</f>
        <v>0</v>
      </c>
      <c r="I229" s="60"/>
      <c r="J229" s="79"/>
      <c r="K229" s="70"/>
      <c r="L229" s="71"/>
      <c r="M229" s="58"/>
      <c r="N229" s="72"/>
      <c r="O229" s="72"/>
      <c r="P229" s="63">
        <f t="shared" si="10"/>
        <v>1899</v>
      </c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65"/>
      <c r="C230" s="58"/>
      <c r="D230" s="65"/>
      <c r="E230" s="58"/>
      <c r="F230" s="67"/>
      <c r="G230" s="60"/>
      <c r="H230" s="68">
        <f>COUNTIFS(Minifigures!$C$22:$C$1137,D230)</f>
        <v>0</v>
      </c>
      <c r="I230" s="60"/>
      <c r="J230" s="79"/>
      <c r="K230" s="70"/>
      <c r="L230" s="71"/>
      <c r="M230" s="58"/>
      <c r="N230" s="72"/>
      <c r="O230" s="72"/>
      <c r="P230" s="63">
        <f t="shared" si="10"/>
        <v>1899</v>
      </c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65"/>
      <c r="C231" s="58"/>
      <c r="D231" s="65"/>
      <c r="E231" s="58"/>
      <c r="F231" s="67"/>
      <c r="G231" s="60"/>
      <c r="H231" s="68">
        <f>COUNTIFS(Minifigures!$C$22:$C$1137,D231)</f>
        <v>0</v>
      </c>
      <c r="I231" s="60"/>
      <c r="J231" s="79"/>
      <c r="K231" s="70"/>
      <c r="L231" s="71"/>
      <c r="M231" s="58"/>
      <c r="N231" s="72"/>
      <c r="O231" s="72"/>
      <c r="P231" s="63">
        <f t="shared" si="10"/>
        <v>1899</v>
      </c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65"/>
      <c r="C232" s="58"/>
      <c r="D232" s="65"/>
      <c r="E232" s="58"/>
      <c r="F232" s="67"/>
      <c r="G232" s="60"/>
      <c r="H232" s="68">
        <f>COUNTIFS(Minifigures!$C$22:$C$1137,D232)</f>
        <v>0</v>
      </c>
      <c r="I232" s="60"/>
      <c r="J232" s="79"/>
      <c r="K232" s="70"/>
      <c r="L232" s="71"/>
      <c r="M232" s="58"/>
      <c r="N232" s="72"/>
      <c r="O232" s="72"/>
      <c r="P232" s="63">
        <f t="shared" si="10"/>
        <v>1899</v>
      </c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65"/>
      <c r="C233" s="58"/>
      <c r="D233" s="65"/>
      <c r="E233" s="58"/>
      <c r="F233" s="67"/>
      <c r="G233" s="60"/>
      <c r="H233" s="68">
        <f>COUNTIFS(Minifigures!$C$22:$C$1137,D233)</f>
        <v>0</v>
      </c>
      <c r="I233" s="60"/>
      <c r="J233" s="79"/>
      <c r="K233" s="70"/>
      <c r="L233" s="71"/>
      <c r="M233" s="58"/>
      <c r="N233" s="72"/>
      <c r="O233" s="72"/>
      <c r="P233" s="63">
        <f t="shared" si="10"/>
        <v>1899</v>
      </c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65"/>
      <c r="C234" s="58"/>
      <c r="D234" s="65"/>
      <c r="E234" s="58"/>
      <c r="F234" s="67"/>
      <c r="G234" s="60"/>
      <c r="H234" s="68">
        <f>COUNTIFS(Minifigures!$C$22:$C$1137,D234)</f>
        <v>0</v>
      </c>
      <c r="I234" s="60"/>
      <c r="J234" s="79"/>
      <c r="K234" s="70"/>
      <c r="L234" s="71"/>
      <c r="M234" s="58"/>
      <c r="N234" s="72"/>
      <c r="O234" s="72"/>
      <c r="P234" s="63">
        <f t="shared" si="10"/>
        <v>1899</v>
      </c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65"/>
      <c r="C235" s="58"/>
      <c r="D235" s="65"/>
      <c r="E235" s="58"/>
      <c r="F235" s="67"/>
      <c r="G235" s="60"/>
      <c r="H235" s="68">
        <f>COUNTIFS(Minifigures!$C$22:$C$1137,D235)</f>
        <v>0</v>
      </c>
      <c r="I235" s="60"/>
      <c r="J235" s="79"/>
      <c r="K235" s="70"/>
      <c r="L235" s="71"/>
      <c r="M235" s="58"/>
      <c r="N235" s="72"/>
      <c r="O235" s="72"/>
      <c r="P235" s="63">
        <f t="shared" si="10"/>
        <v>1899</v>
      </c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65"/>
      <c r="C236" s="58"/>
      <c r="D236" s="65"/>
      <c r="E236" s="58"/>
      <c r="F236" s="67"/>
      <c r="G236" s="60"/>
      <c r="H236" s="68">
        <f>COUNTIFS(Minifigures!$C$22:$C$1137,D236)</f>
        <v>0</v>
      </c>
      <c r="I236" s="60"/>
      <c r="J236" s="79"/>
      <c r="K236" s="70"/>
      <c r="L236" s="71"/>
      <c r="M236" s="58"/>
      <c r="N236" s="72"/>
      <c r="O236" s="72"/>
      <c r="P236" s="63">
        <f t="shared" si="10"/>
        <v>1899</v>
      </c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65"/>
      <c r="C237" s="58"/>
      <c r="D237" s="65"/>
      <c r="E237" s="58"/>
      <c r="F237" s="67"/>
      <c r="G237" s="60"/>
      <c r="H237" s="68">
        <f>COUNTIFS(Minifigures!$C$22:$C$1137,D237)</f>
        <v>0</v>
      </c>
      <c r="I237" s="60"/>
      <c r="J237" s="79"/>
      <c r="K237" s="70"/>
      <c r="L237" s="71"/>
      <c r="M237" s="58"/>
      <c r="N237" s="72"/>
      <c r="O237" s="72"/>
      <c r="P237" s="63">
        <f t="shared" si="10"/>
        <v>1899</v>
      </c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65"/>
      <c r="C238" s="58"/>
      <c r="D238" s="65"/>
      <c r="E238" s="58"/>
      <c r="F238" s="67"/>
      <c r="G238" s="60"/>
      <c r="H238" s="68">
        <f>COUNTIFS(Minifigures!$C$22:$C$1137,D238)</f>
        <v>0</v>
      </c>
      <c r="I238" s="60"/>
      <c r="J238" s="79"/>
      <c r="K238" s="70"/>
      <c r="L238" s="71"/>
      <c r="M238" s="58"/>
      <c r="N238" s="72"/>
      <c r="O238" s="72"/>
      <c r="P238" s="63">
        <f t="shared" si="10"/>
        <v>1899</v>
      </c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65"/>
      <c r="C239" s="58"/>
      <c r="D239" s="65"/>
      <c r="E239" s="58"/>
      <c r="F239" s="67"/>
      <c r="G239" s="60"/>
      <c r="H239" s="68">
        <f>COUNTIFS(Minifigures!$C$22:$C$1137,D239)</f>
        <v>0</v>
      </c>
      <c r="I239" s="60"/>
      <c r="J239" s="79"/>
      <c r="K239" s="70"/>
      <c r="L239" s="71"/>
      <c r="M239" s="58"/>
      <c r="N239" s="72"/>
      <c r="O239" s="72"/>
      <c r="P239" s="63">
        <f t="shared" si="10"/>
        <v>1899</v>
      </c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65"/>
      <c r="C240" s="58"/>
      <c r="D240" s="65"/>
      <c r="E240" s="58"/>
      <c r="F240" s="67"/>
      <c r="G240" s="60"/>
      <c r="H240" s="68">
        <f>COUNTIFS(Minifigures!$C$22:$C$1137,D240)</f>
        <v>0</v>
      </c>
      <c r="I240" s="60"/>
      <c r="J240" s="79"/>
      <c r="K240" s="70"/>
      <c r="L240" s="71"/>
      <c r="M240" s="58"/>
      <c r="N240" s="72"/>
      <c r="O240" s="72"/>
      <c r="P240" s="63">
        <f t="shared" si="10"/>
        <v>1899</v>
      </c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65"/>
      <c r="C241" s="58"/>
      <c r="D241" s="65"/>
      <c r="E241" s="58"/>
      <c r="F241" s="67"/>
      <c r="G241" s="60"/>
      <c r="H241" s="68">
        <f>COUNTIFS(Minifigures!$C$22:$C$1137,D241)</f>
        <v>0</v>
      </c>
      <c r="I241" s="60"/>
      <c r="J241" s="79"/>
      <c r="K241" s="70"/>
      <c r="L241" s="71"/>
      <c r="M241" s="58"/>
      <c r="N241" s="72"/>
      <c r="O241" s="72"/>
      <c r="P241" s="63">
        <f t="shared" si="10"/>
        <v>1899</v>
      </c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65"/>
      <c r="C242" s="58"/>
      <c r="D242" s="65"/>
      <c r="E242" s="58"/>
      <c r="F242" s="67"/>
      <c r="G242" s="60"/>
      <c r="H242" s="68">
        <f>COUNTIFS(Minifigures!$C$22:$C$1137,D242)</f>
        <v>0</v>
      </c>
      <c r="I242" s="60"/>
      <c r="J242" s="79"/>
      <c r="K242" s="70"/>
      <c r="L242" s="71"/>
      <c r="M242" s="58"/>
      <c r="N242" s="72"/>
      <c r="O242" s="72"/>
      <c r="P242" s="63">
        <f t="shared" si="10"/>
        <v>1899</v>
      </c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65"/>
      <c r="C243" s="58"/>
      <c r="D243" s="65"/>
      <c r="E243" s="58"/>
      <c r="F243" s="67"/>
      <c r="G243" s="60"/>
      <c r="H243" s="68">
        <f>COUNTIFS(Minifigures!$C$22:$C$1137,D243)</f>
        <v>0</v>
      </c>
      <c r="I243" s="60"/>
      <c r="J243" s="79"/>
      <c r="K243" s="70"/>
      <c r="L243" s="71"/>
      <c r="M243" s="58"/>
      <c r="N243" s="72"/>
      <c r="O243" s="72"/>
      <c r="P243" s="63">
        <f t="shared" si="10"/>
        <v>1899</v>
      </c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65"/>
      <c r="C244" s="58"/>
      <c r="D244" s="65"/>
      <c r="E244" s="58"/>
      <c r="F244" s="67"/>
      <c r="G244" s="60"/>
      <c r="H244" s="68">
        <f>COUNTIFS(Minifigures!$C$22:$C$1137,D244)</f>
        <v>0</v>
      </c>
      <c r="I244" s="60"/>
      <c r="J244" s="79"/>
      <c r="K244" s="70"/>
      <c r="L244" s="71"/>
      <c r="M244" s="58"/>
      <c r="N244" s="72"/>
      <c r="O244" s="72"/>
      <c r="P244" s="63">
        <f t="shared" si="10"/>
        <v>1899</v>
      </c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65"/>
      <c r="C245" s="58"/>
      <c r="D245" s="65"/>
      <c r="E245" s="58"/>
      <c r="F245" s="67"/>
      <c r="G245" s="60"/>
      <c r="H245" s="68">
        <f>COUNTIFS(Minifigures!$C$22:$C$1137,D245)</f>
        <v>0</v>
      </c>
      <c r="I245" s="60"/>
      <c r="J245" s="79"/>
      <c r="K245" s="70"/>
      <c r="L245" s="71"/>
      <c r="M245" s="58"/>
      <c r="N245" s="72"/>
      <c r="O245" s="72"/>
      <c r="P245" s="63">
        <f t="shared" si="10"/>
        <v>1899</v>
      </c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65"/>
      <c r="C246" s="58"/>
      <c r="D246" s="65"/>
      <c r="E246" s="58"/>
      <c r="F246" s="67"/>
      <c r="G246" s="60"/>
      <c r="H246" s="68">
        <f>COUNTIFS(Minifigures!$C$22:$C$1137,D246)</f>
        <v>0</v>
      </c>
      <c r="I246" s="60"/>
      <c r="J246" s="79"/>
      <c r="K246" s="70"/>
      <c r="L246" s="71"/>
      <c r="M246" s="58"/>
      <c r="N246" s="72"/>
      <c r="O246" s="72"/>
      <c r="P246" s="63">
        <f t="shared" si="10"/>
        <v>1899</v>
      </c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65"/>
      <c r="C247" s="58"/>
      <c r="D247" s="65"/>
      <c r="E247" s="58"/>
      <c r="F247" s="67"/>
      <c r="G247" s="60"/>
      <c r="H247" s="68">
        <f>COUNTIFS(Minifigures!$C$22:$C$1137,D247)</f>
        <v>0</v>
      </c>
      <c r="I247" s="60"/>
      <c r="J247" s="79"/>
      <c r="K247" s="70"/>
      <c r="L247" s="71"/>
      <c r="M247" s="58"/>
      <c r="N247" s="72"/>
      <c r="O247" s="72"/>
      <c r="P247" s="63">
        <f t="shared" si="10"/>
        <v>1899</v>
      </c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65"/>
      <c r="C248" s="58"/>
      <c r="D248" s="65"/>
      <c r="E248" s="58"/>
      <c r="F248" s="67"/>
      <c r="G248" s="60"/>
      <c r="H248" s="68">
        <f>COUNTIFS(Minifigures!$C$22:$C$1137,D248)</f>
        <v>0</v>
      </c>
      <c r="I248" s="60"/>
      <c r="J248" s="79"/>
      <c r="K248" s="70"/>
      <c r="L248" s="71"/>
      <c r="M248" s="58"/>
      <c r="N248" s="72"/>
      <c r="O248" s="72"/>
      <c r="P248" s="63">
        <f t="shared" si="10"/>
        <v>1899</v>
      </c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65"/>
      <c r="C249" s="58"/>
      <c r="D249" s="65"/>
      <c r="E249" s="58"/>
      <c r="F249" s="67"/>
      <c r="G249" s="60"/>
      <c r="H249" s="68">
        <f>COUNTIFS(Minifigures!$C$22:$C$1137,D249)</f>
        <v>0</v>
      </c>
      <c r="I249" s="60"/>
      <c r="J249" s="79"/>
      <c r="K249" s="70"/>
      <c r="L249" s="71"/>
      <c r="M249" s="58"/>
      <c r="N249" s="72"/>
      <c r="O249" s="72"/>
      <c r="P249" s="63">
        <f t="shared" si="10"/>
        <v>1899</v>
      </c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65"/>
      <c r="C250" s="58"/>
      <c r="D250" s="65"/>
      <c r="E250" s="58"/>
      <c r="F250" s="67"/>
      <c r="G250" s="60"/>
      <c r="H250" s="68">
        <f>COUNTIFS(Minifigures!$C$22:$C$1137,D250)</f>
        <v>0</v>
      </c>
      <c r="I250" s="60"/>
      <c r="J250" s="79"/>
      <c r="K250" s="70"/>
      <c r="L250" s="71"/>
      <c r="M250" s="58"/>
      <c r="N250" s="72"/>
      <c r="O250" s="72"/>
      <c r="P250" s="63">
        <f t="shared" si="10"/>
        <v>1899</v>
      </c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65"/>
      <c r="C251" s="58"/>
      <c r="D251" s="65"/>
      <c r="E251" s="58"/>
      <c r="F251" s="67"/>
      <c r="G251" s="60"/>
      <c r="H251" s="68">
        <f>COUNTIFS(Minifigures!$C$22:$C$1137,D251)</f>
        <v>0</v>
      </c>
      <c r="I251" s="60"/>
      <c r="J251" s="79"/>
      <c r="K251" s="70"/>
      <c r="L251" s="71"/>
      <c r="M251" s="58"/>
      <c r="N251" s="72"/>
      <c r="O251" s="72"/>
      <c r="P251" s="63">
        <f t="shared" si="10"/>
        <v>1899</v>
      </c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65"/>
      <c r="C252" s="58"/>
      <c r="D252" s="65"/>
      <c r="E252" s="58"/>
      <c r="F252" s="67"/>
      <c r="G252" s="60"/>
      <c r="H252" s="68">
        <f>COUNTIFS(Minifigures!$C$22:$C$1137,D252)</f>
        <v>0</v>
      </c>
      <c r="I252" s="60"/>
      <c r="J252" s="79"/>
      <c r="K252" s="70"/>
      <c r="L252" s="71"/>
      <c r="M252" s="58"/>
      <c r="N252" s="72"/>
      <c r="O252" s="72"/>
      <c r="P252" s="63">
        <f t="shared" si="10"/>
        <v>1899</v>
      </c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65"/>
      <c r="C253" s="58"/>
      <c r="D253" s="65"/>
      <c r="E253" s="58"/>
      <c r="F253" s="67"/>
      <c r="G253" s="60"/>
      <c r="H253" s="68">
        <f>COUNTIFS(Minifigures!$C$22:$C$1137,D253)</f>
        <v>0</v>
      </c>
      <c r="I253" s="60"/>
      <c r="J253" s="79"/>
      <c r="K253" s="70"/>
      <c r="L253" s="71"/>
      <c r="M253" s="58"/>
      <c r="N253" s="72"/>
      <c r="O253" s="72"/>
      <c r="P253" s="63">
        <f t="shared" si="10"/>
        <v>1899</v>
      </c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65"/>
      <c r="C254" s="58"/>
      <c r="D254" s="65"/>
      <c r="E254" s="58"/>
      <c r="F254" s="67"/>
      <c r="G254" s="60"/>
      <c r="H254" s="68">
        <f>COUNTIFS(Minifigures!$C$22:$C$1137,D254)</f>
        <v>0</v>
      </c>
      <c r="I254" s="60"/>
      <c r="J254" s="79"/>
      <c r="K254" s="70"/>
      <c r="L254" s="71"/>
      <c r="M254" s="58"/>
      <c r="N254" s="72"/>
      <c r="O254" s="72"/>
      <c r="P254" s="63">
        <f t="shared" si="10"/>
        <v>1899</v>
      </c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65"/>
      <c r="C255" s="58"/>
      <c r="D255" s="65"/>
      <c r="E255" s="58"/>
      <c r="F255" s="67"/>
      <c r="G255" s="60"/>
      <c r="H255" s="68">
        <f>COUNTIFS(Minifigures!$C$22:$C$1137,D255)</f>
        <v>0</v>
      </c>
      <c r="I255" s="60"/>
      <c r="J255" s="79"/>
      <c r="K255" s="70"/>
      <c r="L255" s="71"/>
      <c r="M255" s="58"/>
      <c r="N255" s="72"/>
      <c r="O255" s="72"/>
      <c r="P255" s="63">
        <f t="shared" si="10"/>
        <v>1899</v>
      </c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65"/>
      <c r="C256" s="58"/>
      <c r="D256" s="65"/>
      <c r="E256" s="58"/>
      <c r="F256" s="67"/>
      <c r="G256" s="60"/>
      <c r="H256" s="68">
        <f>COUNTIFS(Minifigures!$C$22:$C$1137,D256)</f>
        <v>0</v>
      </c>
      <c r="I256" s="60"/>
      <c r="J256" s="79"/>
      <c r="K256" s="70"/>
      <c r="L256" s="71"/>
      <c r="M256" s="58"/>
      <c r="N256" s="72"/>
      <c r="O256" s="72"/>
      <c r="P256" s="63">
        <f t="shared" si="10"/>
        <v>1899</v>
      </c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65"/>
      <c r="C257" s="58"/>
      <c r="D257" s="65"/>
      <c r="E257" s="58"/>
      <c r="F257" s="67"/>
      <c r="G257" s="60"/>
      <c r="H257" s="68">
        <f>COUNTIFS(Minifigures!$C$22:$C$1137,D257)</f>
        <v>0</v>
      </c>
      <c r="I257" s="60"/>
      <c r="J257" s="79"/>
      <c r="K257" s="70"/>
      <c r="L257" s="71"/>
      <c r="M257" s="58"/>
      <c r="N257" s="72"/>
      <c r="O257" s="72"/>
      <c r="P257" s="63">
        <f t="shared" si="10"/>
        <v>1899</v>
      </c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65"/>
      <c r="C258" s="58"/>
      <c r="D258" s="65"/>
      <c r="E258" s="58"/>
      <c r="F258" s="67"/>
      <c r="G258" s="60"/>
      <c r="H258" s="68">
        <f>COUNTIFS(Minifigures!$C$22:$C$1137,D258)</f>
        <v>0</v>
      </c>
      <c r="I258" s="60"/>
      <c r="J258" s="79"/>
      <c r="K258" s="70"/>
      <c r="L258" s="71"/>
      <c r="M258" s="58"/>
      <c r="N258" s="72"/>
      <c r="O258" s="72"/>
      <c r="P258" s="63">
        <f t="shared" si="10"/>
        <v>1899</v>
      </c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65"/>
      <c r="C259" s="58"/>
      <c r="D259" s="65"/>
      <c r="E259" s="58"/>
      <c r="F259" s="67"/>
      <c r="G259" s="60"/>
      <c r="H259" s="68">
        <f>COUNTIFS(Minifigures!$C$22:$C$1137,D259)</f>
        <v>0</v>
      </c>
      <c r="I259" s="60"/>
      <c r="J259" s="79"/>
      <c r="K259" s="70"/>
      <c r="L259" s="71"/>
      <c r="M259" s="58"/>
      <c r="N259" s="72"/>
      <c r="O259" s="72"/>
      <c r="P259" s="63">
        <f t="shared" si="10"/>
        <v>1899</v>
      </c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65"/>
      <c r="C260" s="58"/>
      <c r="D260" s="65"/>
      <c r="E260" s="58"/>
      <c r="F260" s="67"/>
      <c r="G260" s="60"/>
      <c r="H260" s="68">
        <f>COUNTIFS(Minifigures!$C$22:$C$1137,D260)</f>
        <v>0</v>
      </c>
      <c r="I260" s="60"/>
      <c r="J260" s="79"/>
      <c r="K260" s="70"/>
      <c r="L260" s="71"/>
      <c r="M260" s="58"/>
      <c r="N260" s="72"/>
      <c r="O260" s="72"/>
      <c r="P260" s="63">
        <f t="shared" si="10"/>
        <v>1899</v>
      </c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65"/>
      <c r="C261" s="58"/>
      <c r="D261" s="65"/>
      <c r="E261" s="58"/>
      <c r="F261" s="67"/>
      <c r="G261" s="60"/>
      <c r="H261" s="68">
        <f>COUNTIFS(Minifigures!$C$22:$C$1137,D261)</f>
        <v>0</v>
      </c>
      <c r="I261" s="60"/>
      <c r="J261" s="79"/>
      <c r="K261" s="70"/>
      <c r="L261" s="71"/>
      <c r="M261" s="58"/>
      <c r="N261" s="72"/>
      <c r="O261" s="72"/>
      <c r="P261" s="63">
        <f t="shared" si="10"/>
        <v>1899</v>
      </c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65"/>
      <c r="C262" s="58"/>
      <c r="D262" s="65"/>
      <c r="E262" s="58"/>
      <c r="F262" s="67"/>
      <c r="G262" s="60"/>
      <c r="H262" s="68">
        <f>COUNTIFS(Minifigures!$C$22:$C$1137,D262)</f>
        <v>0</v>
      </c>
      <c r="I262" s="60"/>
      <c r="J262" s="79"/>
      <c r="K262" s="70"/>
      <c r="L262" s="71"/>
      <c r="M262" s="58"/>
      <c r="N262" s="72"/>
      <c r="O262" s="72"/>
      <c r="P262" s="63">
        <f t="shared" si="10"/>
        <v>1899</v>
      </c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65"/>
      <c r="C263" s="58"/>
      <c r="D263" s="65"/>
      <c r="E263" s="58"/>
      <c r="F263" s="67"/>
      <c r="G263" s="60"/>
      <c r="H263" s="68">
        <f>COUNTIFS(Minifigures!$C$22:$C$1137,D263)</f>
        <v>0</v>
      </c>
      <c r="I263" s="60"/>
      <c r="J263" s="79"/>
      <c r="K263" s="70"/>
      <c r="L263" s="71"/>
      <c r="M263" s="58"/>
      <c r="N263" s="72"/>
      <c r="O263" s="72"/>
      <c r="P263" s="63">
        <f t="shared" si="10"/>
        <v>1899</v>
      </c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65"/>
      <c r="C264" s="58"/>
      <c r="D264" s="65"/>
      <c r="E264" s="58"/>
      <c r="F264" s="67"/>
      <c r="G264" s="60"/>
      <c r="H264" s="68">
        <f>COUNTIFS(Minifigures!$C$22:$C$1137,D264)</f>
        <v>0</v>
      </c>
      <c r="I264" s="60"/>
      <c r="J264" s="79"/>
      <c r="K264" s="70"/>
      <c r="L264" s="71"/>
      <c r="M264" s="58"/>
      <c r="N264" s="72"/>
      <c r="O264" s="72"/>
      <c r="P264" s="63">
        <f t="shared" si="10"/>
        <v>1899</v>
      </c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65"/>
      <c r="C265" s="58"/>
      <c r="D265" s="65"/>
      <c r="E265" s="58"/>
      <c r="F265" s="67"/>
      <c r="G265" s="60"/>
      <c r="H265" s="68">
        <f>COUNTIFS(Minifigures!$C$22:$C$1137,D265)</f>
        <v>0</v>
      </c>
      <c r="I265" s="60"/>
      <c r="J265" s="79"/>
      <c r="K265" s="70"/>
      <c r="L265" s="71"/>
      <c r="M265" s="58"/>
      <c r="N265" s="72"/>
      <c r="O265" s="72"/>
      <c r="P265" s="63">
        <f t="shared" si="10"/>
        <v>1899</v>
      </c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65"/>
      <c r="C266" s="58"/>
      <c r="D266" s="65"/>
      <c r="E266" s="58"/>
      <c r="F266" s="67"/>
      <c r="G266" s="60"/>
      <c r="H266" s="68">
        <f>COUNTIFS(Minifigures!$C$22:$C$1137,D266)</f>
        <v>0</v>
      </c>
      <c r="I266" s="60"/>
      <c r="J266" s="79"/>
      <c r="K266" s="70"/>
      <c r="L266" s="71"/>
      <c r="M266" s="58"/>
      <c r="N266" s="72"/>
      <c r="O266" s="72"/>
      <c r="P266" s="63">
        <f t="shared" si="10"/>
        <v>1899</v>
      </c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65"/>
      <c r="C267" s="58"/>
      <c r="D267" s="65"/>
      <c r="E267" s="58"/>
      <c r="F267" s="67"/>
      <c r="G267" s="60"/>
      <c r="H267" s="68">
        <f>COUNTIFS(Minifigures!$C$22:$C$1137,D267)</f>
        <v>0</v>
      </c>
      <c r="I267" s="60"/>
      <c r="J267" s="79"/>
      <c r="K267" s="70"/>
      <c r="L267" s="71"/>
      <c r="M267" s="58"/>
      <c r="N267" s="72"/>
      <c r="O267" s="72"/>
      <c r="P267" s="63">
        <f t="shared" si="10"/>
        <v>1899</v>
      </c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65"/>
      <c r="C268" s="58"/>
      <c r="D268" s="65"/>
      <c r="E268" s="58"/>
      <c r="F268" s="67"/>
      <c r="G268" s="60"/>
      <c r="H268" s="68">
        <f>COUNTIFS(Minifigures!$C$22:$C$1137,D268)</f>
        <v>0</v>
      </c>
      <c r="I268" s="60"/>
      <c r="J268" s="79"/>
      <c r="K268" s="70"/>
      <c r="L268" s="71"/>
      <c r="M268" s="58"/>
      <c r="N268" s="72"/>
      <c r="O268" s="72"/>
      <c r="P268" s="63">
        <f t="shared" si="10"/>
        <v>1899</v>
      </c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65"/>
      <c r="C269" s="58"/>
      <c r="D269" s="65"/>
      <c r="E269" s="58"/>
      <c r="F269" s="67"/>
      <c r="G269" s="60"/>
      <c r="H269" s="68">
        <f>COUNTIFS(Minifigures!$C$22:$C$1137,D269)</f>
        <v>0</v>
      </c>
      <c r="I269" s="60"/>
      <c r="J269" s="79"/>
      <c r="K269" s="70"/>
      <c r="L269" s="71"/>
      <c r="M269" s="58"/>
      <c r="N269" s="72"/>
      <c r="O269" s="72"/>
      <c r="P269" s="63">
        <f t="shared" si="10"/>
        <v>1899</v>
      </c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65"/>
      <c r="C270" s="58"/>
      <c r="D270" s="65"/>
      <c r="E270" s="58"/>
      <c r="F270" s="67"/>
      <c r="G270" s="60"/>
      <c r="H270" s="68">
        <f>COUNTIFS(Minifigures!$C$22:$C$1137,D270)</f>
        <v>0</v>
      </c>
      <c r="I270" s="60"/>
      <c r="J270" s="79"/>
      <c r="K270" s="70"/>
      <c r="L270" s="71"/>
      <c r="M270" s="58"/>
      <c r="N270" s="72"/>
      <c r="O270" s="72"/>
      <c r="P270" s="63">
        <f t="shared" si="10"/>
        <v>1899</v>
      </c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65"/>
      <c r="C271" s="58"/>
      <c r="D271" s="65"/>
      <c r="E271" s="58"/>
      <c r="F271" s="67"/>
      <c r="G271" s="60"/>
      <c r="H271" s="68">
        <f>COUNTIFS(Minifigures!$C$22:$C$1137,D271)</f>
        <v>0</v>
      </c>
      <c r="I271" s="60"/>
      <c r="J271" s="79"/>
      <c r="K271" s="70"/>
      <c r="L271" s="71"/>
      <c r="M271" s="58"/>
      <c r="N271" s="72"/>
      <c r="O271" s="72"/>
      <c r="P271" s="63">
        <f t="shared" si="10"/>
        <v>1899</v>
      </c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65"/>
      <c r="C272" s="58"/>
      <c r="D272" s="65"/>
      <c r="E272" s="58"/>
      <c r="F272" s="67"/>
      <c r="G272" s="60"/>
      <c r="H272" s="68">
        <f>COUNTIFS(Minifigures!$C$22:$C$1137,D272)</f>
        <v>0</v>
      </c>
      <c r="I272" s="60"/>
      <c r="J272" s="79"/>
      <c r="K272" s="70"/>
      <c r="L272" s="71"/>
      <c r="M272" s="58"/>
      <c r="N272" s="72"/>
      <c r="O272" s="72"/>
      <c r="P272" s="63">
        <f t="shared" si="10"/>
        <v>1899</v>
      </c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65"/>
      <c r="C273" s="58"/>
      <c r="D273" s="65"/>
      <c r="E273" s="58"/>
      <c r="F273" s="67"/>
      <c r="G273" s="60"/>
      <c r="H273" s="68">
        <f>COUNTIFS(Minifigures!$C$22:$C$1137,D273)</f>
        <v>0</v>
      </c>
      <c r="I273" s="60"/>
      <c r="J273" s="79"/>
      <c r="K273" s="70"/>
      <c r="L273" s="71"/>
      <c r="M273" s="58"/>
      <c r="N273" s="72"/>
      <c r="O273" s="72"/>
      <c r="P273" s="63">
        <f t="shared" si="10"/>
        <v>1899</v>
      </c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65"/>
      <c r="C274" s="58"/>
      <c r="D274" s="65"/>
      <c r="E274" s="58"/>
      <c r="F274" s="67"/>
      <c r="G274" s="60"/>
      <c r="H274" s="68">
        <f>COUNTIFS(Minifigures!$C$22:$C$1137,D274)</f>
        <v>0</v>
      </c>
      <c r="I274" s="60"/>
      <c r="J274" s="79"/>
      <c r="K274" s="70"/>
      <c r="L274" s="71"/>
      <c r="M274" s="58"/>
      <c r="N274" s="72"/>
      <c r="O274" s="72"/>
      <c r="P274" s="63">
        <f t="shared" si="10"/>
        <v>1899</v>
      </c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65"/>
      <c r="C275" s="58"/>
      <c r="D275" s="65"/>
      <c r="E275" s="58"/>
      <c r="F275" s="67"/>
      <c r="G275" s="60"/>
      <c r="H275" s="68">
        <f>COUNTIFS(Minifigures!$C$22:$C$1137,D275)</f>
        <v>0</v>
      </c>
      <c r="I275" s="60"/>
      <c r="J275" s="79"/>
      <c r="K275" s="70"/>
      <c r="L275" s="71"/>
      <c r="M275" s="58"/>
      <c r="N275" s="72"/>
      <c r="O275" s="72"/>
      <c r="P275" s="63">
        <f t="shared" si="10"/>
        <v>1899</v>
      </c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65"/>
      <c r="C276" s="58"/>
      <c r="D276" s="65"/>
      <c r="E276" s="58"/>
      <c r="F276" s="67"/>
      <c r="G276" s="60"/>
      <c r="H276" s="68">
        <f>COUNTIFS(Minifigures!$C$22:$C$1137,D276)</f>
        <v>0</v>
      </c>
      <c r="I276" s="60"/>
      <c r="J276" s="79"/>
      <c r="K276" s="70"/>
      <c r="L276" s="71"/>
      <c r="M276" s="58"/>
      <c r="N276" s="72"/>
      <c r="O276" s="72"/>
      <c r="P276" s="63">
        <f t="shared" si="10"/>
        <v>1899</v>
      </c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65"/>
      <c r="C277" s="58"/>
      <c r="D277" s="65"/>
      <c r="E277" s="58"/>
      <c r="F277" s="67"/>
      <c r="G277" s="60"/>
      <c r="H277" s="68">
        <f>COUNTIFS(Minifigures!$C$22:$C$1137,D277)</f>
        <v>0</v>
      </c>
      <c r="I277" s="60"/>
      <c r="J277" s="79"/>
      <c r="K277" s="70"/>
      <c r="L277" s="71"/>
      <c r="M277" s="58"/>
      <c r="N277" s="72"/>
      <c r="O277" s="72"/>
      <c r="P277" s="63">
        <f t="shared" si="10"/>
        <v>1899</v>
      </c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65"/>
      <c r="C278" s="58"/>
      <c r="D278" s="65"/>
      <c r="E278" s="58"/>
      <c r="F278" s="67"/>
      <c r="G278" s="60"/>
      <c r="H278" s="68">
        <f>COUNTIFS(Minifigures!$C$22:$C$1137,D278)</f>
        <v>0</v>
      </c>
      <c r="I278" s="60"/>
      <c r="J278" s="79"/>
      <c r="K278" s="70"/>
      <c r="L278" s="71"/>
      <c r="M278" s="58"/>
      <c r="N278" s="72"/>
      <c r="O278" s="72"/>
      <c r="P278" s="63">
        <f t="shared" si="10"/>
        <v>1899</v>
      </c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65"/>
      <c r="C279" s="58"/>
      <c r="D279" s="65"/>
      <c r="E279" s="58"/>
      <c r="F279" s="67"/>
      <c r="G279" s="60"/>
      <c r="H279" s="68">
        <f>COUNTIFS(Minifigures!$C$22:$C$1137,D279)</f>
        <v>0</v>
      </c>
      <c r="I279" s="60"/>
      <c r="J279" s="79"/>
      <c r="K279" s="70"/>
      <c r="L279" s="71"/>
      <c r="M279" s="58"/>
      <c r="N279" s="72"/>
      <c r="O279" s="72"/>
      <c r="P279" s="63">
        <f t="shared" si="10"/>
        <v>1899</v>
      </c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65"/>
      <c r="C280" s="58"/>
      <c r="D280" s="65"/>
      <c r="E280" s="58"/>
      <c r="F280" s="67"/>
      <c r="G280" s="60"/>
      <c r="H280" s="68">
        <f>COUNTIFS(Minifigures!$C$22:$C$1137,D280)</f>
        <v>0</v>
      </c>
      <c r="I280" s="60"/>
      <c r="J280" s="79"/>
      <c r="K280" s="70"/>
      <c r="L280" s="71"/>
      <c r="M280" s="58"/>
      <c r="N280" s="72"/>
      <c r="O280" s="72"/>
      <c r="P280" s="63">
        <f t="shared" si="10"/>
        <v>1899</v>
      </c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65"/>
      <c r="C281" s="58"/>
      <c r="D281" s="65"/>
      <c r="E281" s="58"/>
      <c r="F281" s="67"/>
      <c r="G281" s="60"/>
      <c r="H281" s="68">
        <f>COUNTIFS(Minifigures!$C$22:$C$1137,D281)</f>
        <v>0</v>
      </c>
      <c r="I281" s="60"/>
      <c r="J281" s="79"/>
      <c r="K281" s="70"/>
      <c r="L281" s="71"/>
      <c r="M281" s="58"/>
      <c r="N281" s="72"/>
      <c r="O281" s="72"/>
      <c r="P281" s="63">
        <f t="shared" si="10"/>
        <v>1899</v>
      </c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65"/>
      <c r="C282" s="58"/>
      <c r="D282" s="65"/>
      <c r="E282" s="58"/>
      <c r="F282" s="67"/>
      <c r="G282" s="60"/>
      <c r="H282" s="68">
        <f>COUNTIFS(Minifigures!$C$22:$C$1137,D282)</f>
        <v>0</v>
      </c>
      <c r="I282" s="60"/>
      <c r="J282" s="79"/>
      <c r="K282" s="70"/>
      <c r="L282" s="71"/>
      <c r="M282" s="58"/>
      <c r="N282" s="72"/>
      <c r="O282" s="72"/>
      <c r="P282" s="63">
        <f t="shared" si="10"/>
        <v>1899</v>
      </c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65"/>
      <c r="C283" s="58"/>
      <c r="D283" s="65"/>
      <c r="E283" s="58"/>
      <c r="F283" s="67"/>
      <c r="G283" s="60"/>
      <c r="H283" s="68">
        <f>COUNTIFS(Minifigures!$C$22:$C$1137,D283)</f>
        <v>0</v>
      </c>
      <c r="I283" s="60"/>
      <c r="J283" s="79"/>
      <c r="K283" s="70"/>
      <c r="L283" s="71"/>
      <c r="M283" s="58"/>
      <c r="N283" s="72"/>
      <c r="O283" s="72"/>
      <c r="P283" s="63">
        <f t="shared" si="10"/>
        <v>1899</v>
      </c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65"/>
      <c r="C284" s="58"/>
      <c r="D284" s="65"/>
      <c r="E284" s="58"/>
      <c r="F284" s="67"/>
      <c r="G284" s="60"/>
      <c r="H284" s="68">
        <f>COUNTIFS(Minifigures!$C$22:$C$1137,D284)</f>
        <v>0</v>
      </c>
      <c r="I284" s="60"/>
      <c r="J284" s="79"/>
      <c r="K284" s="70"/>
      <c r="L284" s="71"/>
      <c r="M284" s="58"/>
      <c r="N284" s="72"/>
      <c r="O284" s="72"/>
      <c r="P284" s="63">
        <f t="shared" si="10"/>
        <v>1899</v>
      </c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65"/>
      <c r="C285" s="58"/>
      <c r="D285" s="65"/>
      <c r="E285" s="58"/>
      <c r="F285" s="67"/>
      <c r="G285" s="60"/>
      <c r="H285" s="68">
        <f>COUNTIFS(Minifigures!$C$22:$C$1137,D285)</f>
        <v>0</v>
      </c>
      <c r="I285" s="60"/>
      <c r="J285" s="79"/>
      <c r="K285" s="70"/>
      <c r="L285" s="71"/>
      <c r="M285" s="58"/>
      <c r="N285" s="72"/>
      <c r="O285" s="72"/>
      <c r="P285" s="63">
        <f t="shared" si="10"/>
        <v>1899</v>
      </c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65"/>
      <c r="C286" s="58"/>
      <c r="D286" s="65"/>
      <c r="E286" s="58"/>
      <c r="F286" s="67"/>
      <c r="G286" s="60"/>
      <c r="H286" s="68">
        <f>COUNTIFS(Minifigures!$C$22:$C$1137,D286)</f>
        <v>0</v>
      </c>
      <c r="I286" s="60"/>
      <c r="J286" s="79"/>
      <c r="K286" s="70"/>
      <c r="L286" s="71"/>
      <c r="M286" s="58"/>
      <c r="N286" s="72"/>
      <c r="O286" s="72"/>
      <c r="P286" s="63">
        <f t="shared" si="10"/>
        <v>1899</v>
      </c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65"/>
      <c r="C287" s="58"/>
      <c r="D287" s="65"/>
      <c r="E287" s="58"/>
      <c r="F287" s="67"/>
      <c r="G287" s="60"/>
      <c r="H287" s="68">
        <f>COUNTIFS(Minifigures!$C$22:$C$1137,D287)</f>
        <v>0</v>
      </c>
      <c r="I287" s="60"/>
      <c r="J287" s="79"/>
      <c r="K287" s="70"/>
      <c r="L287" s="71"/>
      <c r="M287" s="58"/>
      <c r="N287" s="72"/>
      <c r="O287" s="72"/>
      <c r="P287" s="63">
        <f t="shared" si="10"/>
        <v>1899</v>
      </c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65"/>
      <c r="C288" s="58"/>
      <c r="D288" s="65"/>
      <c r="E288" s="58"/>
      <c r="F288" s="67"/>
      <c r="G288" s="60"/>
      <c r="H288" s="68">
        <f>COUNTIFS(Minifigures!$C$22:$C$1137,D288)</f>
        <v>0</v>
      </c>
      <c r="I288" s="60"/>
      <c r="J288" s="79"/>
      <c r="K288" s="70"/>
      <c r="L288" s="71"/>
      <c r="M288" s="58"/>
      <c r="N288" s="72"/>
      <c r="O288" s="72"/>
      <c r="P288" s="63">
        <f t="shared" si="10"/>
        <v>1899</v>
      </c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65"/>
      <c r="C289" s="58"/>
      <c r="D289" s="65"/>
      <c r="E289" s="58"/>
      <c r="F289" s="67"/>
      <c r="G289" s="60"/>
      <c r="H289" s="68">
        <f>COUNTIFS(Minifigures!$C$22:$C$1137,D289)</f>
        <v>0</v>
      </c>
      <c r="I289" s="60"/>
      <c r="J289" s="79"/>
      <c r="K289" s="70"/>
      <c r="L289" s="71"/>
      <c r="M289" s="58"/>
      <c r="N289" s="72"/>
      <c r="O289" s="72"/>
      <c r="P289" s="63">
        <f t="shared" si="10"/>
        <v>1899</v>
      </c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65"/>
      <c r="C290" s="58"/>
      <c r="D290" s="65"/>
      <c r="E290" s="58"/>
      <c r="F290" s="67"/>
      <c r="G290" s="60"/>
      <c r="H290" s="68">
        <f>COUNTIFS(Minifigures!$C$22:$C$1137,D290)</f>
        <v>0</v>
      </c>
      <c r="I290" s="60"/>
      <c r="J290" s="79"/>
      <c r="K290" s="70"/>
      <c r="L290" s="71"/>
      <c r="M290" s="58"/>
      <c r="N290" s="72"/>
      <c r="O290" s="72"/>
      <c r="P290" s="63">
        <f t="shared" si="10"/>
        <v>1899</v>
      </c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65"/>
      <c r="C291" s="58"/>
      <c r="D291" s="65"/>
      <c r="E291" s="58"/>
      <c r="F291" s="67"/>
      <c r="G291" s="60"/>
      <c r="H291" s="68">
        <f>COUNTIFS(Minifigures!$C$22:$C$1137,D291)</f>
        <v>0</v>
      </c>
      <c r="I291" s="60"/>
      <c r="J291" s="79"/>
      <c r="K291" s="70"/>
      <c r="L291" s="71"/>
      <c r="M291" s="58"/>
      <c r="N291" s="72"/>
      <c r="O291" s="72"/>
      <c r="P291" s="63">
        <f t="shared" si="10"/>
        <v>1899</v>
      </c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65"/>
      <c r="C292" s="58"/>
      <c r="D292" s="65"/>
      <c r="E292" s="58"/>
      <c r="F292" s="67"/>
      <c r="G292" s="60"/>
      <c r="H292" s="68">
        <f>COUNTIFS(Minifigures!$C$22:$C$1137,D292)</f>
        <v>0</v>
      </c>
      <c r="I292" s="60"/>
      <c r="J292" s="79"/>
      <c r="K292" s="70"/>
      <c r="L292" s="71"/>
      <c r="M292" s="58"/>
      <c r="N292" s="72"/>
      <c r="O292" s="72"/>
      <c r="P292" s="63">
        <f t="shared" si="10"/>
        <v>1899</v>
      </c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65"/>
      <c r="C293" s="58"/>
      <c r="D293" s="65"/>
      <c r="E293" s="58"/>
      <c r="F293" s="67"/>
      <c r="G293" s="60"/>
      <c r="H293" s="68">
        <f>COUNTIFS(Minifigures!$C$22:$C$1137,D293)</f>
        <v>0</v>
      </c>
      <c r="I293" s="60"/>
      <c r="J293" s="79"/>
      <c r="K293" s="70"/>
      <c r="L293" s="71"/>
      <c r="M293" s="58"/>
      <c r="N293" s="72"/>
      <c r="O293" s="72"/>
      <c r="P293" s="63">
        <f t="shared" si="10"/>
        <v>1899</v>
      </c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65"/>
      <c r="C294" s="58"/>
      <c r="D294" s="65"/>
      <c r="E294" s="58"/>
      <c r="F294" s="67"/>
      <c r="G294" s="60"/>
      <c r="H294" s="68">
        <f>COUNTIFS(Minifigures!$C$22:$C$1137,D294)</f>
        <v>0</v>
      </c>
      <c r="I294" s="60"/>
      <c r="J294" s="79"/>
      <c r="K294" s="70"/>
      <c r="L294" s="71"/>
      <c r="M294" s="58"/>
      <c r="N294" s="72"/>
      <c r="O294" s="72"/>
      <c r="P294" s="63">
        <f t="shared" si="10"/>
        <v>1899</v>
      </c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65"/>
      <c r="C295" s="58"/>
      <c r="D295" s="65"/>
      <c r="E295" s="58"/>
      <c r="F295" s="67"/>
      <c r="G295" s="60"/>
      <c r="H295" s="68">
        <f>COUNTIFS(Minifigures!$C$22:$C$1137,D295)</f>
        <v>0</v>
      </c>
      <c r="I295" s="60"/>
      <c r="J295" s="79"/>
      <c r="K295" s="70"/>
      <c r="L295" s="71"/>
      <c r="M295" s="58"/>
      <c r="N295" s="72"/>
      <c r="O295" s="72"/>
      <c r="P295" s="63">
        <f t="shared" si="10"/>
        <v>1899</v>
      </c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65"/>
      <c r="C296" s="58"/>
      <c r="D296" s="65"/>
      <c r="E296" s="58"/>
      <c r="F296" s="67"/>
      <c r="G296" s="60"/>
      <c r="H296" s="68">
        <f>COUNTIFS(Minifigures!$C$22:$C$1137,D296)</f>
        <v>0</v>
      </c>
      <c r="I296" s="60"/>
      <c r="J296" s="79"/>
      <c r="K296" s="70"/>
      <c r="L296" s="71"/>
      <c r="M296" s="58"/>
      <c r="N296" s="72"/>
      <c r="O296" s="72"/>
      <c r="P296" s="63">
        <f t="shared" si="10"/>
        <v>1899</v>
      </c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65"/>
      <c r="C297" s="58"/>
      <c r="D297" s="65"/>
      <c r="E297" s="58"/>
      <c r="F297" s="67"/>
      <c r="G297" s="60"/>
      <c r="H297" s="68">
        <f>COUNTIFS(Minifigures!$C$22:$C$1137,D297)</f>
        <v>0</v>
      </c>
      <c r="I297" s="60"/>
      <c r="J297" s="79"/>
      <c r="K297" s="70"/>
      <c r="L297" s="71"/>
      <c r="M297" s="58"/>
      <c r="N297" s="72"/>
      <c r="O297" s="72"/>
      <c r="P297" s="63">
        <f t="shared" si="10"/>
        <v>1899</v>
      </c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65"/>
      <c r="C298" s="58"/>
      <c r="D298" s="65"/>
      <c r="E298" s="58"/>
      <c r="F298" s="67"/>
      <c r="G298" s="60"/>
      <c r="H298" s="68">
        <f>COUNTIFS(Minifigures!$C$22:$C$1137,D298)</f>
        <v>0</v>
      </c>
      <c r="I298" s="60"/>
      <c r="J298" s="79"/>
      <c r="K298" s="70"/>
      <c r="L298" s="71"/>
      <c r="M298" s="58"/>
      <c r="N298" s="72"/>
      <c r="O298" s="72"/>
      <c r="P298" s="63">
        <f t="shared" si="10"/>
        <v>1899</v>
      </c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65"/>
      <c r="C299" s="58"/>
      <c r="D299" s="65"/>
      <c r="E299" s="58"/>
      <c r="F299" s="67"/>
      <c r="G299" s="60"/>
      <c r="H299" s="68">
        <f>COUNTIFS(Minifigures!$C$22:$C$1137,D299)</f>
        <v>0</v>
      </c>
      <c r="I299" s="60"/>
      <c r="J299" s="79"/>
      <c r="K299" s="70"/>
      <c r="L299" s="71"/>
      <c r="M299" s="58"/>
      <c r="N299" s="72"/>
      <c r="O299" s="72"/>
      <c r="P299" s="63">
        <f t="shared" si="10"/>
        <v>1899</v>
      </c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65"/>
      <c r="C300" s="58"/>
      <c r="D300" s="65"/>
      <c r="E300" s="58"/>
      <c r="F300" s="67"/>
      <c r="G300" s="60"/>
      <c r="H300" s="68">
        <f>COUNTIFS(Minifigures!$C$22:$C$1137,D300)</f>
        <v>0</v>
      </c>
      <c r="I300" s="60"/>
      <c r="J300" s="79"/>
      <c r="K300" s="70"/>
      <c r="L300" s="71"/>
      <c r="M300" s="58"/>
      <c r="N300" s="72"/>
      <c r="O300" s="72"/>
      <c r="P300" s="63">
        <f t="shared" si="10"/>
        <v>1899</v>
      </c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65"/>
      <c r="C301" s="58"/>
      <c r="D301" s="65"/>
      <c r="E301" s="58"/>
      <c r="F301" s="67"/>
      <c r="G301" s="60"/>
      <c r="H301" s="68">
        <f>COUNTIFS(Minifigures!$C$22:$C$1137,D301)</f>
        <v>0</v>
      </c>
      <c r="I301" s="60"/>
      <c r="J301" s="79"/>
      <c r="K301" s="70"/>
      <c r="L301" s="71"/>
      <c r="M301" s="58"/>
      <c r="N301" s="72"/>
      <c r="O301" s="72"/>
      <c r="P301" s="63">
        <f t="shared" si="10"/>
        <v>1899</v>
      </c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65"/>
      <c r="C302" s="58"/>
      <c r="D302" s="65"/>
      <c r="E302" s="58"/>
      <c r="F302" s="67"/>
      <c r="G302" s="60"/>
      <c r="H302" s="68">
        <f>COUNTIFS(Minifigures!$C$22:$C$1137,D302)</f>
        <v>0</v>
      </c>
      <c r="I302" s="60"/>
      <c r="J302" s="79"/>
      <c r="K302" s="70"/>
      <c r="L302" s="71"/>
      <c r="M302" s="58"/>
      <c r="N302" s="72"/>
      <c r="O302" s="72"/>
      <c r="P302" s="63">
        <f t="shared" si="10"/>
        <v>1899</v>
      </c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65"/>
      <c r="C303" s="58"/>
      <c r="D303" s="65"/>
      <c r="E303" s="58"/>
      <c r="F303" s="67"/>
      <c r="G303" s="60"/>
      <c r="H303" s="68">
        <f>COUNTIFS(Minifigures!$C$22:$C$1137,D303)</f>
        <v>0</v>
      </c>
      <c r="I303" s="60"/>
      <c r="J303" s="79"/>
      <c r="K303" s="70"/>
      <c r="L303" s="71"/>
      <c r="M303" s="58"/>
      <c r="N303" s="72"/>
      <c r="O303" s="72"/>
      <c r="P303" s="63">
        <f t="shared" si="10"/>
        <v>1899</v>
      </c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65"/>
      <c r="C304" s="58"/>
      <c r="D304" s="65"/>
      <c r="E304" s="58"/>
      <c r="F304" s="67"/>
      <c r="G304" s="60"/>
      <c r="H304" s="68">
        <f>COUNTIFS(Minifigures!$C$22:$C$1137,D304)</f>
        <v>0</v>
      </c>
      <c r="I304" s="60"/>
      <c r="J304" s="79"/>
      <c r="K304" s="70"/>
      <c r="L304" s="71"/>
      <c r="M304" s="58"/>
      <c r="N304" s="72"/>
      <c r="O304" s="72"/>
      <c r="P304" s="63">
        <f t="shared" si="10"/>
        <v>1899</v>
      </c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65"/>
      <c r="C305" s="58"/>
      <c r="D305" s="65"/>
      <c r="E305" s="58"/>
      <c r="F305" s="67"/>
      <c r="G305" s="60"/>
      <c r="H305" s="68">
        <f>COUNTIFS(Minifigures!$C$22:$C$1137,D305)</f>
        <v>0</v>
      </c>
      <c r="I305" s="60"/>
      <c r="J305" s="79"/>
      <c r="K305" s="70"/>
      <c r="L305" s="71"/>
      <c r="M305" s="58"/>
      <c r="N305" s="72"/>
      <c r="O305" s="72"/>
      <c r="P305" s="63">
        <f t="shared" si="10"/>
        <v>1899</v>
      </c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65"/>
      <c r="C306" s="58"/>
      <c r="D306" s="65"/>
      <c r="E306" s="58"/>
      <c r="F306" s="67"/>
      <c r="G306" s="60"/>
      <c r="H306" s="68">
        <f>COUNTIFS(Minifigures!$C$22:$C$1137,D306)</f>
        <v>0</v>
      </c>
      <c r="I306" s="60"/>
      <c r="J306" s="79"/>
      <c r="K306" s="70"/>
      <c r="L306" s="71"/>
      <c r="M306" s="58"/>
      <c r="N306" s="72"/>
      <c r="O306" s="72"/>
      <c r="P306" s="63">
        <f t="shared" si="10"/>
        <v>1899</v>
      </c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65"/>
      <c r="C307" s="58"/>
      <c r="D307" s="65"/>
      <c r="E307" s="58"/>
      <c r="F307" s="67"/>
      <c r="G307" s="60"/>
      <c r="H307" s="68">
        <f>COUNTIFS(Minifigures!$C$22:$C$1137,D307)</f>
        <v>0</v>
      </c>
      <c r="I307" s="60"/>
      <c r="J307" s="79"/>
      <c r="K307" s="70"/>
      <c r="L307" s="71"/>
      <c r="M307" s="58"/>
      <c r="N307" s="72"/>
      <c r="O307" s="72"/>
      <c r="P307" s="63">
        <f t="shared" si="10"/>
        <v>1899</v>
      </c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65"/>
      <c r="C308" s="58"/>
      <c r="D308" s="65"/>
      <c r="E308" s="58"/>
      <c r="F308" s="67"/>
      <c r="G308" s="60"/>
      <c r="H308" s="68">
        <f>COUNTIFS(Minifigures!$C$22:$C$1137,D308)</f>
        <v>0</v>
      </c>
      <c r="I308" s="60"/>
      <c r="J308" s="79"/>
      <c r="K308" s="70"/>
      <c r="L308" s="71"/>
      <c r="M308" s="58"/>
      <c r="N308" s="72"/>
      <c r="O308" s="72"/>
      <c r="P308" s="63">
        <f t="shared" si="10"/>
        <v>1899</v>
      </c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65"/>
      <c r="C309" s="58"/>
      <c r="D309" s="65"/>
      <c r="E309" s="58"/>
      <c r="F309" s="67"/>
      <c r="G309" s="60"/>
      <c r="H309" s="68">
        <f>COUNTIFS(Minifigures!$C$22:$C$1137,D309)</f>
        <v>0</v>
      </c>
      <c r="I309" s="60"/>
      <c r="J309" s="79"/>
      <c r="K309" s="70"/>
      <c r="L309" s="71"/>
      <c r="M309" s="58"/>
      <c r="N309" s="72"/>
      <c r="O309" s="72"/>
      <c r="P309" s="63">
        <f t="shared" si="10"/>
        <v>1899</v>
      </c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65"/>
      <c r="C310" s="58"/>
      <c r="D310" s="65"/>
      <c r="E310" s="58"/>
      <c r="F310" s="67"/>
      <c r="G310" s="60"/>
      <c r="H310" s="68">
        <f>COUNTIFS(Minifigures!$C$22:$C$1137,D310)</f>
        <v>0</v>
      </c>
      <c r="I310" s="60"/>
      <c r="J310" s="79"/>
      <c r="K310" s="70"/>
      <c r="L310" s="71"/>
      <c r="M310" s="58"/>
      <c r="N310" s="72"/>
      <c r="O310" s="72"/>
      <c r="P310" s="63">
        <f t="shared" si="10"/>
        <v>1899</v>
      </c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65"/>
      <c r="C311" s="58"/>
      <c r="D311" s="65"/>
      <c r="E311" s="58"/>
      <c r="F311" s="67"/>
      <c r="G311" s="60"/>
      <c r="H311" s="68">
        <f>COUNTIFS(Minifigures!$C$22:$C$1137,D311)</f>
        <v>0</v>
      </c>
      <c r="I311" s="60"/>
      <c r="J311" s="79"/>
      <c r="K311" s="70"/>
      <c r="L311" s="71"/>
      <c r="M311" s="58"/>
      <c r="N311" s="72"/>
      <c r="O311" s="72"/>
      <c r="P311" s="63">
        <f t="shared" si="10"/>
        <v>1899</v>
      </c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65"/>
      <c r="C312" s="58"/>
      <c r="D312" s="65"/>
      <c r="E312" s="58"/>
      <c r="F312" s="67"/>
      <c r="G312" s="60"/>
      <c r="H312" s="68">
        <f>COUNTIFS(Minifigures!$C$22:$C$1137,D312)</f>
        <v>0</v>
      </c>
      <c r="I312" s="60"/>
      <c r="J312" s="79"/>
      <c r="K312" s="70"/>
      <c r="L312" s="71"/>
      <c r="M312" s="58"/>
      <c r="N312" s="72"/>
      <c r="O312" s="72"/>
      <c r="P312" s="63">
        <f t="shared" si="10"/>
        <v>1899</v>
      </c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65"/>
      <c r="C313" s="58"/>
      <c r="D313" s="65"/>
      <c r="E313" s="58"/>
      <c r="F313" s="67"/>
      <c r="G313" s="60"/>
      <c r="H313" s="68">
        <f>COUNTIFS(Minifigures!$C$22:$C$1137,D313)</f>
        <v>0</v>
      </c>
      <c r="I313" s="60"/>
      <c r="J313" s="79"/>
      <c r="K313" s="70"/>
      <c r="L313" s="71"/>
      <c r="M313" s="58"/>
      <c r="N313" s="72"/>
      <c r="O313" s="72"/>
      <c r="P313" s="63">
        <f t="shared" si="10"/>
        <v>1899</v>
      </c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65"/>
      <c r="C314" s="58"/>
      <c r="D314" s="65"/>
      <c r="E314" s="58"/>
      <c r="F314" s="67"/>
      <c r="G314" s="60"/>
      <c r="H314" s="68">
        <f>COUNTIFS(Minifigures!$C$22:$C$1137,D314)</f>
        <v>0</v>
      </c>
      <c r="I314" s="60"/>
      <c r="J314" s="79"/>
      <c r="K314" s="70"/>
      <c r="L314" s="71"/>
      <c r="M314" s="58"/>
      <c r="N314" s="72"/>
      <c r="O314" s="72"/>
      <c r="P314" s="63">
        <f t="shared" si="10"/>
        <v>1899</v>
      </c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65"/>
      <c r="C315" s="58"/>
      <c r="D315" s="65"/>
      <c r="E315" s="58"/>
      <c r="F315" s="67"/>
      <c r="G315" s="60"/>
      <c r="H315" s="68">
        <f>COUNTIFS(Minifigures!$C$22:$C$1137,D315)</f>
        <v>0</v>
      </c>
      <c r="I315" s="60"/>
      <c r="J315" s="79"/>
      <c r="K315" s="70"/>
      <c r="L315" s="71"/>
      <c r="M315" s="58"/>
      <c r="N315" s="72"/>
      <c r="O315" s="72"/>
      <c r="P315" s="63">
        <f t="shared" si="10"/>
        <v>1899</v>
      </c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65"/>
      <c r="C316" s="58"/>
      <c r="D316" s="65"/>
      <c r="E316" s="58"/>
      <c r="F316" s="67"/>
      <c r="G316" s="60"/>
      <c r="H316" s="68">
        <f>COUNTIFS(Minifigures!$C$22:$C$1137,D316)</f>
        <v>0</v>
      </c>
      <c r="I316" s="60"/>
      <c r="J316" s="79"/>
      <c r="K316" s="70"/>
      <c r="L316" s="71"/>
      <c r="M316" s="58"/>
      <c r="N316" s="72"/>
      <c r="O316" s="72"/>
      <c r="P316" s="63">
        <f t="shared" si="10"/>
        <v>1899</v>
      </c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65"/>
      <c r="C317" s="58"/>
      <c r="D317" s="65"/>
      <c r="E317" s="58"/>
      <c r="F317" s="67"/>
      <c r="G317" s="60"/>
      <c r="H317" s="68">
        <f>COUNTIFS(Minifigures!$C$22:$C$1137,D317)</f>
        <v>0</v>
      </c>
      <c r="I317" s="60"/>
      <c r="J317" s="79"/>
      <c r="K317" s="70"/>
      <c r="L317" s="71"/>
      <c r="M317" s="58"/>
      <c r="N317" s="72"/>
      <c r="O317" s="72"/>
      <c r="P317" s="63">
        <f t="shared" si="10"/>
        <v>1899</v>
      </c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65"/>
      <c r="C318" s="58"/>
      <c r="D318" s="65"/>
      <c r="E318" s="58"/>
      <c r="F318" s="67"/>
      <c r="G318" s="60"/>
      <c r="H318" s="68">
        <f>COUNTIFS(Minifigures!$C$22:$C$1137,D318)</f>
        <v>0</v>
      </c>
      <c r="I318" s="60"/>
      <c r="J318" s="79"/>
      <c r="K318" s="70"/>
      <c r="L318" s="71"/>
      <c r="M318" s="58"/>
      <c r="N318" s="72"/>
      <c r="O318" s="72"/>
      <c r="P318" s="63">
        <f t="shared" si="10"/>
        <v>1899</v>
      </c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65"/>
      <c r="C319" s="58"/>
      <c r="D319" s="65"/>
      <c r="E319" s="58"/>
      <c r="F319" s="67"/>
      <c r="G319" s="60"/>
      <c r="H319" s="68">
        <f>COUNTIFS(Minifigures!$C$22:$C$1137,D319)</f>
        <v>0</v>
      </c>
      <c r="I319" s="60"/>
      <c r="J319" s="79"/>
      <c r="K319" s="70"/>
      <c r="L319" s="71"/>
      <c r="M319" s="58"/>
      <c r="N319" s="72"/>
      <c r="O319" s="72"/>
      <c r="P319" s="63">
        <f t="shared" si="10"/>
        <v>1899</v>
      </c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65"/>
      <c r="C320" s="58"/>
      <c r="D320" s="65"/>
      <c r="E320" s="58"/>
      <c r="F320" s="67"/>
      <c r="G320" s="60"/>
      <c r="H320" s="68">
        <f>COUNTIFS(Minifigures!$C$22:$C$1137,D320)</f>
        <v>0</v>
      </c>
      <c r="I320" s="60"/>
      <c r="J320" s="79"/>
      <c r="K320" s="70"/>
      <c r="L320" s="71"/>
      <c r="M320" s="58"/>
      <c r="N320" s="72"/>
      <c r="O320" s="72"/>
      <c r="P320" s="63">
        <f t="shared" si="10"/>
        <v>1899</v>
      </c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65"/>
      <c r="C321" s="58"/>
      <c r="D321" s="65"/>
      <c r="E321" s="58"/>
      <c r="F321" s="67"/>
      <c r="G321" s="60"/>
      <c r="H321" s="68">
        <f>COUNTIFS(Minifigures!$C$22:$C$1137,D321)</f>
        <v>0</v>
      </c>
      <c r="I321" s="60"/>
      <c r="J321" s="79"/>
      <c r="K321" s="70"/>
      <c r="L321" s="71"/>
      <c r="M321" s="58"/>
      <c r="N321" s="72"/>
      <c r="O321" s="72"/>
      <c r="P321" s="63">
        <f t="shared" si="10"/>
        <v>1899</v>
      </c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65"/>
      <c r="C322" s="58"/>
      <c r="D322" s="65"/>
      <c r="E322" s="58"/>
      <c r="F322" s="67"/>
      <c r="G322" s="60"/>
      <c r="H322" s="68">
        <f>COUNTIFS(Minifigures!$C$22:$C$1137,D322)</f>
        <v>0</v>
      </c>
      <c r="I322" s="60"/>
      <c r="J322" s="79"/>
      <c r="K322" s="70"/>
      <c r="L322" s="71"/>
      <c r="M322" s="58"/>
      <c r="N322" s="72"/>
      <c r="O322" s="72"/>
      <c r="P322" s="63">
        <f t="shared" si="10"/>
        <v>1899</v>
      </c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65"/>
      <c r="C323" s="58"/>
      <c r="D323" s="65"/>
      <c r="E323" s="58"/>
      <c r="F323" s="67"/>
      <c r="G323" s="60"/>
      <c r="H323" s="68">
        <f>COUNTIFS(Minifigures!$C$22:$C$1137,D323)</f>
        <v>0</v>
      </c>
      <c r="I323" s="60"/>
      <c r="J323" s="79"/>
      <c r="K323" s="70"/>
      <c r="L323" s="71"/>
      <c r="M323" s="58"/>
      <c r="N323" s="72"/>
      <c r="O323" s="72"/>
      <c r="P323" s="63">
        <f t="shared" si="10"/>
        <v>1899</v>
      </c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65"/>
      <c r="C324" s="58"/>
      <c r="D324" s="65"/>
      <c r="E324" s="58"/>
      <c r="F324" s="67"/>
      <c r="G324" s="60"/>
      <c r="H324" s="68">
        <f>COUNTIFS(Minifigures!$C$22:$C$1137,D324)</f>
        <v>0</v>
      </c>
      <c r="I324" s="60"/>
      <c r="J324" s="79"/>
      <c r="K324" s="70"/>
      <c r="L324" s="71"/>
      <c r="M324" s="58"/>
      <c r="N324" s="72"/>
      <c r="O324" s="72"/>
      <c r="P324" s="63">
        <f t="shared" si="10"/>
        <v>1899</v>
      </c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65"/>
      <c r="C325" s="58"/>
      <c r="D325" s="65"/>
      <c r="E325" s="58"/>
      <c r="F325" s="67"/>
      <c r="G325" s="60"/>
      <c r="H325" s="68">
        <f>COUNTIFS(Minifigures!$C$22:$C$1137,D325)</f>
        <v>0</v>
      </c>
      <c r="I325" s="60"/>
      <c r="J325" s="79"/>
      <c r="K325" s="70"/>
      <c r="L325" s="71"/>
      <c r="M325" s="58"/>
      <c r="N325" s="72"/>
      <c r="O325" s="72"/>
      <c r="P325" s="63">
        <f t="shared" si="10"/>
        <v>1899</v>
      </c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65"/>
      <c r="C326" s="58"/>
      <c r="D326" s="65"/>
      <c r="E326" s="58"/>
      <c r="F326" s="67"/>
      <c r="G326" s="60"/>
      <c r="H326" s="68">
        <f>COUNTIFS(Minifigures!$C$22:$C$1137,D326)</f>
        <v>0</v>
      </c>
      <c r="I326" s="60"/>
      <c r="J326" s="79"/>
      <c r="K326" s="70"/>
      <c r="L326" s="71"/>
      <c r="M326" s="58"/>
      <c r="N326" s="72"/>
      <c r="O326" s="72"/>
      <c r="P326" s="63">
        <f t="shared" si="10"/>
        <v>1899</v>
      </c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65"/>
      <c r="C327" s="58"/>
      <c r="D327" s="65"/>
      <c r="E327" s="58"/>
      <c r="F327" s="67"/>
      <c r="G327" s="60"/>
      <c r="H327" s="68">
        <f>COUNTIFS(Minifigures!$C$22:$C$1137,D327)</f>
        <v>0</v>
      </c>
      <c r="I327" s="60"/>
      <c r="J327" s="79"/>
      <c r="K327" s="70"/>
      <c r="L327" s="71"/>
      <c r="M327" s="58"/>
      <c r="N327" s="72"/>
      <c r="O327" s="72"/>
      <c r="P327" s="63">
        <f t="shared" si="10"/>
        <v>1899</v>
      </c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65"/>
      <c r="C328" s="58"/>
      <c r="D328" s="65"/>
      <c r="E328" s="58"/>
      <c r="F328" s="67"/>
      <c r="G328" s="60"/>
      <c r="H328" s="68">
        <f>COUNTIFS(Minifigures!$C$22:$C$1137,D328)</f>
        <v>0</v>
      </c>
      <c r="I328" s="60"/>
      <c r="J328" s="79"/>
      <c r="K328" s="70"/>
      <c r="L328" s="71"/>
      <c r="M328" s="58"/>
      <c r="N328" s="72"/>
      <c r="O328" s="72"/>
      <c r="P328" s="63">
        <f t="shared" si="10"/>
        <v>1899</v>
      </c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65"/>
      <c r="C329" s="58"/>
      <c r="D329" s="65"/>
      <c r="E329" s="58"/>
      <c r="F329" s="67"/>
      <c r="G329" s="60"/>
      <c r="H329" s="68">
        <f>COUNTIFS(Minifigures!$C$22:$C$1137,D329)</f>
        <v>0</v>
      </c>
      <c r="I329" s="60"/>
      <c r="J329" s="79"/>
      <c r="K329" s="70"/>
      <c r="L329" s="71"/>
      <c r="M329" s="58"/>
      <c r="N329" s="72"/>
      <c r="O329" s="72"/>
      <c r="P329" s="63">
        <f t="shared" si="10"/>
        <v>1899</v>
      </c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65"/>
      <c r="C330" s="58"/>
      <c r="D330" s="65"/>
      <c r="E330" s="58"/>
      <c r="F330" s="67"/>
      <c r="G330" s="60"/>
      <c r="H330" s="68">
        <f>COUNTIFS(Minifigures!$C$22:$C$1137,D330)</f>
        <v>0</v>
      </c>
      <c r="I330" s="60"/>
      <c r="J330" s="79"/>
      <c r="K330" s="70"/>
      <c r="L330" s="71"/>
      <c r="M330" s="58"/>
      <c r="N330" s="72"/>
      <c r="O330" s="72"/>
      <c r="P330" s="63">
        <f t="shared" si="10"/>
        <v>1899</v>
      </c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65"/>
      <c r="C331" s="58"/>
      <c r="D331" s="65"/>
      <c r="E331" s="58"/>
      <c r="F331" s="67"/>
      <c r="G331" s="60"/>
      <c r="H331" s="68">
        <f>COUNTIFS(Minifigures!$C$22:$C$1137,D331)</f>
        <v>0</v>
      </c>
      <c r="I331" s="60"/>
      <c r="J331" s="79"/>
      <c r="K331" s="70"/>
      <c r="L331" s="71"/>
      <c r="M331" s="58"/>
      <c r="N331" s="72"/>
      <c r="O331" s="72"/>
      <c r="P331" s="63">
        <f t="shared" si="10"/>
        <v>1899</v>
      </c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65"/>
      <c r="C332" s="58"/>
      <c r="D332" s="65"/>
      <c r="E332" s="58"/>
      <c r="F332" s="67"/>
      <c r="G332" s="60"/>
      <c r="H332" s="68">
        <f>COUNTIFS(Minifigures!$C$22:$C$1137,D332)</f>
        <v>0</v>
      </c>
      <c r="I332" s="60"/>
      <c r="J332" s="79"/>
      <c r="K332" s="70"/>
      <c r="L332" s="71"/>
      <c r="M332" s="58"/>
      <c r="N332" s="72"/>
      <c r="O332" s="72"/>
      <c r="P332" s="63">
        <f t="shared" si="10"/>
        <v>1899</v>
      </c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65"/>
      <c r="C333" s="58"/>
      <c r="D333" s="65"/>
      <c r="E333" s="58"/>
      <c r="F333" s="67"/>
      <c r="G333" s="60"/>
      <c r="H333" s="68">
        <f>COUNTIFS(Minifigures!$C$22:$C$1137,D333)</f>
        <v>0</v>
      </c>
      <c r="I333" s="60"/>
      <c r="J333" s="79"/>
      <c r="K333" s="70"/>
      <c r="L333" s="71"/>
      <c r="M333" s="58"/>
      <c r="N333" s="72"/>
      <c r="O333" s="72"/>
      <c r="P333" s="63">
        <f t="shared" si="10"/>
        <v>1899</v>
      </c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65"/>
      <c r="C334" s="58"/>
      <c r="D334" s="65"/>
      <c r="E334" s="58"/>
      <c r="F334" s="67"/>
      <c r="G334" s="60"/>
      <c r="H334" s="68">
        <f>COUNTIFS(Minifigures!$C$22:$C$1137,D334)</f>
        <v>0</v>
      </c>
      <c r="I334" s="60"/>
      <c r="J334" s="79"/>
      <c r="K334" s="70"/>
      <c r="L334" s="71"/>
      <c r="M334" s="58"/>
      <c r="N334" s="72"/>
      <c r="O334" s="72"/>
      <c r="P334" s="63">
        <f t="shared" si="10"/>
        <v>1899</v>
      </c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65"/>
      <c r="C335" s="58"/>
      <c r="D335" s="65"/>
      <c r="E335" s="58"/>
      <c r="F335" s="67"/>
      <c r="G335" s="60"/>
      <c r="H335" s="68">
        <f>COUNTIFS(Minifigures!$C$22:$C$1137,D335)</f>
        <v>0</v>
      </c>
      <c r="I335" s="60"/>
      <c r="J335" s="79"/>
      <c r="K335" s="70"/>
      <c r="L335" s="71"/>
      <c r="M335" s="58"/>
      <c r="N335" s="72"/>
      <c r="O335" s="72"/>
      <c r="P335" s="63">
        <f t="shared" si="10"/>
        <v>1899</v>
      </c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65"/>
      <c r="C336" s="58"/>
      <c r="D336" s="65"/>
      <c r="E336" s="58"/>
      <c r="F336" s="67"/>
      <c r="G336" s="60"/>
      <c r="H336" s="68">
        <f>COUNTIFS(Minifigures!$C$22:$C$1137,D336)</f>
        <v>0</v>
      </c>
      <c r="I336" s="60"/>
      <c r="J336" s="79"/>
      <c r="K336" s="70"/>
      <c r="L336" s="71"/>
      <c r="M336" s="58"/>
      <c r="N336" s="72"/>
      <c r="O336" s="72"/>
      <c r="P336" s="63">
        <f t="shared" si="10"/>
        <v>1899</v>
      </c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65"/>
      <c r="C337" s="58"/>
      <c r="D337" s="65"/>
      <c r="E337" s="58"/>
      <c r="F337" s="67"/>
      <c r="G337" s="60"/>
      <c r="H337" s="68">
        <f>COUNTIFS(Minifigures!$C$22:$C$1137,D337)</f>
        <v>0</v>
      </c>
      <c r="I337" s="60"/>
      <c r="J337" s="79"/>
      <c r="K337" s="70"/>
      <c r="L337" s="71"/>
      <c r="M337" s="58"/>
      <c r="N337" s="72"/>
      <c r="O337" s="72"/>
      <c r="P337" s="63">
        <f t="shared" si="10"/>
        <v>1899</v>
      </c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65"/>
      <c r="C338" s="58"/>
      <c r="D338" s="65"/>
      <c r="E338" s="58"/>
      <c r="F338" s="67"/>
      <c r="G338" s="60"/>
      <c r="H338" s="68">
        <f>COUNTIFS(Minifigures!$C$22:$C$1137,D338)</f>
        <v>0</v>
      </c>
      <c r="I338" s="60"/>
      <c r="J338" s="79"/>
      <c r="K338" s="70"/>
      <c r="L338" s="71"/>
      <c r="M338" s="58"/>
      <c r="N338" s="72"/>
      <c r="O338" s="72"/>
      <c r="P338" s="63">
        <f t="shared" si="10"/>
        <v>1899</v>
      </c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65"/>
      <c r="C339" s="58"/>
      <c r="D339" s="65"/>
      <c r="E339" s="58"/>
      <c r="F339" s="67"/>
      <c r="G339" s="60"/>
      <c r="H339" s="68">
        <f>COUNTIFS(Minifigures!$C$22:$C$1137,D339)</f>
        <v>0</v>
      </c>
      <c r="I339" s="60"/>
      <c r="J339" s="79"/>
      <c r="K339" s="70"/>
      <c r="L339" s="71"/>
      <c r="M339" s="58"/>
      <c r="N339" s="72"/>
      <c r="O339" s="72"/>
      <c r="P339" s="63">
        <f t="shared" si="10"/>
        <v>1899</v>
      </c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65"/>
      <c r="C340" s="58"/>
      <c r="D340" s="65"/>
      <c r="E340" s="58"/>
      <c r="F340" s="67"/>
      <c r="G340" s="60"/>
      <c r="H340" s="68">
        <f>COUNTIFS(Minifigures!$C$22:$C$1137,D340)</f>
        <v>0</v>
      </c>
      <c r="I340" s="60"/>
      <c r="J340" s="79"/>
      <c r="K340" s="70"/>
      <c r="L340" s="71"/>
      <c r="M340" s="58"/>
      <c r="N340" s="72"/>
      <c r="O340" s="72"/>
      <c r="P340" s="63">
        <f t="shared" si="10"/>
        <v>1899</v>
      </c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65"/>
      <c r="C341" s="58"/>
      <c r="D341" s="65"/>
      <c r="E341" s="58"/>
      <c r="F341" s="67"/>
      <c r="G341" s="60"/>
      <c r="H341" s="68">
        <f>COUNTIFS(Minifigures!$C$22:$C$1137,D341)</f>
        <v>0</v>
      </c>
      <c r="I341" s="60"/>
      <c r="J341" s="79"/>
      <c r="K341" s="70"/>
      <c r="L341" s="71"/>
      <c r="M341" s="58"/>
      <c r="N341" s="72"/>
      <c r="O341" s="72"/>
      <c r="P341" s="63">
        <f t="shared" si="10"/>
        <v>1899</v>
      </c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65"/>
      <c r="C342" s="58"/>
      <c r="D342" s="65"/>
      <c r="E342" s="58"/>
      <c r="F342" s="67"/>
      <c r="G342" s="60"/>
      <c r="H342" s="68">
        <f>COUNTIFS(Minifigures!$C$22:$C$1137,D342)</f>
        <v>0</v>
      </c>
      <c r="I342" s="60"/>
      <c r="J342" s="79"/>
      <c r="K342" s="70"/>
      <c r="L342" s="71"/>
      <c r="M342" s="58"/>
      <c r="N342" s="72"/>
      <c r="O342" s="72"/>
      <c r="P342" s="63">
        <f t="shared" si="10"/>
        <v>1899</v>
      </c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65"/>
      <c r="C343" s="58"/>
      <c r="D343" s="65"/>
      <c r="E343" s="58"/>
      <c r="F343" s="67"/>
      <c r="G343" s="60"/>
      <c r="H343" s="68">
        <f>COUNTIFS(Minifigures!$C$22:$C$1137,D343)</f>
        <v>0</v>
      </c>
      <c r="I343" s="60"/>
      <c r="J343" s="79"/>
      <c r="K343" s="70"/>
      <c r="L343" s="71"/>
      <c r="M343" s="58"/>
      <c r="N343" s="72"/>
      <c r="O343" s="72"/>
      <c r="P343" s="63">
        <f t="shared" si="10"/>
        <v>1899</v>
      </c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65"/>
      <c r="C344" s="58"/>
      <c r="D344" s="65"/>
      <c r="E344" s="58"/>
      <c r="F344" s="67"/>
      <c r="G344" s="60"/>
      <c r="H344" s="68">
        <f>COUNTIFS(Minifigures!$C$22:$C$1137,D344)</f>
        <v>0</v>
      </c>
      <c r="I344" s="60"/>
      <c r="J344" s="79"/>
      <c r="K344" s="70"/>
      <c r="L344" s="71"/>
      <c r="M344" s="58"/>
      <c r="N344" s="72"/>
      <c r="O344" s="72"/>
      <c r="P344" s="63">
        <f t="shared" si="10"/>
        <v>1899</v>
      </c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65"/>
      <c r="C345" s="58"/>
      <c r="D345" s="65"/>
      <c r="E345" s="58"/>
      <c r="F345" s="67"/>
      <c r="G345" s="60"/>
      <c r="H345" s="68">
        <f>COUNTIFS(Minifigures!$C$22:$C$1137,D345)</f>
        <v>0</v>
      </c>
      <c r="I345" s="60"/>
      <c r="J345" s="79"/>
      <c r="K345" s="70"/>
      <c r="L345" s="71"/>
      <c r="M345" s="58"/>
      <c r="N345" s="72"/>
      <c r="O345" s="72"/>
      <c r="P345" s="63">
        <f t="shared" si="10"/>
        <v>1899</v>
      </c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65"/>
      <c r="C346" s="58"/>
      <c r="D346" s="65"/>
      <c r="E346" s="58"/>
      <c r="F346" s="67"/>
      <c r="G346" s="60"/>
      <c r="H346" s="68">
        <f>COUNTIFS(Minifigures!$C$22:$C$1137,D346)</f>
        <v>0</v>
      </c>
      <c r="I346" s="60"/>
      <c r="J346" s="79"/>
      <c r="K346" s="70"/>
      <c r="L346" s="71"/>
      <c r="M346" s="58"/>
      <c r="N346" s="72"/>
      <c r="O346" s="72"/>
      <c r="P346" s="63">
        <f t="shared" si="10"/>
        <v>1899</v>
      </c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65"/>
      <c r="C347" s="58"/>
      <c r="D347" s="65"/>
      <c r="E347" s="58"/>
      <c r="F347" s="67"/>
      <c r="G347" s="60"/>
      <c r="H347" s="68">
        <f>COUNTIFS(Minifigures!$C$22:$C$1137,D347)</f>
        <v>0</v>
      </c>
      <c r="I347" s="60"/>
      <c r="J347" s="79"/>
      <c r="K347" s="70"/>
      <c r="L347" s="71"/>
      <c r="M347" s="58"/>
      <c r="N347" s="72"/>
      <c r="O347" s="72"/>
      <c r="P347" s="63">
        <f t="shared" si="10"/>
        <v>1899</v>
      </c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65"/>
      <c r="C348" s="58"/>
      <c r="D348" s="65"/>
      <c r="E348" s="58"/>
      <c r="F348" s="67"/>
      <c r="G348" s="60"/>
      <c r="H348" s="68">
        <f>COUNTIFS(Minifigures!$C$22:$C$1137,D348)</f>
        <v>0</v>
      </c>
      <c r="I348" s="60"/>
      <c r="J348" s="79"/>
      <c r="K348" s="70"/>
      <c r="L348" s="71"/>
      <c r="M348" s="58"/>
      <c r="N348" s="72"/>
      <c r="O348" s="72"/>
      <c r="P348" s="63">
        <f t="shared" si="10"/>
        <v>1899</v>
      </c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65"/>
      <c r="C349" s="58"/>
      <c r="D349" s="65"/>
      <c r="E349" s="58"/>
      <c r="F349" s="67"/>
      <c r="G349" s="60"/>
      <c r="H349" s="68">
        <f>COUNTIFS(Minifigures!$C$22:$C$1137,D349)</f>
        <v>0</v>
      </c>
      <c r="I349" s="60"/>
      <c r="J349" s="79"/>
      <c r="K349" s="70"/>
      <c r="L349" s="71"/>
      <c r="M349" s="58"/>
      <c r="N349" s="72"/>
      <c r="O349" s="72"/>
      <c r="P349" s="63">
        <f t="shared" si="10"/>
        <v>1899</v>
      </c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65"/>
      <c r="C350" s="58"/>
      <c r="D350" s="65"/>
      <c r="E350" s="58"/>
      <c r="F350" s="67"/>
      <c r="G350" s="60"/>
      <c r="H350" s="68">
        <f>COUNTIFS(Minifigures!$C$22:$C$1137,D350)</f>
        <v>0</v>
      </c>
      <c r="I350" s="60"/>
      <c r="J350" s="79"/>
      <c r="K350" s="70"/>
      <c r="L350" s="71"/>
      <c r="M350" s="58"/>
      <c r="N350" s="72"/>
      <c r="O350" s="72"/>
      <c r="P350" s="63">
        <f t="shared" si="10"/>
        <v>1899</v>
      </c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65"/>
      <c r="C351" s="58"/>
      <c r="D351" s="65"/>
      <c r="E351" s="58"/>
      <c r="F351" s="67"/>
      <c r="G351" s="60"/>
      <c r="H351" s="68">
        <f>COUNTIFS(Minifigures!$C$22:$C$1137,D351)</f>
        <v>0</v>
      </c>
      <c r="I351" s="60"/>
      <c r="J351" s="79"/>
      <c r="K351" s="70"/>
      <c r="L351" s="71"/>
      <c r="M351" s="58"/>
      <c r="N351" s="72"/>
      <c r="O351" s="72"/>
      <c r="P351" s="63">
        <f t="shared" si="10"/>
        <v>1899</v>
      </c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65"/>
      <c r="C352" s="58"/>
      <c r="D352" s="65"/>
      <c r="E352" s="58"/>
      <c r="F352" s="67"/>
      <c r="G352" s="60"/>
      <c r="H352" s="68">
        <f>COUNTIFS(Minifigures!$C$22:$C$1137,D352)</f>
        <v>0</v>
      </c>
      <c r="I352" s="60"/>
      <c r="J352" s="79"/>
      <c r="K352" s="70"/>
      <c r="L352" s="71"/>
      <c r="M352" s="58"/>
      <c r="N352" s="72"/>
      <c r="O352" s="72"/>
      <c r="P352" s="63">
        <f t="shared" si="10"/>
        <v>1899</v>
      </c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65"/>
      <c r="C353" s="58"/>
      <c r="D353" s="65"/>
      <c r="E353" s="58"/>
      <c r="F353" s="67"/>
      <c r="G353" s="60"/>
      <c r="H353" s="68">
        <f>COUNTIFS(Minifigures!$C$22:$C$1137,D353)</f>
        <v>0</v>
      </c>
      <c r="I353" s="60"/>
      <c r="J353" s="79"/>
      <c r="K353" s="70"/>
      <c r="L353" s="71"/>
      <c r="M353" s="58"/>
      <c r="N353" s="72"/>
      <c r="O353" s="72"/>
      <c r="P353" s="63">
        <f t="shared" si="10"/>
        <v>1899</v>
      </c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65"/>
      <c r="C354" s="58"/>
      <c r="D354" s="65"/>
      <c r="E354" s="58"/>
      <c r="F354" s="67"/>
      <c r="G354" s="60"/>
      <c r="H354" s="68">
        <f>COUNTIFS(Minifigures!$C$22:$C$1137,D354)</f>
        <v>0</v>
      </c>
      <c r="I354" s="60"/>
      <c r="J354" s="79"/>
      <c r="K354" s="70"/>
      <c r="L354" s="71"/>
      <c r="M354" s="58"/>
      <c r="N354" s="72"/>
      <c r="O354" s="72"/>
      <c r="P354" s="63">
        <f t="shared" si="10"/>
        <v>1899</v>
      </c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65"/>
      <c r="C355" s="58"/>
      <c r="D355" s="65"/>
      <c r="E355" s="58"/>
      <c r="F355" s="67"/>
      <c r="G355" s="60"/>
      <c r="H355" s="68">
        <f>COUNTIFS(Minifigures!$C$22:$C$1137,D355)</f>
        <v>0</v>
      </c>
      <c r="I355" s="60"/>
      <c r="J355" s="79"/>
      <c r="K355" s="70"/>
      <c r="L355" s="71"/>
      <c r="M355" s="58"/>
      <c r="N355" s="72"/>
      <c r="O355" s="72"/>
      <c r="P355" s="63">
        <f t="shared" si="10"/>
        <v>1899</v>
      </c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65"/>
      <c r="C356" s="58"/>
      <c r="D356" s="65"/>
      <c r="E356" s="58"/>
      <c r="F356" s="67"/>
      <c r="G356" s="60"/>
      <c r="H356" s="68">
        <f>COUNTIFS(Minifigures!$C$22:$C$1137,D356)</f>
        <v>0</v>
      </c>
      <c r="I356" s="60"/>
      <c r="J356" s="79"/>
      <c r="K356" s="70"/>
      <c r="L356" s="71"/>
      <c r="M356" s="58"/>
      <c r="N356" s="72"/>
      <c r="O356" s="72"/>
      <c r="P356" s="63">
        <f t="shared" si="10"/>
        <v>1899</v>
      </c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65"/>
      <c r="C357" s="58"/>
      <c r="D357" s="65"/>
      <c r="E357" s="58"/>
      <c r="F357" s="67"/>
      <c r="G357" s="60"/>
      <c r="H357" s="68">
        <f>COUNTIFS(Minifigures!$C$22:$C$1137,D357)</f>
        <v>0</v>
      </c>
      <c r="I357" s="60"/>
      <c r="J357" s="79"/>
      <c r="K357" s="70"/>
      <c r="L357" s="71"/>
      <c r="M357" s="58"/>
      <c r="N357" s="72"/>
      <c r="O357" s="72"/>
      <c r="P357" s="63">
        <f t="shared" si="10"/>
        <v>1899</v>
      </c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65"/>
      <c r="C358" s="58"/>
      <c r="D358" s="65"/>
      <c r="E358" s="58"/>
      <c r="F358" s="67"/>
      <c r="G358" s="60"/>
      <c r="H358" s="68">
        <f>COUNTIFS(Minifigures!$C$22:$C$1137,D358)</f>
        <v>0</v>
      </c>
      <c r="I358" s="60"/>
      <c r="J358" s="79"/>
      <c r="K358" s="70"/>
      <c r="L358" s="71"/>
      <c r="M358" s="58"/>
      <c r="N358" s="72"/>
      <c r="O358" s="72"/>
      <c r="P358" s="63">
        <f t="shared" si="10"/>
        <v>1899</v>
      </c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65"/>
      <c r="C359" s="58"/>
      <c r="D359" s="65"/>
      <c r="E359" s="58"/>
      <c r="F359" s="67"/>
      <c r="G359" s="60"/>
      <c r="H359" s="68">
        <f>COUNTIFS(Minifigures!$C$22:$C$1137,D359)</f>
        <v>0</v>
      </c>
      <c r="I359" s="60"/>
      <c r="J359" s="79"/>
      <c r="K359" s="70"/>
      <c r="L359" s="71"/>
      <c r="M359" s="58"/>
      <c r="N359" s="72"/>
      <c r="O359" s="72"/>
      <c r="P359" s="63">
        <f t="shared" si="10"/>
        <v>1899</v>
      </c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65"/>
      <c r="C360" s="58"/>
      <c r="D360" s="65"/>
      <c r="E360" s="58"/>
      <c r="F360" s="67"/>
      <c r="G360" s="60"/>
      <c r="H360" s="68">
        <f>COUNTIFS(Minifigures!$C$22:$C$1137,D360)</f>
        <v>0</v>
      </c>
      <c r="I360" s="60"/>
      <c r="J360" s="79"/>
      <c r="K360" s="70"/>
      <c r="L360" s="71"/>
      <c r="M360" s="58"/>
      <c r="N360" s="72"/>
      <c r="O360" s="72"/>
      <c r="P360" s="63">
        <f t="shared" si="10"/>
        <v>1899</v>
      </c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65"/>
      <c r="C361" s="58"/>
      <c r="D361" s="65"/>
      <c r="E361" s="58"/>
      <c r="F361" s="67"/>
      <c r="G361" s="60"/>
      <c r="H361" s="68">
        <f>COUNTIFS(Minifigures!$C$22:$C$1137,D361)</f>
        <v>0</v>
      </c>
      <c r="I361" s="60"/>
      <c r="J361" s="79"/>
      <c r="K361" s="70"/>
      <c r="L361" s="71"/>
      <c r="M361" s="58"/>
      <c r="N361" s="72"/>
      <c r="O361" s="72"/>
      <c r="P361" s="63">
        <f t="shared" si="10"/>
        <v>1899</v>
      </c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65"/>
      <c r="C362" s="58"/>
      <c r="D362" s="65"/>
      <c r="E362" s="58"/>
      <c r="F362" s="67"/>
      <c r="G362" s="60"/>
      <c r="H362" s="68">
        <f>COUNTIFS(Minifigures!$C$22:$C$1137,D362)</f>
        <v>0</v>
      </c>
      <c r="I362" s="60"/>
      <c r="J362" s="79"/>
      <c r="K362" s="70"/>
      <c r="L362" s="71"/>
      <c r="M362" s="58"/>
      <c r="N362" s="72"/>
      <c r="O362" s="72"/>
      <c r="P362" s="63">
        <f t="shared" si="10"/>
        <v>1899</v>
      </c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65"/>
      <c r="C363" s="58"/>
      <c r="D363" s="65"/>
      <c r="E363" s="58"/>
      <c r="F363" s="67"/>
      <c r="G363" s="60"/>
      <c r="H363" s="68">
        <f>COUNTIFS(Minifigures!$C$22:$C$1137,D363)</f>
        <v>0</v>
      </c>
      <c r="I363" s="60"/>
      <c r="J363" s="79"/>
      <c r="K363" s="70"/>
      <c r="L363" s="71"/>
      <c r="M363" s="58"/>
      <c r="N363" s="72"/>
      <c r="O363" s="72"/>
      <c r="P363" s="63">
        <f t="shared" si="10"/>
        <v>1899</v>
      </c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65"/>
      <c r="C364" s="58"/>
      <c r="D364" s="65"/>
      <c r="E364" s="58"/>
      <c r="F364" s="67"/>
      <c r="G364" s="60"/>
      <c r="H364" s="68">
        <f>COUNTIFS(Minifigures!$C$22:$C$1137,D364)</f>
        <v>0</v>
      </c>
      <c r="I364" s="60"/>
      <c r="J364" s="79"/>
      <c r="K364" s="70"/>
      <c r="L364" s="71"/>
      <c r="M364" s="58"/>
      <c r="N364" s="72"/>
      <c r="O364" s="72"/>
      <c r="P364" s="63">
        <f t="shared" si="10"/>
        <v>1899</v>
      </c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65"/>
      <c r="C365" s="58"/>
      <c r="D365" s="65"/>
      <c r="E365" s="58"/>
      <c r="F365" s="67"/>
      <c r="G365" s="60"/>
      <c r="H365" s="68">
        <f>COUNTIFS(Minifigures!$C$22:$C$1137,D365)</f>
        <v>0</v>
      </c>
      <c r="I365" s="60"/>
      <c r="J365" s="79"/>
      <c r="K365" s="70"/>
      <c r="L365" s="71"/>
      <c r="M365" s="58"/>
      <c r="N365" s="72"/>
      <c r="O365" s="72"/>
      <c r="P365" s="63">
        <f t="shared" si="10"/>
        <v>1899</v>
      </c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65"/>
      <c r="C366" s="58"/>
      <c r="D366" s="65"/>
      <c r="E366" s="58"/>
      <c r="F366" s="67"/>
      <c r="G366" s="60"/>
      <c r="H366" s="68">
        <f>COUNTIFS(Minifigures!$C$22:$C$1137,D366)</f>
        <v>0</v>
      </c>
      <c r="I366" s="60"/>
      <c r="J366" s="79"/>
      <c r="K366" s="70"/>
      <c r="L366" s="71"/>
      <c r="M366" s="58"/>
      <c r="N366" s="72"/>
      <c r="O366" s="72"/>
      <c r="P366" s="63">
        <f t="shared" si="10"/>
        <v>1899</v>
      </c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65"/>
      <c r="C367" s="58"/>
      <c r="D367" s="65"/>
      <c r="E367" s="58"/>
      <c r="F367" s="67"/>
      <c r="G367" s="60"/>
      <c r="H367" s="68">
        <f>COUNTIFS(Minifigures!$C$22:$C$1137,D367)</f>
        <v>0</v>
      </c>
      <c r="I367" s="60"/>
      <c r="J367" s="79"/>
      <c r="K367" s="70"/>
      <c r="L367" s="71"/>
      <c r="M367" s="58"/>
      <c r="N367" s="72"/>
      <c r="O367" s="72"/>
      <c r="P367" s="63">
        <f t="shared" si="10"/>
        <v>1899</v>
      </c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65"/>
      <c r="C368" s="58"/>
      <c r="D368" s="65"/>
      <c r="E368" s="58"/>
      <c r="F368" s="67"/>
      <c r="G368" s="60"/>
      <c r="H368" s="68">
        <f>COUNTIFS(Minifigures!$C$22:$C$1137,D368)</f>
        <v>0</v>
      </c>
      <c r="I368" s="60"/>
      <c r="J368" s="79"/>
      <c r="K368" s="70"/>
      <c r="L368" s="71"/>
      <c r="M368" s="58"/>
      <c r="N368" s="72"/>
      <c r="O368" s="72"/>
      <c r="P368" s="63">
        <f t="shared" si="10"/>
        <v>1899</v>
      </c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65"/>
      <c r="C369" s="58"/>
      <c r="D369" s="65"/>
      <c r="E369" s="58"/>
      <c r="F369" s="67"/>
      <c r="G369" s="60"/>
      <c r="H369" s="68">
        <f>COUNTIFS(Minifigures!$C$22:$C$1137,D369)</f>
        <v>0</v>
      </c>
      <c r="I369" s="60"/>
      <c r="J369" s="79"/>
      <c r="K369" s="70"/>
      <c r="L369" s="71"/>
      <c r="M369" s="58"/>
      <c r="N369" s="72"/>
      <c r="O369" s="72"/>
      <c r="P369" s="63">
        <f t="shared" si="10"/>
        <v>1899</v>
      </c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65"/>
      <c r="C370" s="58"/>
      <c r="D370" s="65"/>
      <c r="E370" s="58"/>
      <c r="F370" s="67"/>
      <c r="G370" s="60"/>
      <c r="H370" s="68">
        <f>COUNTIFS(Minifigures!$C$22:$C$1137,D370)</f>
        <v>0</v>
      </c>
      <c r="I370" s="60"/>
      <c r="J370" s="79"/>
      <c r="K370" s="70"/>
      <c r="L370" s="71"/>
      <c r="M370" s="58"/>
      <c r="N370" s="72"/>
      <c r="O370" s="72"/>
      <c r="P370" s="63">
        <f t="shared" si="10"/>
        <v>1899</v>
      </c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65"/>
      <c r="C371" s="58"/>
      <c r="D371" s="65"/>
      <c r="E371" s="58"/>
      <c r="F371" s="67"/>
      <c r="G371" s="60"/>
      <c r="H371" s="68">
        <f>COUNTIFS(Minifigures!$C$22:$C$1137,D371)</f>
        <v>0</v>
      </c>
      <c r="I371" s="60"/>
      <c r="J371" s="79"/>
      <c r="K371" s="70"/>
      <c r="L371" s="71"/>
      <c r="M371" s="58"/>
      <c r="N371" s="72"/>
      <c r="O371" s="72"/>
      <c r="P371" s="63">
        <f t="shared" si="10"/>
        <v>1899</v>
      </c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65"/>
      <c r="C372" s="58"/>
      <c r="D372" s="65"/>
      <c r="E372" s="58"/>
      <c r="F372" s="67"/>
      <c r="G372" s="60"/>
      <c r="H372" s="68">
        <f>COUNTIFS(Minifigures!$C$22:$C$1137,D372)</f>
        <v>0</v>
      </c>
      <c r="I372" s="60"/>
      <c r="J372" s="79"/>
      <c r="K372" s="70"/>
      <c r="L372" s="71"/>
      <c r="M372" s="58"/>
      <c r="N372" s="72"/>
      <c r="O372" s="72"/>
      <c r="P372" s="63">
        <f t="shared" si="10"/>
        <v>1899</v>
      </c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65"/>
      <c r="C373" s="58"/>
      <c r="D373" s="65"/>
      <c r="E373" s="58"/>
      <c r="F373" s="67"/>
      <c r="G373" s="60"/>
      <c r="H373" s="68">
        <f>COUNTIFS(Minifigures!$C$22:$C$1137,D373)</f>
        <v>0</v>
      </c>
      <c r="I373" s="60"/>
      <c r="J373" s="79"/>
      <c r="K373" s="70"/>
      <c r="L373" s="71"/>
      <c r="M373" s="58"/>
      <c r="N373" s="72"/>
      <c r="O373" s="72"/>
      <c r="P373" s="63">
        <f t="shared" si="10"/>
        <v>1899</v>
      </c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65"/>
      <c r="C374" s="58"/>
      <c r="D374" s="65"/>
      <c r="E374" s="58"/>
      <c r="F374" s="67"/>
      <c r="G374" s="60"/>
      <c r="H374" s="68">
        <f>COUNTIFS(Minifigures!$C$22:$C$1137,D374)</f>
        <v>0</v>
      </c>
      <c r="I374" s="60"/>
      <c r="J374" s="79"/>
      <c r="K374" s="70"/>
      <c r="L374" s="71"/>
      <c r="M374" s="58"/>
      <c r="N374" s="72"/>
      <c r="O374" s="72"/>
      <c r="P374" s="63">
        <f t="shared" si="10"/>
        <v>1899</v>
      </c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65"/>
      <c r="C375" s="58"/>
      <c r="D375" s="65"/>
      <c r="E375" s="58"/>
      <c r="F375" s="67"/>
      <c r="G375" s="60"/>
      <c r="H375" s="68">
        <f>COUNTIFS(Minifigures!$C$22:$C$1137,D375)</f>
        <v>0</v>
      </c>
      <c r="I375" s="60"/>
      <c r="J375" s="79"/>
      <c r="K375" s="70"/>
      <c r="L375" s="71"/>
      <c r="M375" s="58"/>
      <c r="N375" s="72"/>
      <c r="O375" s="72"/>
      <c r="P375" s="63">
        <f t="shared" si="10"/>
        <v>1899</v>
      </c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65"/>
      <c r="C376" s="58"/>
      <c r="D376" s="65"/>
      <c r="E376" s="58"/>
      <c r="F376" s="67"/>
      <c r="G376" s="60"/>
      <c r="H376" s="68">
        <f>COUNTIFS(Minifigures!$C$22:$C$1137,D376)</f>
        <v>0</v>
      </c>
      <c r="I376" s="60"/>
      <c r="J376" s="79"/>
      <c r="K376" s="70"/>
      <c r="L376" s="71"/>
      <c r="M376" s="58"/>
      <c r="N376" s="72"/>
      <c r="O376" s="72"/>
      <c r="P376" s="63">
        <f t="shared" si="10"/>
        <v>1899</v>
      </c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65"/>
      <c r="C377" s="58"/>
      <c r="D377" s="65"/>
      <c r="E377" s="58"/>
      <c r="F377" s="67"/>
      <c r="G377" s="60"/>
      <c r="H377" s="68">
        <f>COUNTIFS(Minifigures!$C$22:$C$1137,D377)</f>
        <v>0</v>
      </c>
      <c r="I377" s="60"/>
      <c r="J377" s="79"/>
      <c r="K377" s="70"/>
      <c r="L377" s="71"/>
      <c r="M377" s="58"/>
      <c r="N377" s="72"/>
      <c r="O377" s="72"/>
      <c r="P377" s="63">
        <f t="shared" si="10"/>
        <v>1899</v>
      </c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65"/>
      <c r="C378" s="58"/>
      <c r="D378" s="65"/>
      <c r="E378" s="58"/>
      <c r="F378" s="67"/>
      <c r="G378" s="60"/>
      <c r="H378" s="68">
        <f>COUNTIFS(Minifigures!$C$22:$C$1137,D378)</f>
        <v>0</v>
      </c>
      <c r="I378" s="60"/>
      <c r="J378" s="79"/>
      <c r="K378" s="70"/>
      <c r="L378" s="71"/>
      <c r="M378" s="58"/>
      <c r="N378" s="72"/>
      <c r="O378" s="72"/>
      <c r="P378" s="63">
        <f t="shared" si="10"/>
        <v>1899</v>
      </c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65"/>
      <c r="C379" s="58"/>
      <c r="D379" s="65"/>
      <c r="E379" s="58"/>
      <c r="F379" s="67"/>
      <c r="G379" s="60"/>
      <c r="H379" s="68">
        <f>COUNTIFS(Minifigures!$C$22:$C$1137,D379)</f>
        <v>0</v>
      </c>
      <c r="I379" s="60"/>
      <c r="J379" s="79"/>
      <c r="K379" s="70"/>
      <c r="L379" s="71"/>
      <c r="M379" s="58"/>
      <c r="N379" s="72"/>
      <c r="O379" s="72"/>
      <c r="P379" s="63">
        <f t="shared" si="10"/>
        <v>1899</v>
      </c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65"/>
      <c r="C380" s="58"/>
      <c r="D380" s="65"/>
      <c r="E380" s="58"/>
      <c r="F380" s="67"/>
      <c r="G380" s="60"/>
      <c r="H380" s="68">
        <f>COUNTIFS(Minifigures!$C$22:$C$1137,D380)</f>
        <v>0</v>
      </c>
      <c r="I380" s="60"/>
      <c r="J380" s="79"/>
      <c r="K380" s="70"/>
      <c r="L380" s="71"/>
      <c r="M380" s="58"/>
      <c r="N380" s="72"/>
      <c r="O380" s="72"/>
      <c r="P380" s="63">
        <f t="shared" si="10"/>
        <v>1899</v>
      </c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65"/>
      <c r="C381" s="58"/>
      <c r="D381" s="65"/>
      <c r="E381" s="58"/>
      <c r="F381" s="67"/>
      <c r="G381" s="60"/>
      <c r="H381" s="68">
        <f>COUNTIFS(Minifigures!$C$22:$C$1137,D381)</f>
        <v>0</v>
      </c>
      <c r="I381" s="60"/>
      <c r="J381" s="79"/>
      <c r="K381" s="70"/>
      <c r="L381" s="71"/>
      <c r="M381" s="58"/>
      <c r="N381" s="72"/>
      <c r="O381" s="72"/>
      <c r="P381" s="63">
        <f t="shared" si="10"/>
        <v>1899</v>
      </c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65"/>
      <c r="C382" s="58"/>
      <c r="D382" s="65"/>
      <c r="E382" s="58"/>
      <c r="F382" s="67"/>
      <c r="G382" s="60"/>
      <c r="H382" s="68">
        <f>COUNTIFS(Minifigures!$C$22:$C$1137,D382)</f>
        <v>0</v>
      </c>
      <c r="I382" s="60"/>
      <c r="J382" s="79"/>
      <c r="K382" s="70"/>
      <c r="L382" s="71"/>
      <c r="M382" s="58"/>
      <c r="N382" s="72"/>
      <c r="O382" s="72"/>
      <c r="P382" s="63">
        <f t="shared" si="10"/>
        <v>1899</v>
      </c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65"/>
      <c r="C383" s="58"/>
      <c r="D383" s="65"/>
      <c r="E383" s="58"/>
      <c r="F383" s="67"/>
      <c r="G383" s="60"/>
      <c r="H383" s="68">
        <f>COUNTIFS(Minifigures!$C$22:$C$1137,D383)</f>
        <v>0</v>
      </c>
      <c r="I383" s="60"/>
      <c r="J383" s="79"/>
      <c r="K383" s="70"/>
      <c r="L383" s="71"/>
      <c r="M383" s="58"/>
      <c r="N383" s="72"/>
      <c r="O383" s="72"/>
      <c r="P383" s="63">
        <f t="shared" si="10"/>
        <v>1899</v>
      </c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65"/>
      <c r="C384" s="58"/>
      <c r="D384" s="65"/>
      <c r="E384" s="58"/>
      <c r="F384" s="67"/>
      <c r="G384" s="60"/>
      <c r="H384" s="68">
        <f>COUNTIFS(Minifigures!$C$22:$C$1137,D384)</f>
        <v>0</v>
      </c>
      <c r="I384" s="60"/>
      <c r="J384" s="79"/>
      <c r="K384" s="70"/>
      <c r="L384" s="71"/>
      <c r="M384" s="58"/>
      <c r="N384" s="72"/>
      <c r="O384" s="72"/>
      <c r="P384" s="63">
        <f t="shared" si="10"/>
        <v>1899</v>
      </c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65"/>
      <c r="C385" s="58"/>
      <c r="D385" s="65"/>
      <c r="E385" s="58"/>
      <c r="F385" s="67"/>
      <c r="G385" s="60"/>
      <c r="H385" s="68">
        <f>COUNTIFS(Minifigures!$C$22:$C$1137,D385)</f>
        <v>0</v>
      </c>
      <c r="I385" s="60"/>
      <c r="J385" s="79"/>
      <c r="K385" s="70"/>
      <c r="L385" s="71"/>
      <c r="M385" s="58"/>
      <c r="N385" s="72"/>
      <c r="O385" s="72"/>
      <c r="P385" s="63">
        <f t="shared" si="10"/>
        <v>1899</v>
      </c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65"/>
      <c r="C386" s="58"/>
      <c r="D386" s="65"/>
      <c r="E386" s="58"/>
      <c r="F386" s="67"/>
      <c r="G386" s="60"/>
      <c r="H386" s="68">
        <f>COUNTIFS(Minifigures!$C$22:$C$1137,D386)</f>
        <v>0</v>
      </c>
      <c r="I386" s="60"/>
      <c r="J386" s="79"/>
      <c r="K386" s="70"/>
      <c r="L386" s="71"/>
      <c r="M386" s="58"/>
      <c r="N386" s="72"/>
      <c r="O386" s="72"/>
      <c r="P386" s="63">
        <f t="shared" si="10"/>
        <v>1899</v>
      </c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65"/>
      <c r="C387" s="58"/>
      <c r="D387" s="65"/>
      <c r="E387" s="58"/>
      <c r="F387" s="67"/>
      <c r="G387" s="60"/>
      <c r="H387" s="68">
        <f>COUNTIFS(Minifigures!$C$22:$C$1137,D387)</f>
        <v>0</v>
      </c>
      <c r="I387" s="60"/>
      <c r="J387" s="79"/>
      <c r="K387" s="70"/>
      <c r="L387" s="71"/>
      <c r="M387" s="58"/>
      <c r="N387" s="72"/>
      <c r="O387" s="72"/>
      <c r="P387" s="63">
        <f t="shared" si="10"/>
        <v>1899</v>
      </c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65"/>
      <c r="C388" s="58"/>
      <c r="D388" s="65"/>
      <c r="E388" s="58"/>
      <c r="F388" s="67"/>
      <c r="G388" s="60"/>
      <c r="H388" s="68">
        <f>COUNTIFS(Minifigures!$C$22:$C$1137,D388)</f>
        <v>0</v>
      </c>
      <c r="I388" s="60"/>
      <c r="J388" s="79"/>
      <c r="K388" s="70"/>
      <c r="L388" s="71"/>
      <c r="M388" s="58"/>
      <c r="N388" s="72"/>
      <c r="O388" s="72"/>
      <c r="P388" s="63">
        <f t="shared" si="10"/>
        <v>1899</v>
      </c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65"/>
      <c r="C389" s="58"/>
      <c r="D389" s="65"/>
      <c r="E389" s="58"/>
      <c r="F389" s="67"/>
      <c r="G389" s="60"/>
      <c r="H389" s="68">
        <f>COUNTIFS(Minifigures!$C$22:$C$1137,D389)</f>
        <v>0</v>
      </c>
      <c r="I389" s="60"/>
      <c r="J389" s="79"/>
      <c r="K389" s="70"/>
      <c r="L389" s="71"/>
      <c r="M389" s="58"/>
      <c r="N389" s="72"/>
      <c r="O389" s="72"/>
      <c r="P389" s="63">
        <f t="shared" si="10"/>
        <v>1899</v>
      </c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65"/>
      <c r="C390" s="58"/>
      <c r="D390" s="65"/>
      <c r="E390" s="58"/>
      <c r="F390" s="67"/>
      <c r="G390" s="60"/>
      <c r="H390" s="68">
        <f>COUNTIFS(Minifigures!$C$22:$C$1137,D390)</f>
        <v>0</v>
      </c>
      <c r="I390" s="60"/>
      <c r="J390" s="79"/>
      <c r="K390" s="70"/>
      <c r="L390" s="71"/>
      <c r="M390" s="58"/>
      <c r="N390" s="72"/>
      <c r="O390" s="72"/>
      <c r="P390" s="63">
        <f t="shared" si="10"/>
        <v>1899</v>
      </c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65"/>
      <c r="C391" s="58"/>
      <c r="D391" s="65"/>
      <c r="E391" s="58"/>
      <c r="F391" s="67"/>
      <c r="G391" s="60"/>
      <c r="H391" s="68">
        <f>COUNTIFS(Minifigures!$C$22:$C$1137,D391)</f>
        <v>0</v>
      </c>
      <c r="I391" s="60"/>
      <c r="J391" s="79"/>
      <c r="K391" s="70"/>
      <c r="L391" s="71"/>
      <c r="M391" s="58"/>
      <c r="N391" s="72"/>
      <c r="O391" s="72"/>
      <c r="P391" s="63">
        <f t="shared" si="10"/>
        <v>1899</v>
      </c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65"/>
      <c r="C392" s="58"/>
      <c r="D392" s="65"/>
      <c r="E392" s="58"/>
      <c r="F392" s="67"/>
      <c r="G392" s="60"/>
      <c r="H392" s="68">
        <f>COUNTIFS(Minifigures!$C$22:$C$1137,D392)</f>
        <v>0</v>
      </c>
      <c r="I392" s="60"/>
      <c r="J392" s="79"/>
      <c r="K392" s="70"/>
      <c r="L392" s="71"/>
      <c r="M392" s="58"/>
      <c r="N392" s="72"/>
      <c r="O392" s="72"/>
      <c r="P392" s="63">
        <f t="shared" si="10"/>
        <v>1899</v>
      </c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65"/>
      <c r="C393" s="58"/>
      <c r="D393" s="65"/>
      <c r="E393" s="58"/>
      <c r="F393" s="67"/>
      <c r="G393" s="60"/>
      <c r="H393" s="68">
        <f>COUNTIFS(Minifigures!$C$22:$C$1137,D393)</f>
        <v>0</v>
      </c>
      <c r="I393" s="60"/>
      <c r="J393" s="79"/>
      <c r="K393" s="70"/>
      <c r="L393" s="71"/>
      <c r="M393" s="58"/>
      <c r="N393" s="72"/>
      <c r="O393" s="72"/>
      <c r="P393" s="63">
        <f t="shared" si="10"/>
        <v>1899</v>
      </c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65"/>
      <c r="C394" s="58"/>
      <c r="D394" s="65"/>
      <c r="E394" s="58"/>
      <c r="F394" s="67"/>
      <c r="G394" s="60"/>
      <c r="H394" s="68">
        <f>COUNTIFS(Minifigures!$C$22:$C$1137,D394)</f>
        <v>0</v>
      </c>
      <c r="I394" s="60"/>
      <c r="J394" s="79"/>
      <c r="K394" s="70"/>
      <c r="L394" s="71"/>
      <c r="M394" s="58"/>
      <c r="N394" s="72"/>
      <c r="O394" s="72"/>
      <c r="P394" s="63">
        <f t="shared" si="10"/>
        <v>1899</v>
      </c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65"/>
      <c r="C395" s="58"/>
      <c r="D395" s="65"/>
      <c r="E395" s="58"/>
      <c r="F395" s="67"/>
      <c r="G395" s="60"/>
      <c r="H395" s="68">
        <f>COUNTIFS(Minifigures!$C$22:$C$1137,D395)</f>
        <v>0</v>
      </c>
      <c r="I395" s="60"/>
      <c r="J395" s="79"/>
      <c r="K395" s="70"/>
      <c r="L395" s="71"/>
      <c r="M395" s="58"/>
      <c r="N395" s="72"/>
      <c r="O395" s="72"/>
      <c r="P395" s="63">
        <f t="shared" si="10"/>
        <v>1899</v>
      </c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65"/>
      <c r="C396" s="58"/>
      <c r="D396" s="65"/>
      <c r="E396" s="58"/>
      <c r="F396" s="67"/>
      <c r="G396" s="60"/>
      <c r="H396" s="68">
        <f>COUNTIFS(Minifigures!$C$22:$C$1137,D396)</f>
        <v>0</v>
      </c>
      <c r="I396" s="60"/>
      <c r="J396" s="79"/>
      <c r="K396" s="70"/>
      <c r="L396" s="71"/>
      <c r="M396" s="58"/>
      <c r="N396" s="72"/>
      <c r="O396" s="72"/>
      <c r="P396" s="63">
        <f t="shared" si="10"/>
        <v>1899</v>
      </c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65"/>
      <c r="C397" s="58"/>
      <c r="D397" s="65"/>
      <c r="E397" s="58"/>
      <c r="F397" s="67"/>
      <c r="G397" s="60"/>
      <c r="H397" s="68">
        <f>COUNTIFS(Minifigures!$C$22:$C$1137,D397)</f>
        <v>0</v>
      </c>
      <c r="I397" s="60"/>
      <c r="J397" s="79"/>
      <c r="K397" s="70"/>
      <c r="L397" s="71"/>
      <c r="M397" s="58"/>
      <c r="N397" s="72"/>
      <c r="O397" s="72"/>
      <c r="P397" s="63">
        <f t="shared" si="10"/>
        <v>1899</v>
      </c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65"/>
      <c r="C398" s="58"/>
      <c r="D398" s="65"/>
      <c r="E398" s="58"/>
      <c r="F398" s="67"/>
      <c r="G398" s="60"/>
      <c r="H398" s="68">
        <f>COUNTIFS(Minifigures!$C$22:$C$1137,D398)</f>
        <v>0</v>
      </c>
      <c r="I398" s="60"/>
      <c r="J398" s="79"/>
      <c r="K398" s="70"/>
      <c r="L398" s="71"/>
      <c r="M398" s="58"/>
      <c r="N398" s="72"/>
      <c r="O398" s="72"/>
      <c r="P398" s="63">
        <f t="shared" si="10"/>
        <v>1899</v>
      </c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65"/>
      <c r="C399" s="58"/>
      <c r="D399" s="65"/>
      <c r="E399" s="58"/>
      <c r="F399" s="67"/>
      <c r="G399" s="60"/>
      <c r="H399" s="68">
        <f>COUNTIFS(Minifigures!$C$22:$C$1137,D399)</f>
        <v>0</v>
      </c>
      <c r="I399" s="60"/>
      <c r="J399" s="79"/>
      <c r="K399" s="70"/>
      <c r="L399" s="71"/>
      <c r="M399" s="58"/>
      <c r="N399" s="72"/>
      <c r="O399" s="72"/>
      <c r="P399" s="63">
        <f t="shared" si="10"/>
        <v>1899</v>
      </c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65"/>
      <c r="C400" s="58"/>
      <c r="D400" s="65"/>
      <c r="E400" s="58"/>
      <c r="F400" s="67"/>
      <c r="G400" s="60"/>
      <c r="H400" s="68">
        <f>COUNTIFS(Minifigures!$C$22:$C$1137,D400)</f>
        <v>0</v>
      </c>
      <c r="I400" s="60"/>
      <c r="J400" s="79"/>
      <c r="K400" s="70"/>
      <c r="L400" s="71"/>
      <c r="M400" s="58"/>
      <c r="N400" s="72"/>
      <c r="O400" s="72"/>
      <c r="P400" s="63">
        <f t="shared" si="10"/>
        <v>1899</v>
      </c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65"/>
      <c r="C401" s="58"/>
      <c r="D401" s="65"/>
      <c r="E401" s="58"/>
      <c r="F401" s="67"/>
      <c r="G401" s="60"/>
      <c r="H401" s="68">
        <f>COUNTIFS(Minifigures!$C$22:$C$1137,D401)</f>
        <v>0</v>
      </c>
      <c r="I401" s="60"/>
      <c r="J401" s="79"/>
      <c r="K401" s="70"/>
      <c r="L401" s="71"/>
      <c r="M401" s="58"/>
      <c r="N401" s="72"/>
      <c r="O401" s="72"/>
      <c r="P401" s="63">
        <f t="shared" si="10"/>
        <v>1899</v>
      </c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65"/>
      <c r="C402" s="58"/>
      <c r="D402" s="65"/>
      <c r="E402" s="58"/>
      <c r="F402" s="67"/>
      <c r="G402" s="60"/>
      <c r="H402" s="68">
        <f>COUNTIFS(Minifigures!$C$22:$C$1137,D402)</f>
        <v>0</v>
      </c>
      <c r="I402" s="60"/>
      <c r="J402" s="79"/>
      <c r="K402" s="70"/>
      <c r="L402" s="71"/>
      <c r="M402" s="58"/>
      <c r="N402" s="72"/>
      <c r="O402" s="72"/>
      <c r="P402" s="63">
        <f t="shared" si="10"/>
        <v>1899</v>
      </c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65"/>
      <c r="C403" s="58"/>
      <c r="D403" s="65"/>
      <c r="E403" s="58"/>
      <c r="F403" s="67"/>
      <c r="G403" s="60"/>
      <c r="H403" s="68">
        <f>COUNTIFS(Minifigures!$C$22:$C$1137,D403)</f>
        <v>0</v>
      </c>
      <c r="I403" s="60"/>
      <c r="J403" s="79"/>
      <c r="K403" s="70"/>
      <c r="L403" s="71"/>
      <c r="M403" s="58"/>
      <c r="N403" s="72"/>
      <c r="O403" s="72"/>
      <c r="P403" s="63">
        <f t="shared" si="10"/>
        <v>1899</v>
      </c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65"/>
      <c r="C404" s="58"/>
      <c r="D404" s="65"/>
      <c r="E404" s="58"/>
      <c r="F404" s="67"/>
      <c r="G404" s="60"/>
      <c r="H404" s="68">
        <f>COUNTIFS(Minifigures!$C$22:$C$1137,D404)</f>
        <v>0</v>
      </c>
      <c r="I404" s="60"/>
      <c r="J404" s="79"/>
      <c r="K404" s="70"/>
      <c r="L404" s="71"/>
      <c r="M404" s="58"/>
      <c r="N404" s="72"/>
      <c r="O404" s="72"/>
      <c r="P404" s="63">
        <f t="shared" si="10"/>
        <v>1899</v>
      </c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65"/>
      <c r="C405" s="58"/>
      <c r="D405" s="65"/>
      <c r="E405" s="58"/>
      <c r="F405" s="67"/>
      <c r="G405" s="60"/>
      <c r="H405" s="68">
        <f>COUNTIFS(Minifigures!$C$22:$C$1137,D405)</f>
        <v>0</v>
      </c>
      <c r="I405" s="60"/>
      <c r="J405" s="79"/>
      <c r="K405" s="70"/>
      <c r="L405" s="71"/>
      <c r="M405" s="58"/>
      <c r="N405" s="72"/>
      <c r="O405" s="72"/>
      <c r="P405" s="63">
        <f t="shared" si="10"/>
        <v>1899</v>
      </c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65"/>
      <c r="C406" s="58"/>
      <c r="D406" s="65"/>
      <c r="E406" s="58"/>
      <c r="F406" s="67"/>
      <c r="G406" s="60"/>
      <c r="H406" s="68">
        <f>COUNTIFS(Minifigures!$C$22:$C$1137,D406)</f>
        <v>0</v>
      </c>
      <c r="I406" s="60"/>
      <c r="J406" s="79"/>
      <c r="K406" s="70"/>
      <c r="L406" s="71"/>
      <c r="M406" s="58"/>
      <c r="N406" s="72"/>
      <c r="O406" s="72"/>
      <c r="P406" s="63">
        <f t="shared" si="10"/>
        <v>1899</v>
      </c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65"/>
      <c r="C407" s="58"/>
      <c r="D407" s="65"/>
      <c r="E407" s="58"/>
      <c r="F407" s="67"/>
      <c r="G407" s="60"/>
      <c r="H407" s="68">
        <f>COUNTIFS(Minifigures!$C$22:$C$1137,D407)</f>
        <v>0</v>
      </c>
      <c r="I407" s="60"/>
      <c r="J407" s="79"/>
      <c r="K407" s="70"/>
      <c r="L407" s="71"/>
      <c r="M407" s="58"/>
      <c r="N407" s="72"/>
      <c r="O407" s="72"/>
      <c r="P407" s="63">
        <f t="shared" si="10"/>
        <v>1899</v>
      </c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65"/>
      <c r="C408" s="58"/>
      <c r="D408" s="65"/>
      <c r="E408" s="58"/>
      <c r="F408" s="67"/>
      <c r="G408" s="60"/>
      <c r="H408" s="68">
        <f>COUNTIFS(Minifigures!$C$22:$C$1137,D408)</f>
        <v>0</v>
      </c>
      <c r="I408" s="60"/>
      <c r="J408" s="79"/>
      <c r="K408" s="70"/>
      <c r="L408" s="71"/>
      <c r="M408" s="58"/>
      <c r="N408" s="72"/>
      <c r="O408" s="72"/>
      <c r="P408" s="63">
        <f t="shared" si="10"/>
        <v>1899</v>
      </c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65"/>
      <c r="C409" s="58"/>
      <c r="D409" s="65"/>
      <c r="E409" s="58"/>
      <c r="F409" s="67"/>
      <c r="G409" s="60"/>
      <c r="H409" s="68">
        <f>COUNTIFS(Minifigures!$C$22:$C$1137,D409)</f>
        <v>0</v>
      </c>
      <c r="I409" s="60"/>
      <c r="J409" s="79"/>
      <c r="K409" s="70"/>
      <c r="L409" s="71"/>
      <c r="M409" s="58"/>
      <c r="N409" s="72"/>
      <c r="O409" s="72"/>
      <c r="P409" s="63">
        <f t="shared" si="10"/>
        <v>1899</v>
      </c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65"/>
      <c r="C410" s="58"/>
      <c r="D410" s="65"/>
      <c r="E410" s="58"/>
      <c r="F410" s="67"/>
      <c r="G410" s="60"/>
      <c r="H410" s="68">
        <f>COUNTIFS(Minifigures!$C$22:$C$1137,D410)</f>
        <v>0</v>
      </c>
      <c r="I410" s="60"/>
      <c r="J410" s="79"/>
      <c r="K410" s="70"/>
      <c r="L410" s="71"/>
      <c r="M410" s="58"/>
      <c r="N410" s="72"/>
      <c r="O410" s="72"/>
      <c r="P410" s="63">
        <f t="shared" si="10"/>
        <v>1899</v>
      </c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65"/>
      <c r="C411" s="58"/>
      <c r="D411" s="65"/>
      <c r="E411" s="58"/>
      <c r="F411" s="67"/>
      <c r="G411" s="60"/>
      <c r="H411" s="68">
        <f>COUNTIFS(Minifigures!$C$22:$C$1137,D411)</f>
        <v>0</v>
      </c>
      <c r="I411" s="60"/>
      <c r="J411" s="79"/>
      <c r="K411" s="70"/>
      <c r="L411" s="71"/>
      <c r="M411" s="58"/>
      <c r="N411" s="72"/>
      <c r="O411" s="72"/>
      <c r="P411" s="63">
        <f t="shared" si="10"/>
        <v>1899</v>
      </c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65"/>
      <c r="C412" s="58"/>
      <c r="D412" s="65"/>
      <c r="E412" s="58"/>
      <c r="F412" s="67"/>
      <c r="G412" s="60"/>
      <c r="H412" s="68">
        <f>COUNTIFS(Minifigures!$C$22:$C$1137,D412)</f>
        <v>0</v>
      </c>
      <c r="I412" s="60"/>
      <c r="J412" s="79"/>
      <c r="K412" s="70"/>
      <c r="L412" s="71"/>
      <c r="M412" s="58"/>
      <c r="N412" s="72"/>
      <c r="O412" s="72"/>
      <c r="P412" s="63">
        <f t="shared" si="10"/>
        <v>1899</v>
      </c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65"/>
      <c r="C413" s="58"/>
      <c r="D413" s="65"/>
      <c r="E413" s="58"/>
      <c r="F413" s="67"/>
      <c r="G413" s="60"/>
      <c r="H413" s="68">
        <f>COUNTIFS(Minifigures!$C$22:$C$1137,D413)</f>
        <v>0</v>
      </c>
      <c r="I413" s="60"/>
      <c r="J413" s="79"/>
      <c r="K413" s="70"/>
      <c r="L413" s="71"/>
      <c r="M413" s="58"/>
      <c r="N413" s="72"/>
      <c r="O413" s="72"/>
      <c r="P413" s="63">
        <f t="shared" si="10"/>
        <v>1899</v>
      </c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65"/>
      <c r="C414" s="58"/>
      <c r="D414" s="65"/>
      <c r="E414" s="58"/>
      <c r="F414" s="67"/>
      <c r="G414" s="60"/>
      <c r="H414" s="68">
        <f>COUNTIFS(Minifigures!$C$22:$C$1137,D414)</f>
        <v>0</v>
      </c>
      <c r="I414" s="60"/>
      <c r="J414" s="79"/>
      <c r="K414" s="70"/>
      <c r="L414" s="71"/>
      <c r="M414" s="58"/>
      <c r="N414" s="72"/>
      <c r="O414" s="72"/>
      <c r="P414" s="63">
        <f t="shared" si="10"/>
        <v>1899</v>
      </c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65"/>
      <c r="C415" s="58"/>
      <c r="D415" s="65"/>
      <c r="E415" s="58"/>
      <c r="F415" s="67"/>
      <c r="G415" s="60"/>
      <c r="H415" s="68">
        <f>COUNTIFS(Minifigures!$C$22:$C$1137,D415)</f>
        <v>0</v>
      </c>
      <c r="I415" s="60"/>
      <c r="J415" s="79"/>
      <c r="K415" s="70"/>
      <c r="L415" s="71"/>
      <c r="M415" s="58"/>
      <c r="N415" s="72"/>
      <c r="O415" s="72"/>
      <c r="P415" s="63">
        <f t="shared" si="10"/>
        <v>1899</v>
      </c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65"/>
      <c r="C416" s="58"/>
      <c r="D416" s="65"/>
      <c r="E416" s="58"/>
      <c r="F416" s="67"/>
      <c r="G416" s="60"/>
      <c r="H416" s="68">
        <f>COUNTIFS(Minifigures!$C$22:$C$1137,D416)</f>
        <v>0</v>
      </c>
      <c r="I416" s="60"/>
      <c r="J416" s="79"/>
      <c r="K416" s="70"/>
      <c r="L416" s="71"/>
      <c r="M416" s="58"/>
      <c r="N416" s="72"/>
      <c r="O416" s="72"/>
      <c r="P416" s="63">
        <f t="shared" si="10"/>
        <v>1899</v>
      </c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65"/>
      <c r="C417" s="58"/>
      <c r="D417" s="65"/>
      <c r="E417" s="58"/>
      <c r="F417" s="67"/>
      <c r="G417" s="60"/>
      <c r="H417" s="68">
        <f>COUNTIFS(Minifigures!$C$22:$C$1137,D417)</f>
        <v>0</v>
      </c>
      <c r="I417" s="60"/>
      <c r="J417" s="79"/>
      <c r="K417" s="70"/>
      <c r="L417" s="71"/>
      <c r="M417" s="58"/>
      <c r="N417" s="72"/>
      <c r="O417" s="72"/>
      <c r="P417" s="63">
        <f t="shared" si="10"/>
        <v>1899</v>
      </c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65"/>
      <c r="C418" s="58"/>
      <c r="D418" s="65"/>
      <c r="E418" s="58"/>
      <c r="F418" s="67"/>
      <c r="G418" s="60"/>
      <c r="H418" s="68">
        <f>COUNTIFS(Minifigures!$C$22:$C$1137,D418)</f>
        <v>0</v>
      </c>
      <c r="I418" s="60"/>
      <c r="J418" s="79"/>
      <c r="K418" s="70"/>
      <c r="L418" s="71"/>
      <c r="M418" s="58"/>
      <c r="N418" s="72"/>
      <c r="O418" s="72"/>
      <c r="P418" s="63">
        <f t="shared" si="10"/>
        <v>1899</v>
      </c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65"/>
      <c r="C419" s="58"/>
      <c r="D419" s="65"/>
      <c r="E419" s="58"/>
      <c r="F419" s="67"/>
      <c r="G419" s="60"/>
      <c r="H419" s="68">
        <f>COUNTIFS(Minifigures!$C$22:$C$1137,D419)</f>
        <v>0</v>
      </c>
      <c r="I419" s="60"/>
      <c r="J419" s="79"/>
      <c r="K419" s="70"/>
      <c r="L419" s="71"/>
      <c r="M419" s="58"/>
      <c r="N419" s="72"/>
      <c r="O419" s="72"/>
      <c r="P419" s="63">
        <f t="shared" si="10"/>
        <v>1899</v>
      </c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65"/>
      <c r="C420" s="58"/>
      <c r="D420" s="65"/>
      <c r="E420" s="58"/>
      <c r="F420" s="67"/>
      <c r="G420" s="60"/>
      <c r="H420" s="68">
        <f>COUNTIFS(Minifigures!$C$22:$C$1137,D420)</f>
        <v>0</v>
      </c>
      <c r="I420" s="60"/>
      <c r="J420" s="79"/>
      <c r="K420" s="70"/>
      <c r="L420" s="71"/>
      <c r="M420" s="58"/>
      <c r="N420" s="72"/>
      <c r="O420" s="72"/>
      <c r="P420" s="63">
        <f t="shared" si="10"/>
        <v>1899</v>
      </c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65"/>
      <c r="C421" s="58"/>
      <c r="D421" s="65"/>
      <c r="E421" s="58"/>
      <c r="F421" s="67"/>
      <c r="G421" s="60"/>
      <c r="H421" s="68">
        <f>COUNTIFS(Minifigures!$C$22:$C$1137,D421)</f>
        <v>0</v>
      </c>
      <c r="I421" s="60"/>
      <c r="J421" s="79"/>
      <c r="K421" s="70"/>
      <c r="L421" s="71"/>
      <c r="M421" s="58"/>
      <c r="N421" s="72"/>
      <c r="O421" s="72"/>
      <c r="P421" s="63">
        <f t="shared" si="10"/>
        <v>1899</v>
      </c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65"/>
      <c r="C422" s="58"/>
      <c r="D422" s="65"/>
      <c r="E422" s="58"/>
      <c r="F422" s="67"/>
      <c r="G422" s="60"/>
      <c r="H422" s="68">
        <f>COUNTIFS(Minifigures!$C$22:$C$1137,D422)</f>
        <v>0</v>
      </c>
      <c r="I422" s="60"/>
      <c r="J422" s="79"/>
      <c r="K422" s="70"/>
      <c r="L422" s="71"/>
      <c r="M422" s="58"/>
      <c r="N422" s="72"/>
      <c r="O422" s="72"/>
      <c r="P422" s="63">
        <f t="shared" si="10"/>
        <v>1899</v>
      </c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65"/>
      <c r="C423" s="58"/>
      <c r="D423" s="65"/>
      <c r="E423" s="58"/>
      <c r="F423" s="67"/>
      <c r="G423" s="60"/>
      <c r="H423" s="68">
        <f>COUNTIFS(Minifigures!$C$22:$C$1137,D423)</f>
        <v>0</v>
      </c>
      <c r="I423" s="60"/>
      <c r="J423" s="79"/>
      <c r="K423" s="70"/>
      <c r="L423" s="71"/>
      <c r="M423" s="58"/>
      <c r="N423" s="72"/>
      <c r="O423" s="72"/>
      <c r="P423" s="63">
        <f t="shared" si="10"/>
        <v>1899</v>
      </c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65"/>
      <c r="C424" s="58"/>
      <c r="D424" s="65"/>
      <c r="E424" s="58"/>
      <c r="F424" s="67"/>
      <c r="G424" s="60"/>
      <c r="H424" s="68">
        <f>COUNTIFS(Minifigures!$C$22:$C$1137,D424)</f>
        <v>0</v>
      </c>
      <c r="I424" s="60"/>
      <c r="J424" s="79"/>
      <c r="K424" s="70"/>
      <c r="L424" s="71"/>
      <c r="M424" s="58"/>
      <c r="N424" s="72"/>
      <c r="O424" s="72"/>
      <c r="P424" s="63">
        <f t="shared" si="10"/>
        <v>1899</v>
      </c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65"/>
      <c r="C425" s="58"/>
      <c r="D425" s="65"/>
      <c r="E425" s="58"/>
      <c r="F425" s="67"/>
      <c r="G425" s="60"/>
      <c r="H425" s="68">
        <f>COUNTIFS(Minifigures!$C$22:$C$1137,D425)</f>
        <v>0</v>
      </c>
      <c r="I425" s="60"/>
      <c r="J425" s="79"/>
      <c r="K425" s="70"/>
      <c r="L425" s="71"/>
      <c r="M425" s="58"/>
      <c r="N425" s="72"/>
      <c r="O425" s="72"/>
      <c r="P425" s="63">
        <f t="shared" si="10"/>
        <v>1899</v>
      </c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65"/>
      <c r="C426" s="58"/>
      <c r="D426" s="65"/>
      <c r="E426" s="58"/>
      <c r="F426" s="67"/>
      <c r="G426" s="60"/>
      <c r="H426" s="68">
        <f>COUNTIFS(Minifigures!$C$22:$C$1137,D426)</f>
        <v>0</v>
      </c>
      <c r="I426" s="60"/>
      <c r="J426" s="79"/>
      <c r="K426" s="70"/>
      <c r="L426" s="71"/>
      <c r="M426" s="58"/>
      <c r="N426" s="72"/>
      <c r="O426" s="72"/>
      <c r="P426" s="63">
        <f t="shared" si="10"/>
        <v>1899</v>
      </c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65"/>
      <c r="C427" s="58"/>
      <c r="D427" s="65"/>
      <c r="E427" s="58"/>
      <c r="F427" s="67"/>
      <c r="G427" s="60"/>
      <c r="H427" s="68">
        <f>COUNTIFS(Minifigures!$C$22:$C$1137,D427)</f>
        <v>0</v>
      </c>
      <c r="I427" s="60"/>
      <c r="J427" s="79"/>
      <c r="K427" s="70"/>
      <c r="L427" s="71"/>
      <c r="M427" s="58"/>
      <c r="N427" s="72"/>
      <c r="O427" s="72"/>
      <c r="P427" s="63">
        <f t="shared" si="10"/>
        <v>1899</v>
      </c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65"/>
      <c r="C428" s="58"/>
      <c r="D428" s="65"/>
      <c r="E428" s="58"/>
      <c r="F428" s="67"/>
      <c r="G428" s="60"/>
      <c r="H428" s="68">
        <f>COUNTIFS(Minifigures!$C$22:$C$1137,D428)</f>
        <v>0</v>
      </c>
      <c r="I428" s="60"/>
      <c r="J428" s="79"/>
      <c r="K428" s="70"/>
      <c r="L428" s="71"/>
      <c r="M428" s="58"/>
      <c r="N428" s="72"/>
      <c r="O428" s="72"/>
      <c r="P428" s="63">
        <f t="shared" si="10"/>
        <v>1899</v>
      </c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65"/>
      <c r="C429" s="58"/>
      <c r="D429" s="65"/>
      <c r="E429" s="58"/>
      <c r="F429" s="67"/>
      <c r="G429" s="60"/>
      <c r="H429" s="68">
        <f>COUNTIFS(Minifigures!$C$22:$C$1137,D429)</f>
        <v>0</v>
      </c>
      <c r="I429" s="60"/>
      <c r="J429" s="79"/>
      <c r="K429" s="70"/>
      <c r="L429" s="71"/>
      <c r="M429" s="58"/>
      <c r="N429" s="72"/>
      <c r="O429" s="72"/>
      <c r="P429" s="63">
        <f t="shared" si="10"/>
        <v>1899</v>
      </c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65"/>
      <c r="C430" s="58"/>
      <c r="D430" s="65"/>
      <c r="E430" s="58"/>
      <c r="F430" s="67"/>
      <c r="G430" s="60"/>
      <c r="H430" s="68">
        <f>COUNTIFS(Minifigures!$C$22:$C$1137,D430)</f>
        <v>0</v>
      </c>
      <c r="I430" s="60"/>
      <c r="J430" s="79"/>
      <c r="K430" s="70"/>
      <c r="L430" s="71"/>
      <c r="M430" s="58"/>
      <c r="N430" s="72"/>
      <c r="O430" s="72"/>
      <c r="P430" s="63">
        <f t="shared" si="10"/>
        <v>1899</v>
      </c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65"/>
      <c r="C431" s="58"/>
      <c r="D431" s="65"/>
      <c r="E431" s="58"/>
      <c r="F431" s="67"/>
      <c r="G431" s="60"/>
      <c r="H431" s="68">
        <f>COUNTIFS(Minifigures!$C$22:$C$1137,D431)</f>
        <v>0</v>
      </c>
      <c r="I431" s="60"/>
      <c r="J431" s="79"/>
      <c r="K431" s="70"/>
      <c r="L431" s="71"/>
      <c r="M431" s="58"/>
      <c r="N431" s="72"/>
      <c r="O431" s="72"/>
      <c r="P431" s="63">
        <f t="shared" si="10"/>
        <v>1899</v>
      </c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65"/>
      <c r="C432" s="58"/>
      <c r="D432" s="65"/>
      <c r="E432" s="58"/>
      <c r="F432" s="67"/>
      <c r="G432" s="60"/>
      <c r="H432" s="68">
        <f>COUNTIFS(Minifigures!$C$22:$C$1137,D432)</f>
        <v>0</v>
      </c>
      <c r="I432" s="60"/>
      <c r="J432" s="79"/>
      <c r="K432" s="70"/>
      <c r="L432" s="71"/>
      <c r="M432" s="58"/>
      <c r="N432" s="72"/>
      <c r="O432" s="72"/>
      <c r="P432" s="63">
        <f t="shared" si="10"/>
        <v>1899</v>
      </c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65"/>
      <c r="C433" s="58"/>
      <c r="D433" s="65"/>
      <c r="E433" s="58"/>
      <c r="F433" s="67"/>
      <c r="G433" s="60"/>
      <c r="H433" s="68">
        <f>COUNTIFS(Minifigures!$C$22:$C$1137,D433)</f>
        <v>0</v>
      </c>
      <c r="I433" s="60"/>
      <c r="J433" s="79"/>
      <c r="K433" s="70"/>
      <c r="L433" s="71"/>
      <c r="M433" s="58"/>
      <c r="N433" s="72"/>
      <c r="O433" s="72"/>
      <c r="P433" s="63">
        <f t="shared" si="10"/>
        <v>1899</v>
      </c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65"/>
      <c r="C434" s="58"/>
      <c r="D434" s="65"/>
      <c r="E434" s="58"/>
      <c r="F434" s="67"/>
      <c r="G434" s="60"/>
      <c r="H434" s="68">
        <f>COUNTIFS(Minifigures!$C$22:$C$1137,D434)</f>
        <v>0</v>
      </c>
      <c r="I434" s="60"/>
      <c r="J434" s="79"/>
      <c r="K434" s="70"/>
      <c r="L434" s="71"/>
      <c r="M434" s="58"/>
      <c r="N434" s="72"/>
      <c r="O434" s="72"/>
      <c r="P434" s="63">
        <f t="shared" si="10"/>
        <v>1899</v>
      </c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65"/>
      <c r="C435" s="58"/>
      <c r="D435" s="65"/>
      <c r="E435" s="58"/>
      <c r="F435" s="67"/>
      <c r="G435" s="60"/>
      <c r="H435" s="68">
        <f>COUNTIFS(Minifigures!$C$22:$C$1137,D435)</f>
        <v>0</v>
      </c>
      <c r="I435" s="60"/>
      <c r="J435" s="79"/>
      <c r="K435" s="70"/>
      <c r="L435" s="71"/>
      <c r="M435" s="58"/>
      <c r="N435" s="72"/>
      <c r="O435" s="72"/>
      <c r="P435" s="63">
        <f t="shared" si="10"/>
        <v>1899</v>
      </c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65"/>
      <c r="C436" s="58"/>
      <c r="D436" s="65"/>
      <c r="E436" s="58"/>
      <c r="F436" s="67"/>
      <c r="G436" s="60"/>
      <c r="H436" s="68">
        <f>COUNTIFS(Minifigures!$C$22:$C$1137,D436)</f>
        <v>0</v>
      </c>
      <c r="I436" s="60"/>
      <c r="J436" s="79"/>
      <c r="K436" s="70"/>
      <c r="L436" s="71"/>
      <c r="M436" s="58"/>
      <c r="N436" s="72"/>
      <c r="O436" s="72"/>
      <c r="P436" s="63">
        <f t="shared" si="10"/>
        <v>1899</v>
      </c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65"/>
      <c r="C437" s="58"/>
      <c r="D437" s="65"/>
      <c r="E437" s="58"/>
      <c r="F437" s="67"/>
      <c r="G437" s="60"/>
      <c r="H437" s="68">
        <f>COUNTIFS(Minifigures!$C$22:$C$1137,D437)</f>
        <v>0</v>
      </c>
      <c r="I437" s="60"/>
      <c r="J437" s="79"/>
      <c r="K437" s="70"/>
      <c r="L437" s="71"/>
      <c r="M437" s="58"/>
      <c r="N437" s="72"/>
      <c r="O437" s="72"/>
      <c r="P437" s="63">
        <f t="shared" si="10"/>
        <v>1899</v>
      </c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65"/>
      <c r="C438" s="58"/>
      <c r="D438" s="65"/>
      <c r="E438" s="58"/>
      <c r="F438" s="67"/>
      <c r="G438" s="60"/>
      <c r="H438" s="68">
        <f>COUNTIFS(Minifigures!$C$22:$C$1137,D438)</f>
        <v>0</v>
      </c>
      <c r="I438" s="60"/>
      <c r="J438" s="79"/>
      <c r="K438" s="70"/>
      <c r="L438" s="71"/>
      <c r="M438" s="58"/>
      <c r="N438" s="72"/>
      <c r="O438" s="72"/>
      <c r="P438" s="63">
        <f t="shared" si="10"/>
        <v>1899</v>
      </c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65"/>
      <c r="C439" s="58"/>
      <c r="D439" s="65"/>
      <c r="E439" s="58"/>
      <c r="F439" s="67"/>
      <c r="G439" s="60"/>
      <c r="H439" s="68">
        <f>COUNTIFS(Minifigures!$C$22:$C$1137,D439)</f>
        <v>0</v>
      </c>
      <c r="I439" s="60"/>
      <c r="J439" s="79"/>
      <c r="K439" s="70"/>
      <c r="L439" s="71"/>
      <c r="M439" s="58"/>
      <c r="N439" s="72"/>
      <c r="O439" s="72"/>
      <c r="P439" s="63">
        <f t="shared" si="10"/>
        <v>1899</v>
      </c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65"/>
      <c r="C440" s="58"/>
      <c r="D440" s="65"/>
      <c r="E440" s="58"/>
      <c r="F440" s="67"/>
      <c r="G440" s="60"/>
      <c r="H440" s="68">
        <f>COUNTIFS(Minifigures!$C$22:$C$1137,D440)</f>
        <v>0</v>
      </c>
      <c r="I440" s="60"/>
      <c r="J440" s="79"/>
      <c r="K440" s="70"/>
      <c r="L440" s="71"/>
      <c r="M440" s="58"/>
      <c r="N440" s="72"/>
      <c r="O440" s="72"/>
      <c r="P440" s="63">
        <f t="shared" si="10"/>
        <v>1899</v>
      </c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65"/>
      <c r="C441" s="58"/>
      <c r="D441" s="65"/>
      <c r="E441" s="58"/>
      <c r="F441" s="67"/>
      <c r="G441" s="60"/>
      <c r="H441" s="68">
        <f>COUNTIFS(Minifigures!$C$22:$C$1137,D441)</f>
        <v>0</v>
      </c>
      <c r="I441" s="60"/>
      <c r="J441" s="79"/>
      <c r="K441" s="70"/>
      <c r="L441" s="71"/>
      <c r="M441" s="58"/>
      <c r="N441" s="72"/>
      <c r="O441" s="72"/>
      <c r="P441" s="63">
        <f t="shared" si="10"/>
        <v>1899</v>
      </c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65"/>
      <c r="C442" s="58"/>
      <c r="D442" s="65"/>
      <c r="E442" s="58"/>
      <c r="F442" s="67"/>
      <c r="G442" s="60"/>
      <c r="H442" s="68">
        <f>COUNTIFS(Minifigures!$C$22:$C$1137,D442)</f>
        <v>0</v>
      </c>
      <c r="I442" s="60"/>
      <c r="J442" s="79"/>
      <c r="K442" s="70"/>
      <c r="L442" s="71"/>
      <c r="M442" s="58"/>
      <c r="N442" s="72"/>
      <c r="O442" s="72"/>
      <c r="P442" s="63">
        <f t="shared" si="10"/>
        <v>1899</v>
      </c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65"/>
      <c r="C443" s="58"/>
      <c r="D443" s="65"/>
      <c r="E443" s="58"/>
      <c r="F443" s="67"/>
      <c r="G443" s="60"/>
      <c r="H443" s="68">
        <f>COUNTIFS(Minifigures!$C$22:$C$1137,D443)</f>
        <v>0</v>
      </c>
      <c r="I443" s="60"/>
      <c r="J443" s="79"/>
      <c r="K443" s="70"/>
      <c r="L443" s="71"/>
      <c r="M443" s="58"/>
      <c r="N443" s="72"/>
      <c r="O443" s="72"/>
      <c r="P443" s="63">
        <f t="shared" si="10"/>
        <v>1899</v>
      </c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65"/>
      <c r="C444" s="58"/>
      <c r="D444" s="65"/>
      <c r="E444" s="58"/>
      <c r="F444" s="67"/>
      <c r="G444" s="60"/>
      <c r="H444" s="68">
        <f>COUNTIFS(Minifigures!$C$22:$C$1137,D444)</f>
        <v>0</v>
      </c>
      <c r="I444" s="60"/>
      <c r="J444" s="79"/>
      <c r="K444" s="70"/>
      <c r="L444" s="71"/>
      <c r="M444" s="58"/>
      <c r="N444" s="72"/>
      <c r="O444" s="72"/>
      <c r="P444" s="63">
        <f t="shared" si="10"/>
        <v>1899</v>
      </c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65"/>
      <c r="C445" s="58"/>
      <c r="D445" s="65"/>
      <c r="E445" s="58"/>
      <c r="F445" s="67"/>
      <c r="G445" s="60"/>
      <c r="H445" s="68">
        <f>COUNTIFS(Minifigures!$C$22:$C$1137,D445)</f>
        <v>0</v>
      </c>
      <c r="I445" s="60"/>
      <c r="J445" s="79"/>
      <c r="K445" s="70"/>
      <c r="L445" s="71"/>
      <c r="M445" s="58"/>
      <c r="N445" s="72"/>
      <c r="O445" s="72"/>
      <c r="P445" s="63">
        <f t="shared" si="10"/>
        <v>1899</v>
      </c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65"/>
      <c r="C446" s="58"/>
      <c r="D446" s="65"/>
      <c r="E446" s="58"/>
      <c r="F446" s="67"/>
      <c r="G446" s="60"/>
      <c r="H446" s="68">
        <f>COUNTIFS(Minifigures!$C$22:$C$1137,D446)</f>
        <v>0</v>
      </c>
      <c r="I446" s="60"/>
      <c r="J446" s="79"/>
      <c r="K446" s="70"/>
      <c r="L446" s="71"/>
      <c r="M446" s="58"/>
      <c r="N446" s="72"/>
      <c r="O446" s="72"/>
      <c r="P446" s="63">
        <f t="shared" si="10"/>
        <v>1899</v>
      </c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65"/>
      <c r="C447" s="58"/>
      <c r="D447" s="65"/>
      <c r="E447" s="58"/>
      <c r="F447" s="67"/>
      <c r="G447" s="60"/>
      <c r="H447" s="68">
        <f>COUNTIFS(Minifigures!$C$22:$C$1137,D447)</f>
        <v>0</v>
      </c>
      <c r="I447" s="60"/>
      <c r="J447" s="79"/>
      <c r="K447" s="70"/>
      <c r="L447" s="71"/>
      <c r="M447" s="58"/>
      <c r="N447" s="72"/>
      <c r="O447" s="72"/>
      <c r="P447" s="63">
        <f t="shared" si="10"/>
        <v>1899</v>
      </c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65"/>
      <c r="C448" s="58"/>
      <c r="D448" s="65"/>
      <c r="E448" s="58"/>
      <c r="F448" s="67"/>
      <c r="G448" s="60"/>
      <c r="H448" s="68">
        <f>COUNTIFS(Minifigures!$C$22:$C$1137,D448)</f>
        <v>0</v>
      </c>
      <c r="I448" s="60"/>
      <c r="J448" s="79"/>
      <c r="K448" s="70"/>
      <c r="L448" s="71"/>
      <c r="M448" s="58"/>
      <c r="N448" s="72"/>
      <c r="O448" s="72"/>
      <c r="P448" s="63">
        <f t="shared" si="10"/>
        <v>1899</v>
      </c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65"/>
      <c r="C449" s="58"/>
      <c r="D449" s="65"/>
      <c r="E449" s="58"/>
      <c r="F449" s="67"/>
      <c r="G449" s="60"/>
      <c r="H449" s="68">
        <f>COUNTIFS(Minifigures!$C$22:$C$1137,D449)</f>
        <v>0</v>
      </c>
      <c r="I449" s="60"/>
      <c r="J449" s="79"/>
      <c r="K449" s="70"/>
      <c r="L449" s="71"/>
      <c r="M449" s="58"/>
      <c r="N449" s="72"/>
      <c r="O449" s="72"/>
      <c r="P449" s="63">
        <f t="shared" si="10"/>
        <v>1899</v>
      </c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65"/>
      <c r="C450" s="58"/>
      <c r="D450" s="65"/>
      <c r="E450" s="58"/>
      <c r="F450" s="67"/>
      <c r="G450" s="60"/>
      <c r="H450" s="68">
        <f>COUNTIFS(Minifigures!$C$22:$C$1137,D450)</f>
        <v>0</v>
      </c>
      <c r="I450" s="60"/>
      <c r="J450" s="79"/>
      <c r="K450" s="70"/>
      <c r="L450" s="71"/>
      <c r="M450" s="58"/>
      <c r="N450" s="72"/>
      <c r="O450" s="72"/>
      <c r="P450" s="63">
        <f t="shared" si="10"/>
        <v>1899</v>
      </c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65"/>
      <c r="C451" s="58"/>
      <c r="D451" s="65"/>
      <c r="E451" s="58"/>
      <c r="F451" s="67"/>
      <c r="G451" s="60"/>
      <c r="H451" s="68">
        <f>COUNTIFS(Minifigures!$C$22:$C$1137,D451)</f>
        <v>0</v>
      </c>
      <c r="I451" s="60"/>
      <c r="J451" s="79"/>
      <c r="K451" s="70"/>
      <c r="L451" s="71"/>
      <c r="M451" s="58"/>
      <c r="N451" s="72"/>
      <c r="O451" s="72"/>
      <c r="P451" s="63">
        <f t="shared" si="10"/>
        <v>1899</v>
      </c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65"/>
      <c r="C452" s="58"/>
      <c r="D452" s="65"/>
      <c r="E452" s="58"/>
      <c r="F452" s="67"/>
      <c r="G452" s="60"/>
      <c r="H452" s="68">
        <f>COUNTIFS(Minifigures!$C$22:$C$1137,D452)</f>
        <v>0</v>
      </c>
      <c r="I452" s="60"/>
      <c r="J452" s="79"/>
      <c r="K452" s="70"/>
      <c r="L452" s="71"/>
      <c r="M452" s="58"/>
      <c r="N452" s="72"/>
      <c r="O452" s="72"/>
      <c r="P452" s="63">
        <f t="shared" si="10"/>
        <v>1899</v>
      </c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65"/>
      <c r="C453" s="58"/>
      <c r="D453" s="65"/>
      <c r="E453" s="58"/>
      <c r="F453" s="67"/>
      <c r="G453" s="60"/>
      <c r="H453" s="68">
        <f>COUNTIFS(Minifigures!$C$22:$C$1137,D453)</f>
        <v>0</v>
      </c>
      <c r="I453" s="60"/>
      <c r="J453" s="79"/>
      <c r="K453" s="70"/>
      <c r="L453" s="71"/>
      <c r="M453" s="58"/>
      <c r="N453" s="72"/>
      <c r="O453" s="72"/>
      <c r="P453" s="63">
        <f t="shared" si="10"/>
        <v>1899</v>
      </c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65"/>
      <c r="C454" s="58"/>
      <c r="D454" s="65"/>
      <c r="E454" s="58"/>
      <c r="F454" s="67"/>
      <c r="G454" s="60"/>
      <c r="H454" s="68">
        <f>COUNTIFS(Minifigures!$C$22:$C$1137,D454)</f>
        <v>0</v>
      </c>
      <c r="I454" s="60"/>
      <c r="J454" s="79"/>
      <c r="K454" s="70"/>
      <c r="L454" s="71"/>
      <c r="M454" s="58"/>
      <c r="N454" s="72"/>
      <c r="O454" s="72"/>
      <c r="P454" s="63">
        <f t="shared" si="10"/>
        <v>1899</v>
      </c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65"/>
      <c r="C455" s="58"/>
      <c r="D455" s="65"/>
      <c r="E455" s="58"/>
      <c r="F455" s="67"/>
      <c r="G455" s="60"/>
      <c r="H455" s="68">
        <f>COUNTIFS(Minifigures!$C$22:$C$1137,D455)</f>
        <v>0</v>
      </c>
      <c r="I455" s="60"/>
      <c r="J455" s="79"/>
      <c r="K455" s="70"/>
      <c r="L455" s="71"/>
      <c r="M455" s="58"/>
      <c r="N455" s="72"/>
      <c r="O455" s="72"/>
      <c r="P455" s="63">
        <f t="shared" si="10"/>
        <v>1899</v>
      </c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65"/>
      <c r="C456" s="58"/>
      <c r="D456" s="65"/>
      <c r="E456" s="58"/>
      <c r="F456" s="67"/>
      <c r="G456" s="60"/>
      <c r="H456" s="68">
        <f>COUNTIFS(Minifigures!$C$22:$C$1137,D456)</f>
        <v>0</v>
      </c>
      <c r="I456" s="60"/>
      <c r="J456" s="79"/>
      <c r="K456" s="70"/>
      <c r="L456" s="71"/>
      <c r="M456" s="58"/>
      <c r="N456" s="72"/>
      <c r="O456" s="72"/>
      <c r="P456" s="63">
        <f t="shared" si="10"/>
        <v>1899</v>
      </c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65"/>
      <c r="C457" s="58"/>
      <c r="D457" s="65"/>
      <c r="E457" s="58"/>
      <c r="F457" s="67"/>
      <c r="G457" s="60"/>
      <c r="H457" s="68">
        <f>COUNTIFS(Minifigures!$C$22:$C$1137,D457)</f>
        <v>0</v>
      </c>
      <c r="I457" s="60"/>
      <c r="J457" s="79"/>
      <c r="K457" s="70"/>
      <c r="L457" s="71"/>
      <c r="M457" s="58"/>
      <c r="N457" s="72"/>
      <c r="O457" s="72"/>
      <c r="P457" s="63">
        <f t="shared" si="10"/>
        <v>1899</v>
      </c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65"/>
      <c r="C458" s="58"/>
      <c r="D458" s="65"/>
      <c r="E458" s="58"/>
      <c r="F458" s="67"/>
      <c r="G458" s="60"/>
      <c r="H458" s="68">
        <f>COUNTIFS(Minifigures!$C$22:$C$1137,D458)</f>
        <v>0</v>
      </c>
      <c r="I458" s="60"/>
      <c r="J458" s="79"/>
      <c r="K458" s="70"/>
      <c r="L458" s="71"/>
      <c r="M458" s="58"/>
      <c r="N458" s="72"/>
      <c r="O458" s="72"/>
      <c r="P458" s="63">
        <f t="shared" si="10"/>
        <v>1899</v>
      </c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65"/>
      <c r="C459" s="58"/>
      <c r="D459" s="65"/>
      <c r="E459" s="58"/>
      <c r="F459" s="67"/>
      <c r="G459" s="60"/>
      <c r="H459" s="68">
        <f>COUNTIFS(Minifigures!$C$22:$C$1137,D459)</f>
        <v>0</v>
      </c>
      <c r="I459" s="60"/>
      <c r="J459" s="79"/>
      <c r="K459" s="70"/>
      <c r="L459" s="71"/>
      <c r="M459" s="58"/>
      <c r="N459" s="72"/>
      <c r="O459" s="72"/>
      <c r="P459" s="63">
        <f t="shared" si="10"/>
        <v>1899</v>
      </c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65"/>
      <c r="C460" s="58"/>
      <c r="D460" s="65"/>
      <c r="E460" s="58"/>
      <c r="F460" s="67"/>
      <c r="G460" s="60"/>
      <c r="H460" s="68">
        <f>COUNTIFS(Minifigures!$C$22:$C$1137,D460)</f>
        <v>0</v>
      </c>
      <c r="I460" s="60"/>
      <c r="J460" s="79"/>
      <c r="K460" s="70"/>
      <c r="L460" s="71"/>
      <c r="M460" s="58"/>
      <c r="N460" s="72"/>
      <c r="O460" s="72"/>
      <c r="P460" s="63">
        <f t="shared" si="10"/>
        <v>1899</v>
      </c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65"/>
      <c r="C461" s="58"/>
      <c r="D461" s="65"/>
      <c r="E461" s="58"/>
      <c r="F461" s="67"/>
      <c r="G461" s="60"/>
      <c r="H461" s="68">
        <f>COUNTIFS(Minifigures!$C$22:$C$1137,D461)</f>
        <v>0</v>
      </c>
      <c r="I461" s="60"/>
      <c r="J461" s="79"/>
      <c r="K461" s="70"/>
      <c r="L461" s="71"/>
      <c r="M461" s="58"/>
      <c r="N461" s="72"/>
      <c r="O461" s="72"/>
      <c r="P461" s="63">
        <f t="shared" si="10"/>
        <v>1899</v>
      </c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65"/>
      <c r="C462" s="58"/>
      <c r="D462" s="65"/>
      <c r="E462" s="58"/>
      <c r="F462" s="67"/>
      <c r="G462" s="60"/>
      <c r="H462" s="68">
        <f>COUNTIFS(Minifigures!$C$22:$C$1137,D462)</f>
        <v>0</v>
      </c>
      <c r="I462" s="60"/>
      <c r="J462" s="79"/>
      <c r="K462" s="70"/>
      <c r="L462" s="71"/>
      <c r="M462" s="58"/>
      <c r="N462" s="72"/>
      <c r="O462" s="72"/>
      <c r="P462" s="63">
        <f t="shared" si="10"/>
        <v>1899</v>
      </c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65"/>
      <c r="C463" s="58"/>
      <c r="D463" s="65"/>
      <c r="E463" s="58"/>
      <c r="F463" s="67"/>
      <c r="G463" s="60"/>
      <c r="H463" s="68">
        <f>COUNTIFS(Minifigures!$C$22:$C$1137,D463)</f>
        <v>0</v>
      </c>
      <c r="I463" s="60"/>
      <c r="J463" s="79"/>
      <c r="K463" s="70"/>
      <c r="L463" s="71"/>
      <c r="M463" s="58"/>
      <c r="N463" s="72"/>
      <c r="O463" s="72"/>
      <c r="P463" s="63">
        <f t="shared" si="10"/>
        <v>1899</v>
      </c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65"/>
      <c r="C464" s="58"/>
      <c r="D464" s="65"/>
      <c r="E464" s="58"/>
      <c r="F464" s="67"/>
      <c r="G464" s="60"/>
      <c r="H464" s="68">
        <f>COUNTIFS(Minifigures!$C$22:$C$1137,D464)</f>
        <v>0</v>
      </c>
      <c r="I464" s="60"/>
      <c r="J464" s="79"/>
      <c r="K464" s="70"/>
      <c r="L464" s="71"/>
      <c r="M464" s="58"/>
      <c r="N464" s="72"/>
      <c r="O464" s="72"/>
      <c r="P464" s="63">
        <f t="shared" si="10"/>
        <v>1899</v>
      </c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65"/>
      <c r="C465" s="58"/>
      <c r="D465" s="65"/>
      <c r="E465" s="58"/>
      <c r="F465" s="67"/>
      <c r="G465" s="60"/>
      <c r="H465" s="68">
        <f>COUNTIFS(Minifigures!$C$22:$C$1137,D465)</f>
        <v>0</v>
      </c>
      <c r="I465" s="60"/>
      <c r="J465" s="79"/>
      <c r="K465" s="70"/>
      <c r="L465" s="71"/>
      <c r="M465" s="58"/>
      <c r="N465" s="72"/>
      <c r="O465" s="72"/>
      <c r="P465" s="63">
        <f t="shared" si="10"/>
        <v>1899</v>
      </c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65"/>
      <c r="C466" s="58"/>
      <c r="D466" s="65"/>
      <c r="E466" s="58"/>
      <c r="F466" s="67"/>
      <c r="G466" s="60"/>
      <c r="H466" s="68">
        <f>COUNTIFS(Minifigures!$C$22:$C$1137,D466)</f>
        <v>0</v>
      </c>
      <c r="I466" s="60"/>
      <c r="J466" s="79"/>
      <c r="K466" s="70"/>
      <c r="L466" s="71"/>
      <c r="M466" s="58"/>
      <c r="N466" s="72"/>
      <c r="O466" s="72"/>
      <c r="P466" s="63">
        <f t="shared" si="10"/>
        <v>1899</v>
      </c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65"/>
      <c r="C467" s="58"/>
      <c r="D467" s="65"/>
      <c r="E467" s="58"/>
      <c r="F467" s="67"/>
      <c r="G467" s="60"/>
      <c r="H467" s="68">
        <f>COUNTIFS(Minifigures!$C$22:$C$1137,D467)</f>
        <v>0</v>
      </c>
      <c r="I467" s="60"/>
      <c r="J467" s="79"/>
      <c r="K467" s="70"/>
      <c r="L467" s="71"/>
      <c r="M467" s="58"/>
      <c r="N467" s="72"/>
      <c r="O467" s="72"/>
      <c r="P467" s="63">
        <f t="shared" si="10"/>
        <v>1899</v>
      </c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65"/>
      <c r="C468" s="58"/>
      <c r="D468" s="65"/>
      <c r="E468" s="58"/>
      <c r="F468" s="67"/>
      <c r="G468" s="60"/>
      <c r="H468" s="68">
        <f>COUNTIFS(Minifigures!$C$22:$C$1137,D468)</f>
        <v>0</v>
      </c>
      <c r="I468" s="60"/>
      <c r="J468" s="79"/>
      <c r="K468" s="70"/>
      <c r="L468" s="71"/>
      <c r="M468" s="58"/>
      <c r="N468" s="72"/>
      <c r="O468" s="72"/>
      <c r="P468" s="63">
        <f t="shared" si="10"/>
        <v>1899</v>
      </c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65"/>
      <c r="C469" s="58"/>
      <c r="D469" s="65"/>
      <c r="E469" s="58"/>
      <c r="F469" s="67"/>
      <c r="G469" s="60"/>
      <c r="H469" s="68">
        <f>COUNTIFS(Minifigures!$C$22:$C$1137,D469)</f>
        <v>0</v>
      </c>
      <c r="I469" s="60"/>
      <c r="J469" s="79"/>
      <c r="K469" s="70"/>
      <c r="L469" s="71"/>
      <c r="M469" s="58"/>
      <c r="N469" s="72"/>
      <c r="O469" s="72"/>
      <c r="P469" s="63">
        <f t="shared" si="10"/>
        <v>1899</v>
      </c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65"/>
      <c r="C470" s="58"/>
      <c r="D470" s="65"/>
      <c r="E470" s="58"/>
      <c r="F470" s="67"/>
      <c r="G470" s="60"/>
      <c r="H470" s="68">
        <f>COUNTIFS(Minifigures!$C$22:$C$1137,D470)</f>
        <v>0</v>
      </c>
      <c r="I470" s="60"/>
      <c r="J470" s="79"/>
      <c r="K470" s="70"/>
      <c r="L470" s="71"/>
      <c r="M470" s="58"/>
      <c r="N470" s="72"/>
      <c r="O470" s="72"/>
      <c r="P470" s="63">
        <f t="shared" si="10"/>
        <v>1899</v>
      </c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65"/>
      <c r="C471" s="58"/>
      <c r="D471" s="65"/>
      <c r="E471" s="58"/>
      <c r="F471" s="67"/>
      <c r="G471" s="60"/>
      <c r="H471" s="68">
        <f>COUNTIFS(Minifigures!$C$22:$C$1137,D471)</f>
        <v>0</v>
      </c>
      <c r="I471" s="60"/>
      <c r="J471" s="79"/>
      <c r="K471" s="70"/>
      <c r="L471" s="71"/>
      <c r="M471" s="58"/>
      <c r="N471" s="72"/>
      <c r="O471" s="72"/>
      <c r="P471" s="63">
        <f t="shared" si="10"/>
        <v>1899</v>
      </c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65"/>
      <c r="C472" s="58"/>
      <c r="D472" s="65"/>
      <c r="E472" s="58"/>
      <c r="F472" s="67"/>
      <c r="G472" s="60"/>
      <c r="H472" s="68">
        <f>COUNTIFS(Minifigures!$C$22:$C$1137,D472)</f>
        <v>0</v>
      </c>
      <c r="I472" s="60"/>
      <c r="J472" s="79"/>
      <c r="K472" s="70"/>
      <c r="L472" s="71"/>
      <c r="M472" s="58"/>
      <c r="N472" s="72"/>
      <c r="O472" s="72"/>
      <c r="P472" s="63">
        <f t="shared" si="10"/>
        <v>1899</v>
      </c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65"/>
      <c r="C473" s="58"/>
      <c r="D473" s="65"/>
      <c r="E473" s="58"/>
      <c r="F473" s="67"/>
      <c r="G473" s="60"/>
      <c r="H473" s="68">
        <f>COUNTIFS(Minifigures!$C$22:$C$1137,D473)</f>
        <v>0</v>
      </c>
      <c r="I473" s="60"/>
      <c r="J473" s="79"/>
      <c r="K473" s="70"/>
      <c r="L473" s="71"/>
      <c r="M473" s="58"/>
      <c r="N473" s="72"/>
      <c r="O473" s="72"/>
      <c r="P473" s="63">
        <f t="shared" si="10"/>
        <v>1899</v>
      </c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65"/>
      <c r="C474" s="58"/>
      <c r="D474" s="65"/>
      <c r="E474" s="58"/>
      <c r="F474" s="67"/>
      <c r="G474" s="60"/>
      <c r="H474" s="68">
        <f>COUNTIFS(Minifigures!$C$22:$C$1137,D474)</f>
        <v>0</v>
      </c>
      <c r="I474" s="60"/>
      <c r="J474" s="79"/>
      <c r="K474" s="70"/>
      <c r="L474" s="71"/>
      <c r="M474" s="58"/>
      <c r="N474" s="72"/>
      <c r="O474" s="72"/>
      <c r="P474" s="63">
        <f t="shared" si="10"/>
        <v>1899</v>
      </c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65"/>
      <c r="C475" s="58"/>
      <c r="D475" s="65"/>
      <c r="E475" s="58"/>
      <c r="F475" s="67"/>
      <c r="G475" s="60"/>
      <c r="H475" s="68">
        <f>COUNTIFS(Minifigures!$C$22:$C$1137,D475)</f>
        <v>0</v>
      </c>
      <c r="I475" s="60"/>
      <c r="J475" s="79"/>
      <c r="K475" s="70"/>
      <c r="L475" s="71"/>
      <c r="M475" s="58"/>
      <c r="N475" s="72"/>
      <c r="O475" s="72"/>
      <c r="P475" s="63">
        <f t="shared" si="10"/>
        <v>1899</v>
      </c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65"/>
      <c r="C476" s="58"/>
      <c r="D476" s="65"/>
      <c r="E476" s="58"/>
      <c r="F476" s="67"/>
      <c r="G476" s="60"/>
      <c r="H476" s="68">
        <f>COUNTIFS(Minifigures!$C$22:$C$1137,D476)</f>
        <v>0</v>
      </c>
      <c r="I476" s="60"/>
      <c r="J476" s="79"/>
      <c r="K476" s="70"/>
      <c r="L476" s="71"/>
      <c r="M476" s="58"/>
      <c r="N476" s="72"/>
      <c r="O476" s="72"/>
      <c r="P476" s="63">
        <f t="shared" si="10"/>
        <v>1899</v>
      </c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65"/>
      <c r="C477" s="58"/>
      <c r="D477" s="65"/>
      <c r="E477" s="58"/>
      <c r="F477" s="67"/>
      <c r="G477" s="60"/>
      <c r="H477" s="68">
        <f>COUNTIFS(Minifigures!$C$22:$C$1137,D477)</f>
        <v>0</v>
      </c>
      <c r="I477" s="60"/>
      <c r="J477" s="79"/>
      <c r="K477" s="70"/>
      <c r="L477" s="71"/>
      <c r="M477" s="58"/>
      <c r="N477" s="72"/>
      <c r="O477" s="72"/>
      <c r="P477" s="63">
        <f t="shared" si="10"/>
        <v>1899</v>
      </c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65"/>
      <c r="C478" s="58"/>
      <c r="D478" s="65"/>
      <c r="E478" s="58"/>
      <c r="F478" s="67"/>
      <c r="G478" s="60"/>
      <c r="H478" s="68">
        <f>COUNTIFS(Minifigures!$C$22:$C$1137,D478)</f>
        <v>0</v>
      </c>
      <c r="I478" s="60"/>
      <c r="J478" s="79"/>
      <c r="K478" s="70"/>
      <c r="L478" s="71"/>
      <c r="M478" s="58"/>
      <c r="N478" s="72"/>
      <c r="O478" s="72"/>
      <c r="P478" s="63">
        <f t="shared" si="10"/>
        <v>1899</v>
      </c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65"/>
      <c r="C479" s="58"/>
      <c r="D479" s="65"/>
      <c r="E479" s="58"/>
      <c r="F479" s="67"/>
      <c r="G479" s="60"/>
      <c r="H479" s="68">
        <f>COUNTIFS(Minifigures!$C$22:$C$1137,D479)</f>
        <v>0</v>
      </c>
      <c r="I479" s="60"/>
      <c r="J479" s="79"/>
      <c r="K479" s="70"/>
      <c r="L479" s="71"/>
      <c r="M479" s="58"/>
      <c r="N479" s="72"/>
      <c r="O479" s="72"/>
      <c r="P479" s="63">
        <f t="shared" si="10"/>
        <v>1899</v>
      </c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65"/>
      <c r="C480" s="58"/>
      <c r="D480" s="65"/>
      <c r="E480" s="58"/>
      <c r="F480" s="67"/>
      <c r="G480" s="60"/>
      <c r="H480" s="68">
        <f>COUNTIFS(Minifigures!$C$22:$C$1137,D480)</f>
        <v>0</v>
      </c>
      <c r="I480" s="60"/>
      <c r="J480" s="79"/>
      <c r="K480" s="70"/>
      <c r="L480" s="71"/>
      <c r="M480" s="58"/>
      <c r="N480" s="72"/>
      <c r="O480" s="72"/>
      <c r="P480" s="63">
        <f t="shared" si="10"/>
        <v>1899</v>
      </c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65"/>
      <c r="C481" s="58"/>
      <c r="D481" s="65"/>
      <c r="E481" s="58"/>
      <c r="F481" s="67"/>
      <c r="G481" s="60"/>
      <c r="H481" s="68">
        <f>COUNTIFS(Minifigures!$C$22:$C$1137,D481)</f>
        <v>0</v>
      </c>
      <c r="I481" s="60"/>
      <c r="J481" s="79"/>
      <c r="K481" s="70"/>
      <c r="L481" s="71"/>
      <c r="M481" s="58"/>
      <c r="N481" s="72"/>
      <c r="O481" s="72"/>
      <c r="P481" s="63">
        <f t="shared" si="10"/>
        <v>1899</v>
      </c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65"/>
      <c r="C482" s="58"/>
      <c r="D482" s="65"/>
      <c r="E482" s="58"/>
      <c r="F482" s="67"/>
      <c r="G482" s="60"/>
      <c r="H482" s="68">
        <f>COUNTIFS(Minifigures!$C$22:$C$1137,D482)</f>
        <v>0</v>
      </c>
      <c r="I482" s="60"/>
      <c r="J482" s="79"/>
      <c r="K482" s="70"/>
      <c r="L482" s="71"/>
      <c r="M482" s="58"/>
      <c r="N482" s="72"/>
      <c r="O482" s="72"/>
      <c r="P482" s="63">
        <f t="shared" si="10"/>
        <v>1899</v>
      </c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65"/>
      <c r="C483" s="58"/>
      <c r="D483" s="65"/>
      <c r="E483" s="58"/>
      <c r="F483" s="67"/>
      <c r="G483" s="60"/>
      <c r="H483" s="68">
        <f>COUNTIFS(Minifigures!$C$22:$C$1137,D483)</f>
        <v>0</v>
      </c>
      <c r="I483" s="60"/>
      <c r="J483" s="79"/>
      <c r="K483" s="70"/>
      <c r="L483" s="71"/>
      <c r="M483" s="58"/>
      <c r="N483" s="72"/>
      <c r="O483" s="72"/>
      <c r="P483" s="63">
        <f t="shared" si="10"/>
        <v>1899</v>
      </c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65"/>
      <c r="C484" s="58"/>
      <c r="D484" s="65"/>
      <c r="E484" s="58"/>
      <c r="F484" s="67"/>
      <c r="G484" s="60"/>
      <c r="H484" s="68">
        <f>COUNTIFS(Minifigures!$C$22:$C$1137,D484)</f>
        <v>0</v>
      </c>
      <c r="I484" s="60"/>
      <c r="J484" s="79"/>
      <c r="K484" s="70"/>
      <c r="L484" s="71"/>
      <c r="M484" s="58"/>
      <c r="N484" s="72"/>
      <c r="O484" s="72"/>
      <c r="P484" s="63">
        <f t="shared" si="10"/>
        <v>1899</v>
      </c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65"/>
      <c r="C485" s="58"/>
      <c r="D485" s="65"/>
      <c r="E485" s="58"/>
      <c r="F485" s="67"/>
      <c r="G485" s="60"/>
      <c r="H485" s="68">
        <f>COUNTIFS(Minifigures!$C$22:$C$1137,D485)</f>
        <v>0</v>
      </c>
      <c r="I485" s="60"/>
      <c r="J485" s="79"/>
      <c r="K485" s="70"/>
      <c r="L485" s="71"/>
      <c r="M485" s="58"/>
      <c r="N485" s="72"/>
      <c r="O485" s="72"/>
      <c r="P485" s="63">
        <f t="shared" si="10"/>
        <v>1899</v>
      </c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65"/>
      <c r="C486" s="58"/>
      <c r="D486" s="65"/>
      <c r="E486" s="58"/>
      <c r="F486" s="67"/>
      <c r="G486" s="60"/>
      <c r="H486" s="68">
        <f>COUNTIFS(Minifigures!$C$22:$C$1137,D486)</f>
        <v>0</v>
      </c>
      <c r="I486" s="60"/>
      <c r="J486" s="79"/>
      <c r="K486" s="70"/>
      <c r="L486" s="71"/>
      <c r="M486" s="58"/>
      <c r="N486" s="72"/>
      <c r="O486" s="72"/>
      <c r="P486" s="63">
        <f t="shared" si="10"/>
        <v>1899</v>
      </c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65"/>
      <c r="C487" s="58"/>
      <c r="D487" s="65"/>
      <c r="E487" s="58"/>
      <c r="F487" s="67"/>
      <c r="G487" s="60"/>
      <c r="H487" s="68">
        <f>COUNTIFS(Minifigures!$C$22:$C$1137,D487)</f>
        <v>0</v>
      </c>
      <c r="I487" s="60"/>
      <c r="J487" s="79"/>
      <c r="K487" s="70"/>
      <c r="L487" s="71"/>
      <c r="M487" s="58"/>
      <c r="N487" s="72"/>
      <c r="O487" s="72"/>
      <c r="P487" s="63">
        <f t="shared" si="10"/>
        <v>1899</v>
      </c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65"/>
      <c r="C488" s="58"/>
      <c r="D488" s="65"/>
      <c r="E488" s="58"/>
      <c r="F488" s="67"/>
      <c r="G488" s="60"/>
      <c r="H488" s="68">
        <f>COUNTIFS(Minifigures!$C$22:$C$1137,D488)</f>
        <v>0</v>
      </c>
      <c r="I488" s="60"/>
      <c r="J488" s="79"/>
      <c r="K488" s="70"/>
      <c r="L488" s="71"/>
      <c r="M488" s="58"/>
      <c r="N488" s="72"/>
      <c r="O488" s="72"/>
      <c r="P488" s="63">
        <f t="shared" si="10"/>
        <v>1899</v>
      </c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65"/>
      <c r="C489" s="58"/>
      <c r="D489" s="65"/>
      <c r="E489" s="58"/>
      <c r="F489" s="67"/>
      <c r="G489" s="60"/>
      <c r="H489" s="68">
        <f>COUNTIFS(Minifigures!$C$22:$C$1137,D489)</f>
        <v>0</v>
      </c>
      <c r="I489" s="60"/>
      <c r="J489" s="79"/>
      <c r="K489" s="70"/>
      <c r="L489" s="71"/>
      <c r="M489" s="58"/>
      <c r="N489" s="72"/>
      <c r="O489" s="72"/>
      <c r="P489" s="63">
        <f t="shared" si="10"/>
        <v>1899</v>
      </c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65"/>
      <c r="C490" s="58"/>
      <c r="D490" s="65"/>
      <c r="E490" s="58"/>
      <c r="F490" s="67"/>
      <c r="G490" s="60"/>
      <c r="H490" s="68">
        <f>COUNTIFS(Minifigures!$C$22:$C$1137,D490)</f>
        <v>0</v>
      </c>
      <c r="I490" s="60"/>
      <c r="J490" s="79"/>
      <c r="K490" s="70"/>
      <c r="L490" s="71"/>
      <c r="M490" s="58"/>
      <c r="N490" s="72"/>
      <c r="O490" s="72"/>
      <c r="P490" s="63">
        <f t="shared" si="10"/>
        <v>1899</v>
      </c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65"/>
      <c r="C491" s="58"/>
      <c r="D491" s="65"/>
      <c r="E491" s="58"/>
      <c r="F491" s="67"/>
      <c r="G491" s="60"/>
      <c r="H491" s="68">
        <f>COUNTIFS(Minifigures!$C$22:$C$1137,D491)</f>
        <v>0</v>
      </c>
      <c r="I491" s="60"/>
      <c r="J491" s="79"/>
      <c r="K491" s="70"/>
      <c r="L491" s="71"/>
      <c r="M491" s="58"/>
      <c r="N491" s="72"/>
      <c r="O491" s="72"/>
      <c r="P491" s="63">
        <f t="shared" si="10"/>
        <v>1899</v>
      </c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65"/>
      <c r="C492" s="58"/>
      <c r="D492" s="65"/>
      <c r="E492" s="58"/>
      <c r="F492" s="67"/>
      <c r="G492" s="60"/>
      <c r="H492" s="68">
        <f>COUNTIFS(Minifigures!$C$22:$C$1137,D492)</f>
        <v>0</v>
      </c>
      <c r="I492" s="60"/>
      <c r="J492" s="79"/>
      <c r="K492" s="70"/>
      <c r="L492" s="71"/>
      <c r="M492" s="58"/>
      <c r="N492" s="72"/>
      <c r="O492" s="72"/>
      <c r="P492" s="63">
        <f t="shared" si="10"/>
        <v>1899</v>
      </c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65"/>
      <c r="C493" s="58"/>
      <c r="D493" s="65"/>
      <c r="E493" s="58"/>
      <c r="F493" s="67"/>
      <c r="G493" s="60"/>
      <c r="H493" s="68">
        <f>COUNTIFS(Minifigures!$C$22:$C$1137,D493)</f>
        <v>0</v>
      </c>
      <c r="I493" s="60"/>
      <c r="J493" s="79"/>
      <c r="K493" s="70"/>
      <c r="L493" s="71"/>
      <c r="M493" s="58"/>
      <c r="N493" s="72"/>
      <c r="O493" s="72"/>
      <c r="P493" s="63">
        <f t="shared" si="10"/>
        <v>1899</v>
      </c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65"/>
      <c r="C494" s="58"/>
      <c r="D494" s="65"/>
      <c r="E494" s="58"/>
      <c r="F494" s="67"/>
      <c r="G494" s="60"/>
      <c r="H494" s="68">
        <f>COUNTIFS(Minifigures!$C$22:$C$1137,D494)</f>
        <v>0</v>
      </c>
      <c r="I494" s="60"/>
      <c r="J494" s="79"/>
      <c r="K494" s="70"/>
      <c r="L494" s="71"/>
      <c r="M494" s="58"/>
      <c r="N494" s="72"/>
      <c r="O494" s="72"/>
      <c r="P494" s="63">
        <f t="shared" si="10"/>
        <v>1899</v>
      </c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65"/>
      <c r="C495" s="58"/>
      <c r="D495" s="65"/>
      <c r="E495" s="58"/>
      <c r="F495" s="67"/>
      <c r="G495" s="60"/>
      <c r="H495" s="68">
        <f>COUNTIFS(Minifigures!$C$22:$C$1137,D495)</f>
        <v>0</v>
      </c>
      <c r="I495" s="60"/>
      <c r="J495" s="79"/>
      <c r="K495" s="70"/>
      <c r="L495" s="71"/>
      <c r="M495" s="58"/>
      <c r="N495" s="72"/>
      <c r="O495" s="72"/>
      <c r="P495" s="63">
        <f t="shared" si="10"/>
        <v>1899</v>
      </c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65"/>
      <c r="C496" s="58"/>
      <c r="D496" s="65"/>
      <c r="E496" s="58"/>
      <c r="F496" s="67"/>
      <c r="G496" s="60"/>
      <c r="H496" s="68">
        <f>COUNTIFS(Minifigures!$C$22:$C$1137,D496)</f>
        <v>0</v>
      </c>
      <c r="I496" s="60"/>
      <c r="J496" s="79"/>
      <c r="K496" s="70"/>
      <c r="L496" s="71"/>
      <c r="M496" s="58"/>
      <c r="N496" s="72"/>
      <c r="O496" s="72"/>
      <c r="P496" s="63">
        <f t="shared" si="10"/>
        <v>1899</v>
      </c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65"/>
      <c r="C497" s="58"/>
      <c r="D497" s="65"/>
      <c r="E497" s="58"/>
      <c r="F497" s="67"/>
      <c r="G497" s="60"/>
      <c r="H497" s="68">
        <f>COUNTIFS(Minifigures!$C$22:$C$1137,D497)</f>
        <v>0</v>
      </c>
      <c r="I497" s="60"/>
      <c r="J497" s="79"/>
      <c r="K497" s="70"/>
      <c r="L497" s="71"/>
      <c r="M497" s="58"/>
      <c r="N497" s="72"/>
      <c r="O497" s="72"/>
      <c r="P497" s="63">
        <f t="shared" si="10"/>
        <v>1899</v>
      </c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65"/>
      <c r="C498" s="58"/>
      <c r="D498" s="65"/>
      <c r="E498" s="58"/>
      <c r="F498" s="67"/>
      <c r="G498" s="60"/>
      <c r="H498" s="68">
        <f>COUNTIFS(Minifigures!$C$22:$C$1137,D498)</f>
        <v>0</v>
      </c>
      <c r="I498" s="60"/>
      <c r="J498" s="79"/>
      <c r="K498" s="70"/>
      <c r="L498" s="71"/>
      <c r="M498" s="58"/>
      <c r="N498" s="72"/>
      <c r="O498" s="72"/>
      <c r="P498" s="63">
        <f t="shared" si="10"/>
        <v>1899</v>
      </c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65"/>
      <c r="C499" s="58"/>
      <c r="D499" s="65"/>
      <c r="E499" s="58"/>
      <c r="F499" s="67"/>
      <c r="G499" s="60"/>
      <c r="H499" s="68">
        <f>COUNTIFS(Minifigures!$C$22:$C$1137,D499)</f>
        <v>0</v>
      </c>
      <c r="I499" s="60"/>
      <c r="J499" s="79"/>
      <c r="K499" s="70"/>
      <c r="L499" s="71"/>
      <c r="M499" s="58"/>
      <c r="N499" s="72"/>
      <c r="O499" s="72"/>
      <c r="P499" s="63">
        <f t="shared" si="10"/>
        <v>1899</v>
      </c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65"/>
      <c r="C500" s="58"/>
      <c r="D500" s="65"/>
      <c r="E500" s="58"/>
      <c r="F500" s="67"/>
      <c r="G500" s="60"/>
      <c r="H500" s="68">
        <f>COUNTIFS(Minifigures!$C$22:$C$1137,D500)</f>
        <v>0</v>
      </c>
      <c r="I500" s="60"/>
      <c r="J500" s="79"/>
      <c r="K500" s="70"/>
      <c r="L500" s="71"/>
      <c r="M500" s="58"/>
      <c r="N500" s="72"/>
      <c r="O500" s="72"/>
      <c r="P500" s="63">
        <f t="shared" si="10"/>
        <v>1899</v>
      </c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65"/>
      <c r="C501" s="58"/>
      <c r="D501" s="65"/>
      <c r="E501" s="58"/>
      <c r="F501" s="67"/>
      <c r="G501" s="60"/>
      <c r="H501" s="68">
        <f>COUNTIFS(Minifigures!$C$22:$C$1137,D501)</f>
        <v>0</v>
      </c>
      <c r="I501" s="60"/>
      <c r="J501" s="79"/>
      <c r="K501" s="70"/>
      <c r="L501" s="71"/>
      <c r="M501" s="58"/>
      <c r="N501" s="72"/>
      <c r="O501" s="72"/>
      <c r="P501" s="63">
        <f t="shared" si="10"/>
        <v>1899</v>
      </c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65"/>
      <c r="C502" s="58"/>
      <c r="D502" s="65"/>
      <c r="E502" s="58"/>
      <c r="F502" s="67"/>
      <c r="G502" s="60"/>
      <c r="H502" s="68">
        <f>COUNTIFS(Minifigures!$C$22:$C$1137,D502)</f>
        <v>0</v>
      </c>
      <c r="I502" s="60"/>
      <c r="J502" s="79"/>
      <c r="K502" s="70"/>
      <c r="L502" s="71"/>
      <c r="M502" s="58"/>
      <c r="N502" s="72"/>
      <c r="O502" s="72"/>
      <c r="P502" s="63">
        <f t="shared" si="10"/>
        <v>1899</v>
      </c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65"/>
      <c r="C503" s="58"/>
      <c r="D503" s="65"/>
      <c r="E503" s="58"/>
      <c r="F503" s="67"/>
      <c r="G503" s="60"/>
      <c r="H503" s="68">
        <f>COUNTIFS(Minifigures!$C$22:$C$1137,D503)</f>
        <v>0</v>
      </c>
      <c r="I503" s="60"/>
      <c r="J503" s="79"/>
      <c r="K503" s="70"/>
      <c r="L503" s="71"/>
      <c r="M503" s="58"/>
      <c r="N503" s="72"/>
      <c r="O503" s="72"/>
      <c r="P503" s="63">
        <f t="shared" si="10"/>
        <v>1899</v>
      </c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65"/>
      <c r="C504" s="58"/>
      <c r="D504" s="65"/>
      <c r="E504" s="58"/>
      <c r="F504" s="67"/>
      <c r="G504" s="60"/>
      <c r="H504" s="68">
        <f>COUNTIFS(Minifigures!$C$22:$C$1137,D504)</f>
        <v>0</v>
      </c>
      <c r="I504" s="60"/>
      <c r="J504" s="79"/>
      <c r="K504" s="70"/>
      <c r="L504" s="71"/>
      <c r="M504" s="58"/>
      <c r="N504" s="72"/>
      <c r="O504" s="72"/>
      <c r="P504" s="63">
        <f t="shared" si="10"/>
        <v>1899</v>
      </c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65"/>
      <c r="C505" s="58"/>
      <c r="D505" s="65"/>
      <c r="E505" s="58"/>
      <c r="F505" s="67"/>
      <c r="G505" s="60"/>
      <c r="H505" s="68">
        <f>COUNTIFS(Minifigures!$C$22:$C$1137,D505)</f>
        <v>0</v>
      </c>
      <c r="I505" s="60"/>
      <c r="J505" s="79"/>
      <c r="K505" s="70"/>
      <c r="L505" s="71"/>
      <c r="M505" s="58"/>
      <c r="N505" s="72"/>
      <c r="O505" s="72"/>
      <c r="P505" s="63">
        <f t="shared" si="10"/>
        <v>1899</v>
      </c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65"/>
      <c r="C506" s="58"/>
      <c r="D506" s="65"/>
      <c r="E506" s="58"/>
      <c r="F506" s="67"/>
      <c r="G506" s="60"/>
      <c r="H506" s="68">
        <f>COUNTIFS(Minifigures!$C$22:$C$1137,D506)</f>
        <v>0</v>
      </c>
      <c r="I506" s="60"/>
      <c r="J506" s="79"/>
      <c r="K506" s="70"/>
      <c r="L506" s="71"/>
      <c r="M506" s="58"/>
      <c r="N506" s="72"/>
      <c r="O506" s="72"/>
      <c r="P506" s="63">
        <f t="shared" si="10"/>
        <v>1899</v>
      </c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65"/>
      <c r="C507" s="58"/>
      <c r="D507" s="65"/>
      <c r="E507" s="58"/>
      <c r="F507" s="67"/>
      <c r="G507" s="60"/>
      <c r="H507" s="68">
        <f>COUNTIFS(Minifigures!$C$22:$C$1137,D507)</f>
        <v>0</v>
      </c>
      <c r="I507" s="60"/>
      <c r="J507" s="79"/>
      <c r="K507" s="70"/>
      <c r="L507" s="71"/>
      <c r="M507" s="58"/>
      <c r="N507" s="72"/>
      <c r="O507" s="72"/>
      <c r="P507" s="63">
        <f t="shared" si="10"/>
        <v>1899</v>
      </c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65"/>
      <c r="C508" s="58"/>
      <c r="D508" s="65"/>
      <c r="E508" s="58"/>
      <c r="F508" s="67"/>
      <c r="G508" s="60"/>
      <c r="H508" s="68">
        <f>COUNTIFS(Minifigures!$C$22:$C$1137,D508)</f>
        <v>0</v>
      </c>
      <c r="I508" s="60"/>
      <c r="J508" s="79"/>
      <c r="K508" s="70"/>
      <c r="L508" s="71"/>
      <c r="M508" s="58"/>
      <c r="N508" s="72"/>
      <c r="O508" s="72"/>
      <c r="P508" s="63">
        <f t="shared" si="10"/>
        <v>1899</v>
      </c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65"/>
      <c r="C509" s="58"/>
      <c r="D509" s="65"/>
      <c r="E509" s="58"/>
      <c r="F509" s="67"/>
      <c r="G509" s="60"/>
      <c r="H509" s="68">
        <f>COUNTIFS(Minifigures!$C$22:$C$1137,D509)</f>
        <v>0</v>
      </c>
      <c r="I509" s="60"/>
      <c r="J509" s="79"/>
      <c r="K509" s="70"/>
      <c r="L509" s="71"/>
      <c r="M509" s="58"/>
      <c r="N509" s="72"/>
      <c r="O509" s="72"/>
      <c r="P509" s="63">
        <f t="shared" si="10"/>
        <v>1899</v>
      </c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65"/>
      <c r="C510" s="58"/>
      <c r="D510" s="65"/>
      <c r="E510" s="58"/>
      <c r="F510" s="67"/>
      <c r="G510" s="60"/>
      <c r="H510" s="68">
        <f>COUNTIFS(Minifigures!$C$22:$C$1137,D510)</f>
        <v>0</v>
      </c>
      <c r="I510" s="60"/>
      <c r="J510" s="79"/>
      <c r="K510" s="70"/>
      <c r="L510" s="71"/>
      <c r="M510" s="58"/>
      <c r="N510" s="72"/>
      <c r="O510" s="72"/>
      <c r="P510" s="63">
        <f t="shared" si="10"/>
        <v>1899</v>
      </c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65"/>
      <c r="C511" s="58"/>
      <c r="D511" s="65"/>
      <c r="E511" s="58"/>
      <c r="F511" s="67"/>
      <c r="G511" s="60"/>
      <c r="H511" s="68">
        <f>COUNTIFS(Minifigures!$C$22:$C$1137,D511)</f>
        <v>0</v>
      </c>
      <c r="I511" s="60"/>
      <c r="J511" s="79"/>
      <c r="K511" s="70"/>
      <c r="L511" s="71"/>
      <c r="M511" s="58"/>
      <c r="N511" s="72"/>
      <c r="O511" s="72"/>
      <c r="P511" s="63">
        <f t="shared" si="10"/>
        <v>1899</v>
      </c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65"/>
      <c r="C512" s="58"/>
      <c r="D512" s="65"/>
      <c r="E512" s="58"/>
      <c r="F512" s="67"/>
      <c r="G512" s="60"/>
      <c r="H512" s="68">
        <f>COUNTIFS(Minifigures!$C$22:$C$1137,D512)</f>
        <v>0</v>
      </c>
      <c r="I512" s="60"/>
      <c r="J512" s="79"/>
      <c r="K512" s="70"/>
      <c r="L512" s="71"/>
      <c r="M512" s="58"/>
      <c r="N512" s="72"/>
      <c r="O512" s="72"/>
      <c r="P512" s="63">
        <f t="shared" si="10"/>
        <v>1899</v>
      </c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65"/>
      <c r="C513" s="58"/>
      <c r="D513" s="65"/>
      <c r="E513" s="58"/>
      <c r="F513" s="67"/>
      <c r="G513" s="60"/>
      <c r="H513" s="68">
        <f>COUNTIFS(Minifigures!$C$22:$C$1137,D513)</f>
        <v>0</v>
      </c>
      <c r="I513" s="60"/>
      <c r="J513" s="79"/>
      <c r="K513" s="70"/>
      <c r="L513" s="71"/>
      <c r="M513" s="58"/>
      <c r="N513" s="72"/>
      <c r="O513" s="72"/>
      <c r="P513" s="63">
        <f t="shared" si="10"/>
        <v>1899</v>
      </c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65"/>
      <c r="C514" s="58"/>
      <c r="D514" s="65"/>
      <c r="E514" s="58"/>
      <c r="F514" s="67"/>
      <c r="G514" s="60"/>
      <c r="H514" s="68">
        <f>COUNTIFS(Minifigures!$C$22:$C$1137,D514)</f>
        <v>0</v>
      </c>
      <c r="I514" s="60"/>
      <c r="J514" s="79"/>
      <c r="K514" s="70"/>
      <c r="L514" s="71"/>
      <c r="M514" s="58"/>
      <c r="N514" s="72"/>
      <c r="O514" s="72"/>
      <c r="P514" s="63">
        <f t="shared" si="10"/>
        <v>1899</v>
      </c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65"/>
      <c r="C515" s="58"/>
      <c r="D515" s="65"/>
      <c r="E515" s="58"/>
      <c r="F515" s="67"/>
      <c r="G515" s="60"/>
      <c r="H515" s="68">
        <f>COUNTIFS(Minifigures!$C$22:$C$1137,D515)</f>
        <v>0</v>
      </c>
      <c r="I515" s="60"/>
      <c r="J515" s="79"/>
      <c r="K515" s="70"/>
      <c r="L515" s="71"/>
      <c r="M515" s="58"/>
      <c r="N515" s="72"/>
      <c r="O515" s="72"/>
      <c r="P515" s="63">
        <f t="shared" si="10"/>
        <v>1899</v>
      </c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65"/>
      <c r="C516" s="58"/>
      <c r="D516" s="65"/>
      <c r="E516" s="58"/>
      <c r="F516" s="67"/>
      <c r="G516" s="60"/>
      <c r="H516" s="68">
        <f>COUNTIFS(Minifigures!$C$22:$C$1137,D516)</f>
        <v>0</v>
      </c>
      <c r="I516" s="60"/>
      <c r="J516" s="79"/>
      <c r="K516" s="70"/>
      <c r="L516" s="71"/>
      <c r="M516" s="58"/>
      <c r="N516" s="72"/>
      <c r="O516" s="72"/>
      <c r="P516" s="63">
        <f t="shared" si="10"/>
        <v>1899</v>
      </c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65"/>
      <c r="C517" s="58"/>
      <c r="D517" s="65"/>
      <c r="E517" s="58"/>
      <c r="F517" s="67"/>
      <c r="G517" s="60"/>
      <c r="H517" s="68">
        <f>COUNTIFS(Minifigures!$C$22:$C$1137,D517)</f>
        <v>0</v>
      </c>
      <c r="I517" s="60"/>
      <c r="J517" s="79"/>
      <c r="K517" s="70"/>
      <c r="L517" s="71"/>
      <c r="M517" s="58"/>
      <c r="N517" s="72"/>
      <c r="O517" s="72"/>
      <c r="P517" s="63">
        <f t="shared" si="10"/>
        <v>1899</v>
      </c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65"/>
      <c r="C518" s="58"/>
      <c r="D518" s="65"/>
      <c r="E518" s="58"/>
      <c r="F518" s="67"/>
      <c r="G518" s="60"/>
      <c r="H518" s="68">
        <f>COUNTIFS(Minifigures!$C$22:$C$1137,D518)</f>
        <v>0</v>
      </c>
      <c r="I518" s="60"/>
      <c r="J518" s="79"/>
      <c r="K518" s="70"/>
      <c r="L518" s="71"/>
      <c r="M518" s="58"/>
      <c r="N518" s="72"/>
      <c r="O518" s="72"/>
      <c r="P518" s="63">
        <f t="shared" si="10"/>
        <v>1899</v>
      </c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65"/>
      <c r="C519" s="58"/>
      <c r="D519" s="65"/>
      <c r="E519" s="58"/>
      <c r="F519" s="67"/>
      <c r="G519" s="60"/>
      <c r="H519" s="68">
        <f>COUNTIFS(Minifigures!$C$22:$C$1137,D519)</f>
        <v>0</v>
      </c>
      <c r="I519" s="60"/>
      <c r="J519" s="79"/>
      <c r="K519" s="70"/>
      <c r="L519" s="71"/>
      <c r="M519" s="58"/>
      <c r="N519" s="72"/>
      <c r="O519" s="72"/>
      <c r="P519" s="63">
        <f t="shared" si="10"/>
        <v>1899</v>
      </c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65"/>
      <c r="C520" s="58"/>
      <c r="D520" s="65"/>
      <c r="E520" s="58"/>
      <c r="F520" s="67"/>
      <c r="G520" s="60"/>
      <c r="H520" s="68">
        <f>COUNTIFS(Minifigures!$C$22:$C$1137,D520)</f>
        <v>0</v>
      </c>
      <c r="I520" s="60"/>
      <c r="J520" s="79"/>
      <c r="K520" s="70"/>
      <c r="L520" s="71"/>
      <c r="M520" s="58"/>
      <c r="N520" s="72"/>
      <c r="O520" s="72"/>
      <c r="P520" s="63">
        <f t="shared" si="10"/>
        <v>1899</v>
      </c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65"/>
      <c r="C521" s="58"/>
      <c r="D521" s="65"/>
      <c r="E521" s="58"/>
      <c r="F521" s="67"/>
      <c r="G521" s="60"/>
      <c r="H521" s="68">
        <f>COUNTIFS(Minifigures!$C$22:$C$1137,D521)</f>
        <v>0</v>
      </c>
      <c r="I521" s="60"/>
      <c r="J521" s="79"/>
      <c r="K521" s="70"/>
      <c r="L521" s="71"/>
      <c r="M521" s="58"/>
      <c r="N521" s="72"/>
      <c r="O521" s="72"/>
      <c r="P521" s="63">
        <f t="shared" si="10"/>
        <v>1899</v>
      </c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65"/>
      <c r="C522" s="58"/>
      <c r="D522" s="65"/>
      <c r="E522" s="58"/>
      <c r="F522" s="67"/>
      <c r="G522" s="60"/>
      <c r="H522" s="68">
        <f>COUNTIFS(Minifigures!$C$22:$C$1137,D522)</f>
        <v>0</v>
      </c>
      <c r="I522" s="60"/>
      <c r="J522" s="79"/>
      <c r="K522" s="70"/>
      <c r="L522" s="71"/>
      <c r="M522" s="58"/>
      <c r="N522" s="72"/>
      <c r="O522" s="72"/>
      <c r="P522" s="63">
        <f t="shared" si="10"/>
        <v>1899</v>
      </c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65"/>
      <c r="C523" s="58"/>
      <c r="D523" s="65"/>
      <c r="E523" s="58"/>
      <c r="F523" s="67"/>
      <c r="G523" s="60"/>
      <c r="H523" s="68">
        <f>COUNTIFS(Minifigures!$C$22:$C$1137,D523)</f>
        <v>0</v>
      </c>
      <c r="I523" s="60"/>
      <c r="J523" s="79"/>
      <c r="K523" s="70"/>
      <c r="L523" s="71"/>
      <c r="M523" s="58"/>
      <c r="N523" s="72"/>
      <c r="O523" s="72"/>
      <c r="P523" s="63">
        <f t="shared" si="10"/>
        <v>1899</v>
      </c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65"/>
      <c r="C524" s="58"/>
      <c r="D524" s="65"/>
      <c r="E524" s="58"/>
      <c r="F524" s="67"/>
      <c r="G524" s="60"/>
      <c r="H524" s="68">
        <f>COUNTIFS(Minifigures!$C$22:$C$1137,D524)</f>
        <v>0</v>
      </c>
      <c r="I524" s="60"/>
      <c r="J524" s="79"/>
      <c r="K524" s="70"/>
      <c r="L524" s="71"/>
      <c r="M524" s="58"/>
      <c r="N524" s="72"/>
      <c r="O524" s="72"/>
      <c r="P524" s="63">
        <f t="shared" si="10"/>
        <v>1899</v>
      </c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65"/>
      <c r="C525" s="58"/>
      <c r="D525" s="65"/>
      <c r="E525" s="58"/>
      <c r="F525" s="67"/>
      <c r="G525" s="60"/>
      <c r="H525" s="68">
        <f>COUNTIFS(Minifigures!$C$22:$C$1137,D525)</f>
        <v>0</v>
      </c>
      <c r="I525" s="60"/>
      <c r="J525" s="79"/>
      <c r="K525" s="70"/>
      <c r="L525" s="71"/>
      <c r="M525" s="58"/>
      <c r="N525" s="72"/>
      <c r="O525" s="72"/>
      <c r="P525" s="63">
        <f t="shared" si="10"/>
        <v>1899</v>
      </c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65"/>
      <c r="C526" s="58"/>
      <c r="D526" s="65"/>
      <c r="E526" s="58"/>
      <c r="F526" s="67"/>
      <c r="G526" s="60"/>
      <c r="H526" s="68">
        <f>COUNTIFS(Minifigures!$C$22:$C$1137,D526)</f>
        <v>0</v>
      </c>
      <c r="I526" s="60"/>
      <c r="J526" s="79"/>
      <c r="K526" s="70"/>
      <c r="L526" s="71"/>
      <c r="M526" s="58"/>
      <c r="N526" s="72"/>
      <c r="O526" s="72"/>
      <c r="P526" s="63">
        <f t="shared" si="10"/>
        <v>1899</v>
      </c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65"/>
      <c r="C527" s="58"/>
      <c r="D527" s="65"/>
      <c r="E527" s="58"/>
      <c r="F527" s="67"/>
      <c r="G527" s="60"/>
      <c r="H527" s="68">
        <f>COUNTIFS(Minifigures!$C$22:$C$1137,D527)</f>
        <v>0</v>
      </c>
      <c r="I527" s="60"/>
      <c r="J527" s="79"/>
      <c r="K527" s="70"/>
      <c r="L527" s="71"/>
      <c r="M527" s="58"/>
      <c r="N527" s="72"/>
      <c r="O527" s="72"/>
      <c r="P527" s="63">
        <f t="shared" si="10"/>
        <v>1899</v>
      </c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65"/>
      <c r="C528" s="58"/>
      <c r="D528" s="65"/>
      <c r="E528" s="58"/>
      <c r="F528" s="67"/>
      <c r="G528" s="60"/>
      <c r="H528" s="68">
        <f>COUNTIFS(Minifigures!$C$22:$C$1137,D528)</f>
        <v>0</v>
      </c>
      <c r="I528" s="60"/>
      <c r="J528" s="79"/>
      <c r="K528" s="70"/>
      <c r="L528" s="71"/>
      <c r="M528" s="58"/>
      <c r="N528" s="72"/>
      <c r="O528" s="72"/>
      <c r="P528" s="63">
        <f t="shared" si="10"/>
        <v>1899</v>
      </c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65"/>
      <c r="C529" s="58"/>
      <c r="D529" s="65"/>
      <c r="E529" s="58"/>
      <c r="F529" s="67"/>
      <c r="G529" s="60"/>
      <c r="H529" s="68">
        <f>COUNTIFS(Minifigures!$C$22:$C$1137,D529)</f>
        <v>0</v>
      </c>
      <c r="I529" s="60"/>
      <c r="J529" s="79"/>
      <c r="K529" s="70"/>
      <c r="L529" s="71"/>
      <c r="M529" s="58"/>
      <c r="N529" s="72"/>
      <c r="O529" s="72"/>
      <c r="P529" s="63">
        <f t="shared" si="10"/>
        <v>1899</v>
      </c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65"/>
      <c r="C530" s="58"/>
      <c r="D530" s="65"/>
      <c r="E530" s="58"/>
      <c r="F530" s="67"/>
      <c r="G530" s="60"/>
      <c r="H530" s="68">
        <f>COUNTIFS(Minifigures!$C$22:$C$1137,D530)</f>
        <v>0</v>
      </c>
      <c r="I530" s="60"/>
      <c r="J530" s="79"/>
      <c r="K530" s="70"/>
      <c r="L530" s="71"/>
      <c r="M530" s="58"/>
      <c r="N530" s="72"/>
      <c r="O530" s="72"/>
      <c r="P530" s="63">
        <f t="shared" si="10"/>
        <v>1899</v>
      </c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65"/>
      <c r="C531" s="58"/>
      <c r="D531" s="65"/>
      <c r="E531" s="58"/>
      <c r="F531" s="67"/>
      <c r="G531" s="60"/>
      <c r="H531" s="68">
        <f>COUNTIFS(Minifigures!$C$22:$C$1137,D531)</f>
        <v>0</v>
      </c>
      <c r="I531" s="60"/>
      <c r="J531" s="79"/>
      <c r="K531" s="70"/>
      <c r="L531" s="71"/>
      <c r="M531" s="58"/>
      <c r="N531" s="72"/>
      <c r="O531" s="72"/>
      <c r="P531" s="63">
        <f t="shared" si="10"/>
        <v>1899</v>
      </c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65"/>
      <c r="C532" s="58"/>
      <c r="D532" s="65"/>
      <c r="E532" s="58"/>
      <c r="F532" s="67"/>
      <c r="G532" s="60"/>
      <c r="H532" s="68">
        <f>COUNTIFS(Minifigures!$C$22:$C$1137,D532)</f>
        <v>0</v>
      </c>
      <c r="I532" s="60"/>
      <c r="J532" s="79"/>
      <c r="K532" s="70"/>
      <c r="L532" s="71"/>
      <c r="M532" s="58"/>
      <c r="N532" s="72"/>
      <c r="O532" s="72"/>
      <c r="P532" s="63">
        <f t="shared" si="10"/>
        <v>1899</v>
      </c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65"/>
      <c r="C533" s="58"/>
      <c r="D533" s="65"/>
      <c r="E533" s="58"/>
      <c r="F533" s="67"/>
      <c r="G533" s="60"/>
      <c r="H533" s="68">
        <f>COUNTIFS(Minifigures!$C$22:$C$1137,D533)</f>
        <v>0</v>
      </c>
      <c r="I533" s="60"/>
      <c r="J533" s="79"/>
      <c r="K533" s="70"/>
      <c r="L533" s="71"/>
      <c r="M533" s="58"/>
      <c r="N533" s="72"/>
      <c r="O533" s="72"/>
      <c r="P533" s="63">
        <f t="shared" si="10"/>
        <v>1899</v>
      </c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65"/>
      <c r="C534" s="58"/>
      <c r="D534" s="65"/>
      <c r="E534" s="58"/>
      <c r="F534" s="67"/>
      <c r="G534" s="60"/>
      <c r="H534" s="68">
        <f>COUNTIFS(Minifigures!$C$22:$C$1137,D534)</f>
        <v>0</v>
      </c>
      <c r="I534" s="60"/>
      <c r="J534" s="79"/>
      <c r="K534" s="70"/>
      <c r="L534" s="71"/>
      <c r="M534" s="58"/>
      <c r="N534" s="72"/>
      <c r="O534" s="72"/>
      <c r="P534" s="63">
        <f t="shared" si="10"/>
        <v>1899</v>
      </c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65"/>
      <c r="C535" s="58"/>
      <c r="D535" s="65"/>
      <c r="E535" s="58"/>
      <c r="F535" s="67"/>
      <c r="G535" s="60"/>
      <c r="H535" s="68">
        <f>COUNTIFS(Minifigures!$C$22:$C$1137,D535)</f>
        <v>0</v>
      </c>
      <c r="I535" s="60"/>
      <c r="J535" s="79"/>
      <c r="K535" s="70"/>
      <c r="L535" s="71"/>
      <c r="M535" s="58"/>
      <c r="N535" s="72"/>
      <c r="O535" s="72"/>
      <c r="P535" s="63">
        <f t="shared" si="10"/>
        <v>1899</v>
      </c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65"/>
      <c r="C536" s="58"/>
      <c r="D536" s="65"/>
      <c r="E536" s="58"/>
      <c r="F536" s="67"/>
      <c r="G536" s="60"/>
      <c r="H536" s="68">
        <f>COUNTIFS(Minifigures!$C$22:$C$1137,D536)</f>
        <v>0</v>
      </c>
      <c r="I536" s="60"/>
      <c r="J536" s="79"/>
      <c r="K536" s="70"/>
      <c r="L536" s="71"/>
      <c r="M536" s="58"/>
      <c r="N536" s="72"/>
      <c r="O536" s="72"/>
      <c r="P536" s="63">
        <f t="shared" si="10"/>
        <v>1899</v>
      </c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65"/>
      <c r="C537" s="58"/>
      <c r="D537" s="65"/>
      <c r="E537" s="58"/>
      <c r="F537" s="67"/>
      <c r="G537" s="60"/>
      <c r="H537" s="68">
        <f>COUNTIFS(Minifigures!$C$22:$C$1137,D537)</f>
        <v>0</v>
      </c>
      <c r="I537" s="60"/>
      <c r="J537" s="79"/>
      <c r="K537" s="70"/>
      <c r="L537" s="71"/>
      <c r="M537" s="58"/>
      <c r="N537" s="72"/>
      <c r="O537" s="72"/>
      <c r="P537" s="63">
        <f t="shared" si="10"/>
        <v>1899</v>
      </c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65"/>
      <c r="C538" s="58"/>
      <c r="D538" s="65"/>
      <c r="E538" s="58"/>
      <c r="F538" s="67"/>
      <c r="G538" s="60"/>
      <c r="H538" s="68">
        <f>COUNTIFS(Minifigures!$C$22:$C$1137,D538)</f>
        <v>0</v>
      </c>
      <c r="I538" s="60"/>
      <c r="J538" s="79"/>
      <c r="K538" s="70"/>
      <c r="L538" s="71"/>
      <c r="M538" s="58"/>
      <c r="N538" s="72"/>
      <c r="O538" s="72"/>
      <c r="P538" s="63">
        <f t="shared" si="10"/>
        <v>1899</v>
      </c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65"/>
      <c r="C539" s="58"/>
      <c r="D539" s="65"/>
      <c r="E539" s="58"/>
      <c r="F539" s="67"/>
      <c r="G539" s="60"/>
      <c r="H539" s="68">
        <f>COUNTIFS(Minifigures!$C$22:$C$1137,D539)</f>
        <v>0</v>
      </c>
      <c r="I539" s="60"/>
      <c r="J539" s="79"/>
      <c r="K539" s="70"/>
      <c r="L539" s="71"/>
      <c r="M539" s="58"/>
      <c r="N539" s="72"/>
      <c r="O539" s="72"/>
      <c r="P539" s="63">
        <f t="shared" si="10"/>
        <v>1899</v>
      </c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65"/>
      <c r="C540" s="58"/>
      <c r="D540" s="65"/>
      <c r="E540" s="58"/>
      <c r="F540" s="67"/>
      <c r="G540" s="60"/>
      <c r="H540" s="68">
        <f>COUNTIFS(Minifigures!$C$22:$C$1137,D540)</f>
        <v>0</v>
      </c>
      <c r="I540" s="60"/>
      <c r="J540" s="79"/>
      <c r="K540" s="70"/>
      <c r="L540" s="71"/>
      <c r="M540" s="58"/>
      <c r="N540" s="72"/>
      <c r="O540" s="72"/>
      <c r="P540" s="63">
        <f t="shared" si="10"/>
        <v>1899</v>
      </c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65"/>
      <c r="C541" s="58"/>
      <c r="D541" s="65"/>
      <c r="E541" s="58"/>
      <c r="F541" s="67"/>
      <c r="G541" s="60"/>
      <c r="H541" s="68">
        <f>COUNTIFS(Minifigures!$C$22:$C$1137,D541)</f>
        <v>0</v>
      </c>
      <c r="I541" s="60"/>
      <c r="J541" s="79"/>
      <c r="K541" s="70"/>
      <c r="L541" s="71"/>
      <c r="M541" s="58"/>
      <c r="N541" s="72"/>
      <c r="O541" s="72"/>
      <c r="P541" s="63">
        <f t="shared" si="10"/>
        <v>1899</v>
      </c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65"/>
      <c r="C542" s="58"/>
      <c r="D542" s="65"/>
      <c r="E542" s="58"/>
      <c r="F542" s="67"/>
      <c r="G542" s="60"/>
      <c r="H542" s="68">
        <f>COUNTIFS(Minifigures!$C$22:$C$1137,D542)</f>
        <v>0</v>
      </c>
      <c r="I542" s="60"/>
      <c r="J542" s="79"/>
      <c r="K542" s="70"/>
      <c r="L542" s="71"/>
      <c r="M542" s="58"/>
      <c r="N542" s="72"/>
      <c r="O542" s="72"/>
      <c r="P542" s="63">
        <f t="shared" si="10"/>
        <v>1899</v>
      </c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65"/>
      <c r="C543" s="58"/>
      <c r="D543" s="65"/>
      <c r="E543" s="58"/>
      <c r="F543" s="67"/>
      <c r="G543" s="60"/>
      <c r="H543" s="68">
        <f>COUNTIFS(Minifigures!$C$22:$C$1137,D543)</f>
        <v>0</v>
      </c>
      <c r="I543" s="60"/>
      <c r="J543" s="79"/>
      <c r="K543" s="70"/>
      <c r="L543" s="71"/>
      <c r="M543" s="58"/>
      <c r="N543" s="72"/>
      <c r="O543" s="72"/>
      <c r="P543" s="63">
        <f t="shared" si="10"/>
        <v>1899</v>
      </c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65"/>
      <c r="C544" s="58"/>
      <c r="D544" s="65"/>
      <c r="E544" s="58"/>
      <c r="F544" s="67"/>
      <c r="G544" s="60"/>
      <c r="H544" s="68">
        <f>COUNTIFS(Minifigures!$C$22:$C$1137,D544)</f>
        <v>0</v>
      </c>
      <c r="I544" s="60"/>
      <c r="J544" s="79"/>
      <c r="K544" s="70"/>
      <c r="L544" s="71"/>
      <c r="M544" s="58"/>
      <c r="N544" s="72"/>
      <c r="O544" s="72"/>
      <c r="P544" s="63">
        <f t="shared" si="10"/>
        <v>1899</v>
      </c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65"/>
      <c r="C545" s="58"/>
      <c r="D545" s="65"/>
      <c r="E545" s="58"/>
      <c r="F545" s="67"/>
      <c r="G545" s="60"/>
      <c r="H545" s="68">
        <f>COUNTIFS(Minifigures!$C$22:$C$1137,D545)</f>
        <v>0</v>
      </c>
      <c r="I545" s="60"/>
      <c r="J545" s="79"/>
      <c r="K545" s="70"/>
      <c r="L545" s="71"/>
      <c r="M545" s="58"/>
      <c r="N545" s="72"/>
      <c r="O545" s="72"/>
      <c r="P545" s="63">
        <f t="shared" si="10"/>
        <v>1899</v>
      </c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65"/>
      <c r="C546" s="58"/>
      <c r="D546" s="65"/>
      <c r="E546" s="58"/>
      <c r="F546" s="67"/>
      <c r="G546" s="60"/>
      <c r="H546" s="68">
        <f>COUNTIFS(Minifigures!$C$22:$C$1137,D546)</f>
        <v>0</v>
      </c>
      <c r="I546" s="60"/>
      <c r="J546" s="79"/>
      <c r="K546" s="70"/>
      <c r="L546" s="71"/>
      <c r="M546" s="58"/>
      <c r="N546" s="72"/>
      <c r="O546" s="72"/>
      <c r="P546" s="63">
        <f t="shared" si="10"/>
        <v>1899</v>
      </c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65"/>
      <c r="C547" s="58"/>
      <c r="D547" s="65"/>
      <c r="E547" s="58"/>
      <c r="F547" s="67"/>
      <c r="G547" s="60"/>
      <c r="H547" s="68">
        <f>COUNTIFS(Minifigures!$C$22:$C$1137,D547)</f>
        <v>0</v>
      </c>
      <c r="I547" s="60"/>
      <c r="J547" s="79"/>
      <c r="K547" s="70"/>
      <c r="L547" s="71"/>
      <c r="M547" s="58"/>
      <c r="N547" s="72"/>
      <c r="O547" s="72"/>
      <c r="P547" s="63">
        <f t="shared" si="10"/>
        <v>1899</v>
      </c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65"/>
      <c r="C548" s="58"/>
      <c r="D548" s="65"/>
      <c r="E548" s="58"/>
      <c r="F548" s="67"/>
      <c r="G548" s="60"/>
      <c r="H548" s="68">
        <f>COUNTIFS(Minifigures!$C$22:$C$1137,D548)</f>
        <v>0</v>
      </c>
      <c r="I548" s="60"/>
      <c r="J548" s="79"/>
      <c r="K548" s="70"/>
      <c r="L548" s="71"/>
      <c r="M548" s="58"/>
      <c r="N548" s="72"/>
      <c r="O548" s="72"/>
      <c r="P548" s="63">
        <f t="shared" si="10"/>
        <v>1899</v>
      </c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65"/>
      <c r="C549" s="58"/>
      <c r="D549" s="65"/>
      <c r="E549" s="58"/>
      <c r="F549" s="67"/>
      <c r="G549" s="60"/>
      <c r="H549" s="68">
        <f>COUNTIFS(Minifigures!$C$22:$C$1137,D549)</f>
        <v>0</v>
      </c>
      <c r="I549" s="60"/>
      <c r="J549" s="79"/>
      <c r="K549" s="70"/>
      <c r="L549" s="71"/>
      <c r="M549" s="58"/>
      <c r="N549" s="72"/>
      <c r="O549" s="72"/>
      <c r="P549" s="63">
        <f t="shared" si="10"/>
        <v>1899</v>
      </c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65"/>
      <c r="C550" s="58"/>
      <c r="D550" s="65"/>
      <c r="E550" s="58"/>
      <c r="F550" s="67"/>
      <c r="G550" s="60"/>
      <c r="H550" s="68">
        <f>COUNTIFS(Minifigures!$C$22:$C$1137,D550)</f>
        <v>0</v>
      </c>
      <c r="I550" s="60"/>
      <c r="J550" s="79"/>
      <c r="K550" s="70"/>
      <c r="L550" s="71"/>
      <c r="M550" s="58"/>
      <c r="N550" s="72"/>
      <c r="O550" s="72"/>
      <c r="P550" s="63">
        <f t="shared" si="10"/>
        <v>1899</v>
      </c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65"/>
      <c r="C551" s="58"/>
      <c r="D551" s="65"/>
      <c r="E551" s="58"/>
      <c r="F551" s="67"/>
      <c r="G551" s="60"/>
      <c r="H551" s="68">
        <f>COUNTIFS(Minifigures!$C$22:$C$1137,D551)</f>
        <v>0</v>
      </c>
      <c r="I551" s="60"/>
      <c r="J551" s="79"/>
      <c r="K551" s="70"/>
      <c r="L551" s="71"/>
      <c r="M551" s="58"/>
      <c r="N551" s="72"/>
      <c r="O551" s="72"/>
      <c r="P551" s="63">
        <f t="shared" si="10"/>
        <v>1899</v>
      </c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65"/>
      <c r="C552" s="58"/>
      <c r="D552" s="65"/>
      <c r="E552" s="58"/>
      <c r="F552" s="67"/>
      <c r="G552" s="60"/>
      <c r="H552" s="68">
        <f>COUNTIFS(Minifigures!$C$22:$C$1137,D552)</f>
        <v>0</v>
      </c>
      <c r="I552" s="60"/>
      <c r="J552" s="79"/>
      <c r="K552" s="70"/>
      <c r="L552" s="71"/>
      <c r="M552" s="58"/>
      <c r="N552" s="72"/>
      <c r="O552" s="72"/>
      <c r="P552" s="63">
        <f t="shared" si="10"/>
        <v>1899</v>
      </c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65"/>
      <c r="C553" s="58"/>
      <c r="D553" s="65"/>
      <c r="E553" s="58"/>
      <c r="F553" s="67"/>
      <c r="G553" s="60"/>
      <c r="H553" s="68">
        <f>COUNTIFS(Minifigures!$C$22:$C$1137,D553)</f>
        <v>0</v>
      </c>
      <c r="I553" s="60"/>
      <c r="J553" s="79"/>
      <c r="K553" s="70"/>
      <c r="L553" s="71"/>
      <c r="M553" s="58"/>
      <c r="N553" s="72"/>
      <c r="O553" s="72"/>
      <c r="P553" s="63">
        <f t="shared" si="10"/>
        <v>1899</v>
      </c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65"/>
      <c r="C554" s="58"/>
      <c r="D554" s="65"/>
      <c r="E554" s="58"/>
      <c r="F554" s="67"/>
      <c r="G554" s="60"/>
      <c r="H554" s="68">
        <f>COUNTIFS(Minifigures!$C$22:$C$1137,D554)</f>
        <v>0</v>
      </c>
      <c r="I554" s="60"/>
      <c r="J554" s="79"/>
      <c r="K554" s="70"/>
      <c r="L554" s="71"/>
      <c r="M554" s="58"/>
      <c r="N554" s="72"/>
      <c r="O554" s="72"/>
      <c r="P554" s="63">
        <f t="shared" si="10"/>
        <v>1899</v>
      </c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65"/>
      <c r="C555" s="58"/>
      <c r="D555" s="65"/>
      <c r="E555" s="58"/>
      <c r="F555" s="67"/>
      <c r="G555" s="60"/>
      <c r="H555" s="68">
        <f>COUNTIFS(Minifigures!$C$22:$C$1137,D555)</f>
        <v>0</v>
      </c>
      <c r="I555" s="60"/>
      <c r="J555" s="79"/>
      <c r="K555" s="70"/>
      <c r="L555" s="71"/>
      <c r="M555" s="58"/>
      <c r="N555" s="72"/>
      <c r="O555" s="72"/>
      <c r="P555" s="63">
        <f t="shared" si="10"/>
        <v>1899</v>
      </c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65"/>
      <c r="C556" s="58"/>
      <c r="D556" s="65"/>
      <c r="E556" s="58"/>
      <c r="F556" s="67"/>
      <c r="G556" s="60"/>
      <c r="H556" s="68">
        <f>COUNTIFS(Minifigures!$C$22:$C$1137,D556)</f>
        <v>0</v>
      </c>
      <c r="I556" s="60"/>
      <c r="J556" s="79"/>
      <c r="K556" s="70"/>
      <c r="L556" s="71"/>
      <c r="M556" s="58"/>
      <c r="N556" s="72"/>
      <c r="O556" s="72"/>
      <c r="P556" s="63">
        <f t="shared" si="10"/>
        <v>1899</v>
      </c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65"/>
      <c r="C557" s="58"/>
      <c r="D557" s="65"/>
      <c r="E557" s="58"/>
      <c r="F557" s="67"/>
      <c r="G557" s="60"/>
      <c r="H557" s="68">
        <f>COUNTIFS(Minifigures!$C$22:$C$1137,D557)</f>
        <v>0</v>
      </c>
      <c r="I557" s="60"/>
      <c r="J557" s="79"/>
      <c r="K557" s="70"/>
      <c r="L557" s="71"/>
      <c r="M557" s="58"/>
      <c r="N557" s="72"/>
      <c r="O557" s="72"/>
      <c r="P557" s="63">
        <f t="shared" si="10"/>
        <v>1899</v>
      </c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65"/>
      <c r="C558" s="58"/>
      <c r="D558" s="65"/>
      <c r="E558" s="58"/>
      <c r="F558" s="67"/>
      <c r="G558" s="60"/>
      <c r="H558" s="68">
        <f>COUNTIFS(Minifigures!$C$22:$C$1137,D558)</f>
        <v>0</v>
      </c>
      <c r="I558" s="60"/>
      <c r="J558" s="79"/>
      <c r="K558" s="70"/>
      <c r="L558" s="71"/>
      <c r="M558" s="58"/>
      <c r="N558" s="72"/>
      <c r="O558" s="72"/>
      <c r="P558" s="63">
        <f t="shared" si="10"/>
        <v>1899</v>
      </c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65"/>
      <c r="C559" s="58"/>
      <c r="D559" s="65"/>
      <c r="E559" s="58"/>
      <c r="F559" s="67"/>
      <c r="G559" s="60"/>
      <c r="H559" s="68">
        <f>COUNTIFS(Minifigures!$C$22:$C$1137,D559)</f>
        <v>0</v>
      </c>
      <c r="I559" s="60"/>
      <c r="J559" s="79"/>
      <c r="K559" s="70"/>
      <c r="L559" s="71"/>
      <c r="M559" s="58"/>
      <c r="N559" s="72"/>
      <c r="O559" s="72"/>
      <c r="P559" s="63">
        <f t="shared" si="10"/>
        <v>1899</v>
      </c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65"/>
      <c r="C560" s="58"/>
      <c r="D560" s="65"/>
      <c r="E560" s="58"/>
      <c r="F560" s="67"/>
      <c r="G560" s="60"/>
      <c r="H560" s="68">
        <f>COUNTIFS(Minifigures!$C$22:$C$1137,D560)</f>
        <v>0</v>
      </c>
      <c r="I560" s="60"/>
      <c r="J560" s="79"/>
      <c r="K560" s="70"/>
      <c r="L560" s="71"/>
      <c r="M560" s="58"/>
      <c r="N560" s="72"/>
      <c r="O560" s="72"/>
      <c r="P560" s="63">
        <f t="shared" si="10"/>
        <v>1899</v>
      </c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65"/>
      <c r="C561" s="58"/>
      <c r="D561" s="65"/>
      <c r="E561" s="58"/>
      <c r="F561" s="67"/>
      <c r="G561" s="60"/>
      <c r="H561" s="68">
        <f>COUNTIFS(Minifigures!$C$22:$C$1137,D561)</f>
        <v>0</v>
      </c>
      <c r="I561" s="60"/>
      <c r="J561" s="79"/>
      <c r="K561" s="70"/>
      <c r="L561" s="71"/>
      <c r="M561" s="58"/>
      <c r="N561" s="72"/>
      <c r="O561" s="72"/>
      <c r="P561" s="63">
        <f t="shared" si="10"/>
        <v>1899</v>
      </c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65"/>
      <c r="C562" s="58"/>
      <c r="D562" s="65"/>
      <c r="E562" s="58"/>
      <c r="F562" s="67"/>
      <c r="G562" s="60"/>
      <c r="H562" s="68">
        <f>COUNTIFS(Minifigures!$C$22:$C$1137,D562)</f>
        <v>0</v>
      </c>
      <c r="I562" s="60"/>
      <c r="J562" s="79"/>
      <c r="K562" s="70"/>
      <c r="L562" s="71"/>
      <c r="M562" s="58"/>
      <c r="N562" s="72"/>
      <c r="O562" s="72"/>
      <c r="P562" s="63">
        <f t="shared" si="10"/>
        <v>1899</v>
      </c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65"/>
      <c r="C563" s="58"/>
      <c r="D563" s="65"/>
      <c r="E563" s="58"/>
      <c r="F563" s="67"/>
      <c r="G563" s="60"/>
      <c r="H563" s="68">
        <f>COUNTIFS(Minifigures!$C$22:$C$1137,D563)</f>
        <v>0</v>
      </c>
      <c r="I563" s="60"/>
      <c r="J563" s="79"/>
      <c r="K563" s="70"/>
      <c r="L563" s="71"/>
      <c r="M563" s="58"/>
      <c r="N563" s="72"/>
      <c r="O563" s="72"/>
      <c r="P563" s="63">
        <f t="shared" si="10"/>
        <v>1899</v>
      </c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65"/>
      <c r="C564" s="58"/>
      <c r="D564" s="65"/>
      <c r="E564" s="58"/>
      <c r="F564" s="67"/>
      <c r="G564" s="60"/>
      <c r="H564" s="68">
        <f>COUNTIFS(Minifigures!$C$22:$C$1137,D564)</f>
        <v>0</v>
      </c>
      <c r="I564" s="60"/>
      <c r="J564" s="79"/>
      <c r="K564" s="70"/>
      <c r="L564" s="71"/>
      <c r="M564" s="58"/>
      <c r="N564" s="72"/>
      <c r="O564" s="72"/>
      <c r="P564" s="63">
        <f t="shared" si="10"/>
        <v>1899</v>
      </c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65"/>
      <c r="C565" s="58"/>
      <c r="D565" s="65"/>
      <c r="E565" s="58"/>
      <c r="F565" s="67"/>
      <c r="G565" s="60"/>
      <c r="H565" s="68">
        <f>COUNTIFS(Minifigures!$C$22:$C$1137,D565)</f>
        <v>0</v>
      </c>
      <c r="I565" s="60"/>
      <c r="J565" s="79"/>
      <c r="K565" s="70"/>
      <c r="L565" s="71"/>
      <c r="M565" s="58"/>
      <c r="N565" s="72"/>
      <c r="O565" s="72"/>
      <c r="P565" s="63">
        <f t="shared" si="10"/>
        <v>1899</v>
      </c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65"/>
      <c r="C566" s="58"/>
      <c r="D566" s="65"/>
      <c r="E566" s="58"/>
      <c r="F566" s="67"/>
      <c r="G566" s="60"/>
      <c r="H566" s="68">
        <f>COUNTIFS(Minifigures!$C$22:$C$1137,D566)</f>
        <v>0</v>
      </c>
      <c r="I566" s="60"/>
      <c r="J566" s="79"/>
      <c r="K566" s="70"/>
      <c r="L566" s="71"/>
      <c r="M566" s="58"/>
      <c r="N566" s="72"/>
      <c r="O566" s="72"/>
      <c r="P566" s="63">
        <f t="shared" si="10"/>
        <v>1899</v>
      </c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65"/>
      <c r="C567" s="58"/>
      <c r="D567" s="65"/>
      <c r="E567" s="58"/>
      <c r="F567" s="67"/>
      <c r="G567" s="60"/>
      <c r="H567" s="68">
        <f>COUNTIFS(Minifigures!$C$22:$C$1137,D567)</f>
        <v>0</v>
      </c>
      <c r="I567" s="60"/>
      <c r="J567" s="79"/>
      <c r="K567" s="70"/>
      <c r="L567" s="71"/>
      <c r="M567" s="58"/>
      <c r="N567" s="72"/>
      <c r="O567" s="72"/>
      <c r="P567" s="63">
        <f t="shared" si="10"/>
        <v>1899</v>
      </c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65"/>
      <c r="C568" s="58"/>
      <c r="D568" s="65"/>
      <c r="E568" s="58"/>
      <c r="F568" s="67"/>
      <c r="G568" s="60"/>
      <c r="H568" s="68">
        <f>COUNTIFS(Minifigures!$C$22:$C$1137,D568)</f>
        <v>0</v>
      </c>
      <c r="I568" s="60"/>
      <c r="J568" s="79"/>
      <c r="K568" s="70"/>
      <c r="L568" s="71"/>
      <c r="M568" s="58"/>
      <c r="N568" s="72"/>
      <c r="O568" s="72"/>
      <c r="P568" s="63">
        <f t="shared" si="10"/>
        <v>1899</v>
      </c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65"/>
      <c r="C569" s="58"/>
      <c r="D569" s="65"/>
      <c r="E569" s="58"/>
      <c r="F569" s="67"/>
      <c r="G569" s="60"/>
      <c r="H569" s="68">
        <f>COUNTIFS(Minifigures!$C$22:$C$1137,D569)</f>
        <v>0</v>
      </c>
      <c r="I569" s="60"/>
      <c r="J569" s="79"/>
      <c r="K569" s="70"/>
      <c r="L569" s="71"/>
      <c r="M569" s="58"/>
      <c r="N569" s="72"/>
      <c r="O569" s="72"/>
      <c r="P569" s="63">
        <f t="shared" si="10"/>
        <v>1899</v>
      </c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65"/>
      <c r="C570" s="58"/>
      <c r="D570" s="65"/>
      <c r="E570" s="58"/>
      <c r="F570" s="67"/>
      <c r="G570" s="60"/>
      <c r="H570" s="68">
        <f>COUNTIFS(Minifigures!$C$22:$C$1137,D570)</f>
        <v>0</v>
      </c>
      <c r="I570" s="60"/>
      <c r="J570" s="79"/>
      <c r="K570" s="70"/>
      <c r="L570" s="71"/>
      <c r="M570" s="58"/>
      <c r="N570" s="72"/>
      <c r="O570" s="72"/>
      <c r="P570" s="63">
        <f t="shared" si="10"/>
        <v>1899</v>
      </c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65"/>
      <c r="C571" s="58"/>
      <c r="D571" s="65"/>
      <c r="E571" s="58"/>
      <c r="F571" s="67"/>
      <c r="G571" s="60"/>
      <c r="H571" s="68">
        <f>COUNTIFS(Minifigures!$C$22:$C$1137,D571)</f>
        <v>0</v>
      </c>
      <c r="I571" s="60"/>
      <c r="J571" s="79"/>
      <c r="K571" s="70"/>
      <c r="L571" s="71"/>
      <c r="M571" s="58"/>
      <c r="N571" s="72"/>
      <c r="O571" s="72"/>
      <c r="P571" s="63">
        <f t="shared" si="10"/>
        <v>1899</v>
      </c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65"/>
      <c r="C572" s="58"/>
      <c r="D572" s="65"/>
      <c r="E572" s="58"/>
      <c r="F572" s="67"/>
      <c r="G572" s="60"/>
      <c r="H572" s="68">
        <f>COUNTIFS(Minifigures!$C$22:$C$1137,D572)</f>
        <v>0</v>
      </c>
      <c r="I572" s="60"/>
      <c r="J572" s="79"/>
      <c r="K572" s="70"/>
      <c r="L572" s="71"/>
      <c r="M572" s="58"/>
      <c r="N572" s="72"/>
      <c r="O572" s="72"/>
      <c r="P572" s="63">
        <f t="shared" si="10"/>
        <v>1899</v>
      </c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65"/>
      <c r="C573" s="58"/>
      <c r="D573" s="65"/>
      <c r="E573" s="58"/>
      <c r="F573" s="67"/>
      <c r="G573" s="60"/>
      <c r="H573" s="68">
        <f>COUNTIFS(Minifigures!$C$22:$C$1137,D573)</f>
        <v>0</v>
      </c>
      <c r="I573" s="60"/>
      <c r="J573" s="79"/>
      <c r="K573" s="70"/>
      <c r="L573" s="71"/>
      <c r="M573" s="58"/>
      <c r="N573" s="72"/>
      <c r="O573" s="72"/>
      <c r="P573" s="63">
        <f t="shared" si="10"/>
        <v>1899</v>
      </c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65"/>
      <c r="C574" s="58"/>
      <c r="D574" s="65"/>
      <c r="E574" s="58"/>
      <c r="F574" s="67"/>
      <c r="G574" s="60"/>
      <c r="H574" s="68">
        <f>COUNTIFS(Minifigures!$C$22:$C$1137,D574)</f>
        <v>0</v>
      </c>
      <c r="I574" s="60"/>
      <c r="J574" s="79"/>
      <c r="K574" s="70"/>
      <c r="L574" s="71"/>
      <c r="M574" s="58"/>
      <c r="N574" s="72"/>
      <c r="O574" s="72"/>
      <c r="P574" s="63">
        <f t="shared" si="10"/>
        <v>1899</v>
      </c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65"/>
      <c r="C575" s="58"/>
      <c r="D575" s="65"/>
      <c r="E575" s="58"/>
      <c r="F575" s="67"/>
      <c r="G575" s="60"/>
      <c r="H575" s="68">
        <f>COUNTIFS(Minifigures!$C$22:$C$1137,D575)</f>
        <v>0</v>
      </c>
      <c r="I575" s="60"/>
      <c r="J575" s="79"/>
      <c r="K575" s="70"/>
      <c r="L575" s="71"/>
      <c r="M575" s="58"/>
      <c r="N575" s="72"/>
      <c r="O575" s="72"/>
      <c r="P575" s="63">
        <f t="shared" si="10"/>
        <v>1899</v>
      </c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65"/>
      <c r="C576" s="58"/>
      <c r="D576" s="65"/>
      <c r="E576" s="58"/>
      <c r="F576" s="67"/>
      <c r="G576" s="60"/>
      <c r="H576" s="68">
        <f>COUNTIFS(Minifigures!$C$22:$C$1137,D576)</f>
        <v>0</v>
      </c>
      <c r="I576" s="60"/>
      <c r="J576" s="79"/>
      <c r="K576" s="70"/>
      <c r="L576" s="71"/>
      <c r="M576" s="58"/>
      <c r="N576" s="72"/>
      <c r="O576" s="72"/>
      <c r="P576" s="63">
        <f t="shared" si="10"/>
        <v>1899</v>
      </c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65"/>
      <c r="C577" s="58"/>
      <c r="D577" s="65"/>
      <c r="E577" s="58"/>
      <c r="F577" s="67"/>
      <c r="G577" s="60"/>
      <c r="H577" s="68">
        <f>COUNTIFS(Minifigures!$C$22:$C$1137,D577)</f>
        <v>0</v>
      </c>
      <c r="I577" s="60"/>
      <c r="J577" s="79"/>
      <c r="K577" s="70"/>
      <c r="L577" s="71"/>
      <c r="M577" s="58"/>
      <c r="N577" s="72"/>
      <c r="O577" s="72"/>
      <c r="P577" s="63">
        <f t="shared" si="10"/>
        <v>1899</v>
      </c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65"/>
      <c r="C578" s="58"/>
      <c r="D578" s="65"/>
      <c r="E578" s="58"/>
      <c r="F578" s="67"/>
      <c r="G578" s="60"/>
      <c r="H578" s="68">
        <f>COUNTIFS(Minifigures!$C$22:$C$1137,D578)</f>
        <v>0</v>
      </c>
      <c r="I578" s="60"/>
      <c r="J578" s="79"/>
      <c r="K578" s="70"/>
      <c r="L578" s="71"/>
      <c r="M578" s="58"/>
      <c r="N578" s="72"/>
      <c r="O578" s="72"/>
      <c r="P578" s="63">
        <f t="shared" si="10"/>
        <v>1899</v>
      </c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65"/>
      <c r="C579" s="58"/>
      <c r="D579" s="65"/>
      <c r="E579" s="58"/>
      <c r="F579" s="67"/>
      <c r="G579" s="60"/>
      <c r="H579" s="68">
        <f>COUNTIFS(Minifigures!$C$22:$C$1137,D579)</f>
        <v>0</v>
      </c>
      <c r="I579" s="60"/>
      <c r="J579" s="79"/>
      <c r="K579" s="70"/>
      <c r="L579" s="71"/>
      <c r="M579" s="58"/>
      <c r="N579" s="72"/>
      <c r="O579" s="72"/>
      <c r="P579" s="63">
        <f t="shared" si="10"/>
        <v>1899</v>
      </c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65"/>
      <c r="C580" s="58"/>
      <c r="D580" s="65"/>
      <c r="E580" s="58"/>
      <c r="F580" s="67"/>
      <c r="G580" s="60"/>
      <c r="H580" s="68">
        <f>COUNTIFS(Minifigures!$C$22:$C$1137,D580)</f>
        <v>0</v>
      </c>
      <c r="I580" s="60"/>
      <c r="J580" s="79"/>
      <c r="K580" s="70"/>
      <c r="L580" s="71"/>
      <c r="M580" s="58"/>
      <c r="N580" s="72"/>
      <c r="O580" s="72"/>
      <c r="P580" s="63">
        <f t="shared" si="10"/>
        <v>1899</v>
      </c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65"/>
      <c r="C581" s="58"/>
      <c r="D581" s="65"/>
      <c r="E581" s="58"/>
      <c r="F581" s="67"/>
      <c r="G581" s="60"/>
      <c r="H581" s="68">
        <f>COUNTIFS(Minifigures!$C$22:$C$1137,D581)</f>
        <v>0</v>
      </c>
      <c r="I581" s="60"/>
      <c r="J581" s="79"/>
      <c r="K581" s="70"/>
      <c r="L581" s="71"/>
      <c r="M581" s="58"/>
      <c r="N581" s="72"/>
      <c r="O581" s="72"/>
      <c r="P581" s="63">
        <f t="shared" si="10"/>
        <v>1899</v>
      </c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65"/>
      <c r="C582" s="58"/>
      <c r="D582" s="65"/>
      <c r="E582" s="58"/>
      <c r="F582" s="67"/>
      <c r="G582" s="60"/>
      <c r="H582" s="68">
        <f>COUNTIFS(Minifigures!$C$22:$C$1137,D582)</f>
        <v>0</v>
      </c>
      <c r="I582" s="60"/>
      <c r="J582" s="79"/>
      <c r="K582" s="70"/>
      <c r="L582" s="71"/>
      <c r="M582" s="58"/>
      <c r="N582" s="72"/>
      <c r="O582" s="72"/>
      <c r="P582" s="63">
        <f t="shared" si="10"/>
        <v>1899</v>
      </c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65"/>
      <c r="C583" s="58"/>
      <c r="D583" s="65"/>
      <c r="E583" s="58"/>
      <c r="F583" s="67"/>
      <c r="G583" s="60"/>
      <c r="H583" s="68">
        <f>COUNTIFS(Minifigures!$C$22:$C$1137,D583)</f>
        <v>0</v>
      </c>
      <c r="I583" s="60"/>
      <c r="J583" s="79"/>
      <c r="K583" s="70"/>
      <c r="L583" s="71"/>
      <c r="M583" s="58"/>
      <c r="N583" s="72"/>
      <c r="O583" s="72"/>
      <c r="P583" s="63">
        <f t="shared" si="10"/>
        <v>1899</v>
      </c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65"/>
      <c r="C584" s="58"/>
      <c r="D584" s="65"/>
      <c r="E584" s="58"/>
      <c r="F584" s="67"/>
      <c r="G584" s="60"/>
      <c r="H584" s="68">
        <f>COUNTIFS(Minifigures!$C$22:$C$1137,D584)</f>
        <v>0</v>
      </c>
      <c r="I584" s="60"/>
      <c r="J584" s="79"/>
      <c r="K584" s="70"/>
      <c r="L584" s="71"/>
      <c r="M584" s="58"/>
      <c r="N584" s="72"/>
      <c r="O584" s="72"/>
      <c r="P584" s="63">
        <f t="shared" si="10"/>
        <v>1899</v>
      </c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65"/>
      <c r="C585" s="58"/>
      <c r="D585" s="65"/>
      <c r="E585" s="58"/>
      <c r="F585" s="67"/>
      <c r="G585" s="60"/>
      <c r="H585" s="68">
        <f>COUNTIFS(Minifigures!$C$22:$C$1137,D585)</f>
        <v>0</v>
      </c>
      <c r="I585" s="60"/>
      <c r="J585" s="79"/>
      <c r="K585" s="70"/>
      <c r="L585" s="71"/>
      <c r="M585" s="58"/>
      <c r="N585" s="72"/>
      <c r="O585" s="72"/>
      <c r="P585" s="63">
        <f t="shared" si="10"/>
        <v>1899</v>
      </c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65"/>
      <c r="C586" s="58"/>
      <c r="D586" s="65"/>
      <c r="E586" s="58"/>
      <c r="F586" s="67"/>
      <c r="G586" s="60"/>
      <c r="H586" s="68">
        <f>COUNTIFS(Minifigures!$C$22:$C$1137,D586)</f>
        <v>0</v>
      </c>
      <c r="I586" s="60"/>
      <c r="J586" s="79"/>
      <c r="K586" s="70"/>
      <c r="L586" s="71"/>
      <c r="M586" s="58"/>
      <c r="N586" s="72"/>
      <c r="O586" s="72"/>
      <c r="P586" s="63">
        <f t="shared" si="10"/>
        <v>1899</v>
      </c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65"/>
      <c r="C587" s="58"/>
      <c r="D587" s="65"/>
      <c r="E587" s="58"/>
      <c r="F587" s="67"/>
      <c r="G587" s="60"/>
      <c r="H587" s="68">
        <f>COUNTIFS(Minifigures!$C$22:$C$1137,D587)</f>
        <v>0</v>
      </c>
      <c r="I587" s="60"/>
      <c r="J587" s="79"/>
      <c r="K587" s="70"/>
      <c r="L587" s="71"/>
      <c r="M587" s="58"/>
      <c r="N587" s="72"/>
      <c r="O587" s="72"/>
      <c r="P587" s="63">
        <f t="shared" si="10"/>
        <v>1899</v>
      </c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65"/>
      <c r="C588" s="58"/>
      <c r="D588" s="65"/>
      <c r="E588" s="58"/>
      <c r="F588" s="67"/>
      <c r="G588" s="60"/>
      <c r="H588" s="68">
        <f>COUNTIFS(Minifigures!$C$22:$C$1137,D588)</f>
        <v>0</v>
      </c>
      <c r="I588" s="60"/>
      <c r="J588" s="79"/>
      <c r="K588" s="70"/>
      <c r="L588" s="71"/>
      <c r="M588" s="58"/>
      <c r="N588" s="72"/>
      <c r="O588" s="72"/>
      <c r="P588" s="63">
        <f t="shared" si="10"/>
        <v>1899</v>
      </c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65"/>
      <c r="C589" s="58"/>
      <c r="D589" s="65"/>
      <c r="E589" s="58"/>
      <c r="F589" s="67"/>
      <c r="G589" s="60"/>
      <c r="H589" s="68">
        <f>COUNTIFS(Minifigures!$C$22:$C$1137,D589)</f>
        <v>0</v>
      </c>
      <c r="I589" s="60"/>
      <c r="J589" s="79"/>
      <c r="K589" s="70"/>
      <c r="L589" s="71"/>
      <c r="M589" s="58"/>
      <c r="N589" s="72"/>
      <c r="O589" s="72"/>
      <c r="P589" s="63">
        <f t="shared" si="10"/>
        <v>1899</v>
      </c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65"/>
      <c r="C590" s="58"/>
      <c r="D590" s="65"/>
      <c r="E590" s="58"/>
      <c r="F590" s="67"/>
      <c r="G590" s="60"/>
      <c r="H590" s="68">
        <f>COUNTIFS(Minifigures!$C$22:$C$1137,D590)</f>
        <v>0</v>
      </c>
      <c r="I590" s="60"/>
      <c r="J590" s="79"/>
      <c r="K590" s="70"/>
      <c r="L590" s="71"/>
      <c r="M590" s="58"/>
      <c r="N590" s="72"/>
      <c r="O590" s="72"/>
      <c r="P590" s="63">
        <f t="shared" si="10"/>
        <v>1899</v>
      </c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65"/>
      <c r="C591" s="58"/>
      <c r="D591" s="65"/>
      <c r="E591" s="58"/>
      <c r="F591" s="67"/>
      <c r="G591" s="60"/>
      <c r="H591" s="68">
        <f>COUNTIFS(Minifigures!$C$22:$C$1137,D591)</f>
        <v>0</v>
      </c>
      <c r="I591" s="60"/>
      <c r="J591" s="79"/>
      <c r="K591" s="70"/>
      <c r="L591" s="71"/>
      <c r="M591" s="58"/>
      <c r="N591" s="72"/>
      <c r="O591" s="72"/>
      <c r="P591" s="63">
        <f t="shared" si="10"/>
        <v>1899</v>
      </c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65"/>
      <c r="C592" s="58"/>
      <c r="D592" s="65"/>
      <c r="E592" s="58"/>
      <c r="F592" s="67"/>
      <c r="G592" s="60"/>
      <c r="H592" s="68">
        <f>COUNTIFS(Minifigures!$C$22:$C$1137,D592)</f>
        <v>0</v>
      </c>
      <c r="I592" s="60"/>
      <c r="J592" s="79"/>
      <c r="K592" s="70"/>
      <c r="L592" s="71"/>
      <c r="M592" s="58"/>
      <c r="N592" s="72"/>
      <c r="O592" s="72"/>
      <c r="P592" s="63">
        <f t="shared" si="10"/>
        <v>1899</v>
      </c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65"/>
      <c r="C593" s="58"/>
      <c r="D593" s="65"/>
      <c r="E593" s="58"/>
      <c r="F593" s="67"/>
      <c r="G593" s="60"/>
      <c r="H593" s="68">
        <f>COUNTIFS(Minifigures!$C$22:$C$1137,D593)</f>
        <v>0</v>
      </c>
      <c r="I593" s="60"/>
      <c r="J593" s="79"/>
      <c r="K593" s="70"/>
      <c r="L593" s="71"/>
      <c r="M593" s="58"/>
      <c r="N593" s="72"/>
      <c r="O593" s="72"/>
      <c r="P593" s="63">
        <f t="shared" si="10"/>
        <v>1899</v>
      </c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65"/>
      <c r="C594" s="58"/>
      <c r="D594" s="65"/>
      <c r="E594" s="58"/>
      <c r="F594" s="67"/>
      <c r="G594" s="60"/>
      <c r="H594" s="68">
        <f>COUNTIFS(Minifigures!$C$22:$C$1137,D594)</f>
        <v>0</v>
      </c>
      <c r="I594" s="60"/>
      <c r="J594" s="79"/>
      <c r="K594" s="70"/>
      <c r="L594" s="71"/>
      <c r="M594" s="58"/>
      <c r="N594" s="72"/>
      <c r="O594" s="72"/>
      <c r="P594" s="63">
        <f t="shared" si="10"/>
        <v>1899</v>
      </c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65"/>
      <c r="C595" s="58"/>
      <c r="D595" s="65"/>
      <c r="E595" s="58"/>
      <c r="F595" s="67"/>
      <c r="G595" s="60"/>
      <c r="H595" s="68">
        <f>COUNTIFS(Minifigures!$C$22:$C$1137,D595)</f>
        <v>0</v>
      </c>
      <c r="I595" s="60"/>
      <c r="J595" s="79"/>
      <c r="K595" s="70"/>
      <c r="L595" s="71"/>
      <c r="M595" s="58"/>
      <c r="N595" s="72"/>
      <c r="O595" s="72"/>
      <c r="P595" s="63">
        <f t="shared" si="10"/>
        <v>1899</v>
      </c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65"/>
      <c r="C596" s="58"/>
      <c r="D596" s="65"/>
      <c r="E596" s="58"/>
      <c r="F596" s="67"/>
      <c r="G596" s="60"/>
      <c r="H596" s="68">
        <f>COUNTIFS(Minifigures!$C$22:$C$1137,D596)</f>
        <v>0</v>
      </c>
      <c r="I596" s="60"/>
      <c r="J596" s="79"/>
      <c r="K596" s="70"/>
      <c r="L596" s="71"/>
      <c r="M596" s="58"/>
      <c r="N596" s="72"/>
      <c r="O596" s="72"/>
      <c r="P596" s="63">
        <f t="shared" si="10"/>
        <v>1899</v>
      </c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65"/>
      <c r="C597" s="58"/>
      <c r="D597" s="65"/>
      <c r="E597" s="58"/>
      <c r="F597" s="67"/>
      <c r="G597" s="60"/>
      <c r="H597" s="68">
        <f>COUNTIFS(Minifigures!$C$22:$C$1137,D597)</f>
        <v>0</v>
      </c>
      <c r="I597" s="60"/>
      <c r="J597" s="79"/>
      <c r="K597" s="70"/>
      <c r="L597" s="71"/>
      <c r="M597" s="58"/>
      <c r="N597" s="72"/>
      <c r="O597" s="72"/>
      <c r="P597" s="63">
        <f t="shared" si="10"/>
        <v>1899</v>
      </c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65"/>
      <c r="C598" s="58"/>
      <c r="D598" s="65"/>
      <c r="E598" s="58"/>
      <c r="F598" s="67"/>
      <c r="G598" s="60"/>
      <c r="H598" s="68">
        <f>COUNTIFS(Minifigures!$C$22:$C$1137,D598)</f>
        <v>0</v>
      </c>
      <c r="I598" s="60"/>
      <c r="J598" s="79"/>
      <c r="K598" s="70"/>
      <c r="L598" s="71"/>
      <c r="M598" s="58"/>
      <c r="N598" s="72"/>
      <c r="O598" s="72"/>
      <c r="P598" s="63">
        <f t="shared" si="10"/>
        <v>1899</v>
      </c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65"/>
      <c r="C599" s="58"/>
      <c r="D599" s="65"/>
      <c r="E599" s="58"/>
      <c r="F599" s="67"/>
      <c r="G599" s="60"/>
      <c r="H599" s="68">
        <f>COUNTIFS(Minifigures!$C$22:$C$1137,D599)</f>
        <v>0</v>
      </c>
      <c r="I599" s="60"/>
      <c r="J599" s="79"/>
      <c r="K599" s="70"/>
      <c r="L599" s="71"/>
      <c r="M599" s="58"/>
      <c r="N599" s="72"/>
      <c r="O599" s="72"/>
      <c r="P599" s="63">
        <f t="shared" si="10"/>
        <v>1899</v>
      </c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65"/>
      <c r="C600" s="58"/>
      <c r="D600" s="65"/>
      <c r="E600" s="58"/>
      <c r="F600" s="67"/>
      <c r="G600" s="60"/>
      <c r="H600" s="68">
        <f>COUNTIFS(Minifigures!$C$22:$C$1137,D600)</f>
        <v>0</v>
      </c>
      <c r="I600" s="60"/>
      <c r="J600" s="79"/>
      <c r="K600" s="70"/>
      <c r="L600" s="71"/>
      <c r="M600" s="58"/>
      <c r="N600" s="72"/>
      <c r="O600" s="72"/>
      <c r="P600" s="63">
        <f t="shared" si="10"/>
        <v>1899</v>
      </c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65"/>
      <c r="C601" s="58"/>
      <c r="D601" s="65"/>
      <c r="E601" s="58"/>
      <c r="F601" s="67"/>
      <c r="G601" s="60"/>
      <c r="H601" s="68">
        <f>COUNTIFS(Minifigures!$C$22:$C$1137,D601)</f>
        <v>0</v>
      </c>
      <c r="I601" s="60"/>
      <c r="J601" s="79"/>
      <c r="K601" s="70"/>
      <c r="L601" s="71"/>
      <c r="M601" s="58"/>
      <c r="N601" s="72"/>
      <c r="O601" s="72"/>
      <c r="P601" s="63">
        <f t="shared" si="10"/>
        <v>1899</v>
      </c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65"/>
      <c r="C602" s="58"/>
      <c r="D602" s="65"/>
      <c r="E602" s="58"/>
      <c r="F602" s="67"/>
      <c r="G602" s="60"/>
      <c r="H602" s="68">
        <f>COUNTIFS(Minifigures!$C$22:$C$1137,D602)</f>
        <v>0</v>
      </c>
      <c r="I602" s="60"/>
      <c r="J602" s="79"/>
      <c r="K602" s="70"/>
      <c r="L602" s="71"/>
      <c r="M602" s="58"/>
      <c r="N602" s="72"/>
      <c r="O602" s="72"/>
      <c r="P602" s="63">
        <f t="shared" si="10"/>
        <v>1899</v>
      </c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65"/>
      <c r="C603" s="58"/>
      <c r="D603" s="65"/>
      <c r="E603" s="58"/>
      <c r="F603" s="67"/>
      <c r="G603" s="60"/>
      <c r="H603" s="68">
        <f>COUNTIFS(Minifigures!$C$22:$C$1137,D603)</f>
        <v>0</v>
      </c>
      <c r="I603" s="60"/>
      <c r="J603" s="79"/>
      <c r="K603" s="70"/>
      <c r="L603" s="71"/>
      <c r="M603" s="58"/>
      <c r="N603" s="72"/>
      <c r="O603" s="72"/>
      <c r="P603" s="63">
        <f t="shared" si="10"/>
        <v>1899</v>
      </c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65"/>
      <c r="C604" s="58"/>
      <c r="D604" s="65"/>
      <c r="E604" s="58"/>
      <c r="F604" s="67"/>
      <c r="G604" s="60"/>
      <c r="H604" s="68">
        <f>COUNTIFS(Minifigures!$C$22:$C$1137,D604)</f>
        <v>0</v>
      </c>
      <c r="I604" s="60"/>
      <c r="J604" s="79"/>
      <c r="K604" s="70"/>
      <c r="L604" s="71"/>
      <c r="M604" s="58"/>
      <c r="N604" s="72"/>
      <c r="O604" s="72"/>
      <c r="P604" s="63">
        <f t="shared" si="10"/>
        <v>1899</v>
      </c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65"/>
      <c r="C605" s="58"/>
      <c r="D605" s="65"/>
      <c r="E605" s="58"/>
      <c r="F605" s="67"/>
      <c r="G605" s="60"/>
      <c r="H605" s="68">
        <f>COUNTIFS(Minifigures!$C$22:$C$1137,D605)</f>
        <v>0</v>
      </c>
      <c r="I605" s="60"/>
      <c r="J605" s="79"/>
      <c r="K605" s="70"/>
      <c r="L605" s="71"/>
      <c r="M605" s="58"/>
      <c r="N605" s="72"/>
      <c r="O605" s="72"/>
      <c r="P605" s="63">
        <f t="shared" si="10"/>
        <v>1899</v>
      </c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65"/>
      <c r="C606" s="58"/>
      <c r="D606" s="65"/>
      <c r="E606" s="58"/>
      <c r="F606" s="67"/>
      <c r="G606" s="60"/>
      <c r="H606" s="68">
        <f>COUNTIFS(Minifigures!$C$22:$C$1137,D606)</f>
        <v>0</v>
      </c>
      <c r="I606" s="60"/>
      <c r="J606" s="79"/>
      <c r="K606" s="70"/>
      <c r="L606" s="71"/>
      <c r="M606" s="58"/>
      <c r="N606" s="72"/>
      <c r="O606" s="72"/>
      <c r="P606" s="63">
        <f t="shared" si="10"/>
        <v>1899</v>
      </c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65"/>
      <c r="C607" s="58"/>
      <c r="D607" s="65"/>
      <c r="E607" s="58"/>
      <c r="F607" s="67"/>
      <c r="G607" s="60"/>
      <c r="H607" s="68">
        <f>COUNTIFS(Minifigures!$C$22:$C$1137,D607)</f>
        <v>0</v>
      </c>
      <c r="I607" s="60"/>
      <c r="J607" s="79"/>
      <c r="K607" s="70"/>
      <c r="L607" s="71"/>
      <c r="M607" s="58"/>
      <c r="N607" s="72"/>
      <c r="O607" s="72"/>
      <c r="P607" s="63">
        <f t="shared" si="10"/>
        <v>1899</v>
      </c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65"/>
      <c r="C608" s="58"/>
      <c r="D608" s="65"/>
      <c r="E608" s="58"/>
      <c r="F608" s="67"/>
      <c r="G608" s="60"/>
      <c r="H608" s="68">
        <f>COUNTIFS(Minifigures!$C$22:$C$1137,D608)</f>
        <v>0</v>
      </c>
      <c r="I608" s="60"/>
      <c r="J608" s="79"/>
      <c r="K608" s="70"/>
      <c r="L608" s="71"/>
      <c r="M608" s="58"/>
      <c r="N608" s="72"/>
      <c r="O608" s="72"/>
      <c r="P608" s="63">
        <f t="shared" si="10"/>
        <v>1899</v>
      </c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65"/>
      <c r="C609" s="58"/>
      <c r="D609" s="65"/>
      <c r="E609" s="58"/>
      <c r="F609" s="67"/>
      <c r="G609" s="60"/>
      <c r="H609" s="68">
        <f>COUNTIFS(Minifigures!$C$22:$C$1137,D609)</f>
        <v>0</v>
      </c>
      <c r="I609" s="60"/>
      <c r="J609" s="79"/>
      <c r="K609" s="70"/>
      <c r="L609" s="71"/>
      <c r="M609" s="58"/>
      <c r="N609" s="72"/>
      <c r="O609" s="72"/>
      <c r="P609" s="63">
        <f t="shared" si="10"/>
        <v>1899</v>
      </c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65"/>
      <c r="C610" s="58"/>
      <c r="D610" s="65"/>
      <c r="E610" s="58"/>
      <c r="F610" s="67"/>
      <c r="G610" s="60"/>
      <c r="H610" s="68">
        <f>COUNTIFS(Minifigures!$C$22:$C$1137,D610)</f>
        <v>0</v>
      </c>
      <c r="I610" s="60"/>
      <c r="J610" s="79"/>
      <c r="K610" s="70"/>
      <c r="L610" s="71"/>
      <c r="M610" s="58"/>
      <c r="N610" s="72"/>
      <c r="O610" s="72"/>
      <c r="P610" s="63">
        <f t="shared" si="10"/>
        <v>1899</v>
      </c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65"/>
      <c r="C611" s="58"/>
      <c r="D611" s="65"/>
      <c r="E611" s="58"/>
      <c r="F611" s="67"/>
      <c r="G611" s="60"/>
      <c r="H611" s="68">
        <f>COUNTIFS(Minifigures!$C$22:$C$1137,D611)</f>
        <v>0</v>
      </c>
      <c r="I611" s="60"/>
      <c r="J611" s="79"/>
      <c r="K611" s="70"/>
      <c r="L611" s="71"/>
      <c r="M611" s="58"/>
      <c r="N611" s="72"/>
      <c r="O611" s="72"/>
      <c r="P611" s="63">
        <f t="shared" si="10"/>
        <v>1899</v>
      </c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65"/>
      <c r="C612" s="58"/>
      <c r="D612" s="65"/>
      <c r="E612" s="58"/>
      <c r="F612" s="67"/>
      <c r="G612" s="60"/>
      <c r="H612" s="68">
        <f>COUNTIFS(Minifigures!$C$22:$C$1137,D612)</f>
        <v>0</v>
      </c>
      <c r="I612" s="60"/>
      <c r="J612" s="79"/>
      <c r="K612" s="70"/>
      <c r="L612" s="71"/>
      <c r="M612" s="58"/>
      <c r="N612" s="72"/>
      <c r="O612" s="72"/>
      <c r="P612" s="63">
        <f t="shared" si="10"/>
        <v>1899</v>
      </c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65"/>
      <c r="C613" s="58"/>
      <c r="D613" s="65"/>
      <c r="E613" s="58"/>
      <c r="F613" s="67"/>
      <c r="G613" s="60"/>
      <c r="H613" s="68">
        <f>COUNTIFS(Minifigures!$C$22:$C$1137,D613)</f>
        <v>0</v>
      </c>
      <c r="I613" s="60"/>
      <c r="J613" s="79"/>
      <c r="K613" s="70"/>
      <c r="L613" s="71"/>
      <c r="M613" s="58"/>
      <c r="N613" s="72"/>
      <c r="O613" s="72"/>
      <c r="P613" s="63">
        <f t="shared" si="10"/>
        <v>1899</v>
      </c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65"/>
      <c r="C614" s="58"/>
      <c r="D614" s="65"/>
      <c r="E614" s="58"/>
      <c r="F614" s="67"/>
      <c r="G614" s="60"/>
      <c r="H614" s="68">
        <f>COUNTIFS(Minifigures!$C$22:$C$1137,D614)</f>
        <v>0</v>
      </c>
      <c r="I614" s="60"/>
      <c r="J614" s="79"/>
      <c r="K614" s="70"/>
      <c r="L614" s="71"/>
      <c r="M614" s="58"/>
      <c r="N614" s="72"/>
      <c r="O614" s="72"/>
      <c r="P614" s="63">
        <f t="shared" si="10"/>
        <v>1899</v>
      </c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65"/>
      <c r="C615" s="58"/>
      <c r="D615" s="65"/>
      <c r="E615" s="58"/>
      <c r="F615" s="67"/>
      <c r="G615" s="60"/>
      <c r="H615" s="68">
        <f>COUNTIFS(Minifigures!$C$22:$C$1137,D615)</f>
        <v>0</v>
      </c>
      <c r="I615" s="60"/>
      <c r="J615" s="79"/>
      <c r="K615" s="70"/>
      <c r="L615" s="71"/>
      <c r="M615" s="58"/>
      <c r="N615" s="72"/>
      <c r="O615" s="72"/>
      <c r="P615" s="63">
        <f t="shared" si="10"/>
        <v>1899</v>
      </c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65"/>
      <c r="C616" s="58"/>
      <c r="D616" s="65"/>
      <c r="E616" s="58"/>
      <c r="F616" s="67"/>
      <c r="G616" s="60"/>
      <c r="H616" s="68">
        <f>COUNTIFS(Minifigures!$C$22:$C$1137,D616)</f>
        <v>0</v>
      </c>
      <c r="I616" s="60"/>
      <c r="J616" s="79"/>
      <c r="K616" s="70"/>
      <c r="L616" s="71"/>
      <c r="M616" s="58"/>
      <c r="N616" s="72"/>
      <c r="O616" s="72"/>
      <c r="P616" s="63">
        <f t="shared" si="10"/>
        <v>1899</v>
      </c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65"/>
      <c r="C617" s="58"/>
      <c r="D617" s="65"/>
      <c r="E617" s="58"/>
      <c r="F617" s="67"/>
      <c r="G617" s="60"/>
      <c r="H617" s="68">
        <f>COUNTIFS(Minifigures!$C$22:$C$1137,D617)</f>
        <v>0</v>
      </c>
      <c r="I617" s="60"/>
      <c r="J617" s="79"/>
      <c r="K617" s="70"/>
      <c r="L617" s="71"/>
      <c r="M617" s="58"/>
      <c r="N617" s="72"/>
      <c r="O617" s="72"/>
      <c r="P617" s="63">
        <f t="shared" si="10"/>
        <v>1899</v>
      </c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65"/>
      <c r="C618" s="58"/>
      <c r="D618" s="65"/>
      <c r="E618" s="58"/>
      <c r="F618" s="67"/>
      <c r="G618" s="60"/>
      <c r="H618" s="68">
        <f>COUNTIFS(Minifigures!$C$22:$C$1137,D618)</f>
        <v>0</v>
      </c>
      <c r="I618" s="60"/>
      <c r="J618" s="79"/>
      <c r="K618" s="70"/>
      <c r="L618" s="71"/>
      <c r="M618" s="58"/>
      <c r="N618" s="72"/>
      <c r="O618" s="72"/>
      <c r="P618" s="63">
        <f t="shared" si="10"/>
        <v>1899</v>
      </c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65"/>
      <c r="C619" s="58"/>
      <c r="D619" s="65"/>
      <c r="E619" s="58"/>
      <c r="F619" s="67"/>
      <c r="G619" s="60"/>
      <c r="H619" s="68">
        <f>COUNTIFS(Minifigures!$C$22:$C$1137,D619)</f>
        <v>0</v>
      </c>
      <c r="I619" s="60"/>
      <c r="J619" s="79"/>
      <c r="K619" s="70"/>
      <c r="L619" s="71"/>
      <c r="M619" s="58"/>
      <c r="N619" s="72"/>
      <c r="O619" s="72"/>
      <c r="P619" s="63">
        <f t="shared" si="10"/>
        <v>1899</v>
      </c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65"/>
      <c r="C620" s="58"/>
      <c r="D620" s="65"/>
      <c r="E620" s="58"/>
      <c r="F620" s="67"/>
      <c r="G620" s="60"/>
      <c r="H620" s="68">
        <f>COUNTIFS(Minifigures!$C$22:$C$1137,D620)</f>
        <v>0</v>
      </c>
      <c r="I620" s="60"/>
      <c r="J620" s="79"/>
      <c r="K620" s="70"/>
      <c r="L620" s="71"/>
      <c r="M620" s="58"/>
      <c r="N620" s="72"/>
      <c r="O620" s="72"/>
      <c r="P620" s="63">
        <f t="shared" si="10"/>
        <v>1899</v>
      </c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65"/>
      <c r="C621" s="58"/>
      <c r="D621" s="65"/>
      <c r="E621" s="58"/>
      <c r="F621" s="67"/>
      <c r="G621" s="60"/>
      <c r="H621" s="68">
        <f>COUNTIFS(Minifigures!$C$22:$C$1137,D621)</f>
        <v>0</v>
      </c>
      <c r="I621" s="60"/>
      <c r="J621" s="79"/>
      <c r="K621" s="70"/>
      <c r="L621" s="71"/>
      <c r="M621" s="58"/>
      <c r="N621" s="72"/>
      <c r="O621" s="72"/>
      <c r="P621" s="63">
        <f t="shared" si="10"/>
        <v>1899</v>
      </c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65"/>
      <c r="C622" s="58"/>
      <c r="D622" s="65"/>
      <c r="E622" s="58"/>
      <c r="F622" s="67"/>
      <c r="G622" s="60"/>
      <c r="H622" s="68">
        <f>COUNTIFS(Minifigures!$C$22:$C$1137,D622)</f>
        <v>0</v>
      </c>
      <c r="I622" s="60"/>
      <c r="J622" s="79"/>
      <c r="K622" s="70"/>
      <c r="L622" s="71"/>
      <c r="M622" s="58"/>
      <c r="N622" s="72"/>
      <c r="O622" s="72"/>
      <c r="P622" s="63">
        <f t="shared" si="10"/>
        <v>1899</v>
      </c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65"/>
      <c r="C623" s="58"/>
      <c r="D623" s="65"/>
      <c r="E623" s="58"/>
      <c r="F623" s="67"/>
      <c r="G623" s="60"/>
      <c r="H623" s="68">
        <f>COUNTIFS(Minifigures!$C$22:$C$1137,D623)</f>
        <v>0</v>
      </c>
      <c r="I623" s="60"/>
      <c r="J623" s="79"/>
      <c r="K623" s="70"/>
      <c r="L623" s="71"/>
      <c r="M623" s="58"/>
      <c r="N623" s="72"/>
      <c r="O623" s="72"/>
      <c r="P623" s="63">
        <f t="shared" si="10"/>
        <v>1899</v>
      </c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65"/>
      <c r="C624" s="58"/>
      <c r="D624" s="65"/>
      <c r="E624" s="58"/>
      <c r="F624" s="67"/>
      <c r="G624" s="60"/>
      <c r="H624" s="68">
        <f>COUNTIFS(Minifigures!$C$22:$C$1137,D624)</f>
        <v>0</v>
      </c>
      <c r="I624" s="60"/>
      <c r="J624" s="79"/>
      <c r="K624" s="70"/>
      <c r="L624" s="71"/>
      <c r="M624" s="58"/>
      <c r="N624" s="72"/>
      <c r="O624" s="72"/>
      <c r="P624" s="63">
        <f t="shared" si="10"/>
        <v>1899</v>
      </c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65"/>
      <c r="C625" s="58"/>
      <c r="D625" s="65"/>
      <c r="E625" s="58"/>
      <c r="F625" s="67"/>
      <c r="G625" s="60"/>
      <c r="H625" s="68">
        <f>COUNTIFS(Minifigures!$C$22:$C$1137,D625)</f>
        <v>0</v>
      </c>
      <c r="I625" s="60"/>
      <c r="J625" s="79"/>
      <c r="K625" s="70"/>
      <c r="L625" s="71"/>
      <c r="M625" s="58"/>
      <c r="N625" s="72"/>
      <c r="O625" s="72"/>
      <c r="P625" s="63">
        <f t="shared" si="10"/>
        <v>1899</v>
      </c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65"/>
      <c r="C626" s="58"/>
      <c r="D626" s="65"/>
      <c r="E626" s="58"/>
      <c r="F626" s="67"/>
      <c r="G626" s="60"/>
      <c r="H626" s="68">
        <f>COUNTIFS(Minifigures!$C$22:$C$1137,D626)</f>
        <v>0</v>
      </c>
      <c r="I626" s="60"/>
      <c r="J626" s="79"/>
      <c r="K626" s="70"/>
      <c r="L626" s="71"/>
      <c r="M626" s="58"/>
      <c r="N626" s="72"/>
      <c r="O626" s="72"/>
      <c r="P626" s="63">
        <f t="shared" si="10"/>
        <v>1899</v>
      </c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65"/>
      <c r="C627" s="58"/>
      <c r="D627" s="65"/>
      <c r="E627" s="58"/>
      <c r="F627" s="67"/>
      <c r="G627" s="60"/>
      <c r="H627" s="68">
        <f>COUNTIFS(Minifigures!$C$22:$C$1137,D627)</f>
        <v>0</v>
      </c>
      <c r="I627" s="60"/>
      <c r="J627" s="79"/>
      <c r="K627" s="70"/>
      <c r="L627" s="71"/>
      <c r="M627" s="58"/>
      <c r="N627" s="72"/>
      <c r="O627" s="72"/>
      <c r="P627" s="63">
        <f t="shared" si="10"/>
        <v>1899</v>
      </c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65"/>
      <c r="C628" s="58"/>
      <c r="D628" s="65"/>
      <c r="E628" s="58"/>
      <c r="F628" s="67"/>
      <c r="G628" s="60"/>
      <c r="H628" s="68">
        <f>COUNTIFS(Minifigures!$C$22:$C$1137,D628)</f>
        <v>0</v>
      </c>
      <c r="I628" s="60"/>
      <c r="J628" s="79"/>
      <c r="K628" s="70"/>
      <c r="L628" s="71"/>
      <c r="M628" s="58"/>
      <c r="N628" s="72"/>
      <c r="O628" s="72"/>
      <c r="P628" s="63">
        <f t="shared" si="10"/>
        <v>1899</v>
      </c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65"/>
      <c r="C629" s="58"/>
      <c r="D629" s="65"/>
      <c r="E629" s="58"/>
      <c r="F629" s="67"/>
      <c r="G629" s="60"/>
      <c r="H629" s="68">
        <f>COUNTIFS(Minifigures!$C$22:$C$1137,D629)</f>
        <v>0</v>
      </c>
      <c r="I629" s="60"/>
      <c r="J629" s="79"/>
      <c r="K629" s="70"/>
      <c r="L629" s="71"/>
      <c r="M629" s="58"/>
      <c r="N629" s="72"/>
      <c r="O629" s="72"/>
      <c r="P629" s="63">
        <f t="shared" si="10"/>
        <v>1899</v>
      </c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65"/>
      <c r="C630" s="58"/>
      <c r="D630" s="65"/>
      <c r="E630" s="58"/>
      <c r="F630" s="67"/>
      <c r="G630" s="60"/>
      <c r="H630" s="68">
        <f>COUNTIFS(Minifigures!$C$22:$C$1137,D630)</f>
        <v>0</v>
      </c>
      <c r="I630" s="60"/>
      <c r="J630" s="79"/>
      <c r="K630" s="70"/>
      <c r="L630" s="71"/>
      <c r="M630" s="58"/>
      <c r="N630" s="72"/>
      <c r="O630" s="72"/>
      <c r="P630" s="63">
        <f t="shared" si="10"/>
        <v>1899</v>
      </c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65"/>
      <c r="C631" s="58"/>
      <c r="D631" s="65"/>
      <c r="E631" s="58"/>
      <c r="F631" s="67"/>
      <c r="G631" s="60"/>
      <c r="H631" s="68">
        <f>COUNTIFS(Minifigures!$C$22:$C$1137,D631)</f>
        <v>0</v>
      </c>
      <c r="I631" s="60"/>
      <c r="J631" s="79"/>
      <c r="K631" s="70"/>
      <c r="L631" s="71"/>
      <c r="M631" s="58"/>
      <c r="N631" s="72"/>
      <c r="O631" s="72"/>
      <c r="P631" s="63">
        <f t="shared" si="10"/>
        <v>1899</v>
      </c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65"/>
      <c r="C632" s="58"/>
      <c r="D632" s="65"/>
      <c r="E632" s="58"/>
      <c r="F632" s="67"/>
      <c r="G632" s="60"/>
      <c r="H632" s="68">
        <f>COUNTIFS(Minifigures!$C$22:$C$1137,D632)</f>
        <v>0</v>
      </c>
      <c r="I632" s="60"/>
      <c r="J632" s="79"/>
      <c r="K632" s="70"/>
      <c r="L632" s="71"/>
      <c r="M632" s="58"/>
      <c r="N632" s="72"/>
      <c r="O632" s="72"/>
      <c r="P632" s="63">
        <f t="shared" si="10"/>
        <v>1899</v>
      </c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65"/>
      <c r="C633" s="58"/>
      <c r="D633" s="65"/>
      <c r="E633" s="58"/>
      <c r="F633" s="67"/>
      <c r="G633" s="60"/>
      <c r="H633" s="68">
        <f>COUNTIFS(Minifigures!$C$22:$C$1137,D633)</f>
        <v>0</v>
      </c>
      <c r="I633" s="60"/>
      <c r="J633" s="79"/>
      <c r="K633" s="70"/>
      <c r="L633" s="71"/>
      <c r="M633" s="58"/>
      <c r="N633" s="72"/>
      <c r="O633" s="72"/>
      <c r="P633" s="63">
        <f t="shared" si="10"/>
        <v>1899</v>
      </c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65"/>
      <c r="C634" s="58"/>
      <c r="D634" s="65"/>
      <c r="E634" s="58"/>
      <c r="F634" s="67"/>
      <c r="G634" s="60"/>
      <c r="H634" s="68">
        <f>COUNTIFS(Minifigures!$C$22:$C$1137,D634)</f>
        <v>0</v>
      </c>
      <c r="I634" s="60"/>
      <c r="J634" s="79"/>
      <c r="K634" s="70"/>
      <c r="L634" s="71"/>
      <c r="M634" s="58"/>
      <c r="N634" s="72"/>
      <c r="O634" s="72"/>
      <c r="P634" s="63">
        <f t="shared" si="10"/>
        <v>1899</v>
      </c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65"/>
      <c r="C635" s="58"/>
      <c r="D635" s="65"/>
      <c r="E635" s="58"/>
      <c r="F635" s="67"/>
      <c r="G635" s="60"/>
      <c r="H635" s="68">
        <f>COUNTIFS(Minifigures!$C$22:$C$1137,D635)</f>
        <v>0</v>
      </c>
      <c r="I635" s="60"/>
      <c r="J635" s="79"/>
      <c r="K635" s="70"/>
      <c r="L635" s="71"/>
      <c r="M635" s="58"/>
      <c r="N635" s="72"/>
      <c r="O635" s="72"/>
      <c r="P635" s="63">
        <f t="shared" si="10"/>
        <v>1899</v>
      </c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65"/>
      <c r="C636" s="58"/>
      <c r="D636" s="65"/>
      <c r="E636" s="58"/>
      <c r="F636" s="67"/>
      <c r="G636" s="60"/>
      <c r="H636" s="68">
        <f>COUNTIFS(Minifigures!$C$22:$C$1137,D636)</f>
        <v>0</v>
      </c>
      <c r="I636" s="60"/>
      <c r="J636" s="79"/>
      <c r="K636" s="70"/>
      <c r="L636" s="71"/>
      <c r="M636" s="58"/>
      <c r="N636" s="72"/>
      <c r="O636" s="72"/>
      <c r="P636" s="63">
        <f t="shared" si="10"/>
        <v>1899</v>
      </c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65"/>
      <c r="C637" s="58"/>
      <c r="D637" s="65"/>
      <c r="E637" s="58"/>
      <c r="F637" s="67"/>
      <c r="G637" s="60"/>
      <c r="H637" s="68">
        <f>COUNTIFS(Minifigures!$C$22:$C$1137,D637)</f>
        <v>0</v>
      </c>
      <c r="I637" s="60"/>
      <c r="J637" s="79"/>
      <c r="K637" s="70"/>
      <c r="L637" s="71"/>
      <c r="M637" s="58"/>
      <c r="N637" s="72"/>
      <c r="O637" s="72"/>
      <c r="P637" s="63">
        <f t="shared" si="10"/>
        <v>1899</v>
      </c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65"/>
      <c r="C638" s="58"/>
      <c r="D638" s="65"/>
      <c r="E638" s="58"/>
      <c r="F638" s="67"/>
      <c r="G638" s="60"/>
      <c r="H638" s="68">
        <f>COUNTIFS(Minifigures!$C$22:$C$1137,D638)</f>
        <v>0</v>
      </c>
      <c r="I638" s="60"/>
      <c r="J638" s="79"/>
      <c r="K638" s="70"/>
      <c r="L638" s="71"/>
      <c r="M638" s="58"/>
      <c r="N638" s="72"/>
      <c r="O638" s="72"/>
      <c r="P638" s="63">
        <f t="shared" si="10"/>
        <v>1899</v>
      </c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65"/>
      <c r="C639" s="58"/>
      <c r="D639" s="65"/>
      <c r="E639" s="58"/>
      <c r="F639" s="67"/>
      <c r="G639" s="60"/>
      <c r="H639" s="68">
        <f>COUNTIFS(Minifigures!$C$22:$C$1137,D639)</f>
        <v>0</v>
      </c>
      <c r="I639" s="60"/>
      <c r="J639" s="79"/>
      <c r="K639" s="70"/>
      <c r="L639" s="71"/>
      <c r="M639" s="58"/>
      <c r="N639" s="72"/>
      <c r="O639" s="72"/>
      <c r="P639" s="63">
        <f t="shared" si="10"/>
        <v>1899</v>
      </c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65"/>
      <c r="C640" s="58"/>
      <c r="D640" s="65"/>
      <c r="E640" s="58"/>
      <c r="F640" s="67"/>
      <c r="G640" s="60"/>
      <c r="H640" s="68">
        <f>COUNTIFS(Minifigures!$C$22:$C$1137,D640)</f>
        <v>0</v>
      </c>
      <c r="I640" s="60"/>
      <c r="J640" s="79"/>
      <c r="K640" s="70"/>
      <c r="L640" s="71"/>
      <c r="M640" s="58"/>
      <c r="N640" s="72"/>
      <c r="O640" s="72"/>
      <c r="P640" s="63">
        <f t="shared" si="10"/>
        <v>1899</v>
      </c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65"/>
      <c r="C641" s="58"/>
      <c r="D641" s="65"/>
      <c r="E641" s="58"/>
      <c r="F641" s="67"/>
      <c r="G641" s="60"/>
      <c r="H641" s="68">
        <f>COUNTIFS(Minifigures!$C$22:$C$1137,D641)</f>
        <v>0</v>
      </c>
      <c r="I641" s="60"/>
      <c r="J641" s="79"/>
      <c r="K641" s="70"/>
      <c r="L641" s="71"/>
      <c r="M641" s="58"/>
      <c r="N641" s="72"/>
      <c r="O641" s="72"/>
      <c r="P641" s="63">
        <f t="shared" si="10"/>
        <v>1899</v>
      </c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65"/>
      <c r="C642" s="58"/>
      <c r="D642" s="65"/>
      <c r="E642" s="58"/>
      <c r="F642" s="67"/>
      <c r="G642" s="60"/>
      <c r="H642" s="68">
        <f>COUNTIFS(Minifigures!$C$22:$C$1137,D642)</f>
        <v>0</v>
      </c>
      <c r="I642" s="60"/>
      <c r="J642" s="79"/>
      <c r="K642" s="70"/>
      <c r="L642" s="71"/>
      <c r="M642" s="58"/>
      <c r="N642" s="72"/>
      <c r="O642" s="72"/>
      <c r="P642" s="63">
        <f t="shared" si="10"/>
        <v>1899</v>
      </c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65"/>
      <c r="C643" s="58"/>
      <c r="D643" s="65"/>
      <c r="E643" s="58"/>
      <c r="F643" s="67"/>
      <c r="G643" s="60"/>
      <c r="H643" s="68">
        <f>COUNTIFS(Minifigures!$C$22:$C$1137,D643)</f>
        <v>0</v>
      </c>
      <c r="I643" s="60"/>
      <c r="J643" s="79"/>
      <c r="K643" s="70"/>
      <c r="L643" s="71"/>
      <c r="M643" s="58"/>
      <c r="N643" s="72"/>
      <c r="O643" s="72"/>
      <c r="P643" s="63">
        <f t="shared" si="10"/>
        <v>1899</v>
      </c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65"/>
      <c r="C644" s="58"/>
      <c r="D644" s="65"/>
      <c r="E644" s="58"/>
      <c r="F644" s="67"/>
      <c r="G644" s="60"/>
      <c r="H644" s="68">
        <f>COUNTIFS(Minifigures!$C$22:$C$1137,D644)</f>
        <v>0</v>
      </c>
      <c r="I644" s="60"/>
      <c r="J644" s="79"/>
      <c r="K644" s="70"/>
      <c r="L644" s="71"/>
      <c r="M644" s="58"/>
      <c r="N644" s="72"/>
      <c r="O644" s="72"/>
      <c r="P644" s="63">
        <f t="shared" si="10"/>
        <v>1899</v>
      </c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65"/>
      <c r="C645" s="58"/>
      <c r="D645" s="65"/>
      <c r="E645" s="58"/>
      <c r="F645" s="67"/>
      <c r="G645" s="60"/>
      <c r="H645" s="68">
        <f>COUNTIFS(Minifigures!$C$22:$C$1137,D645)</f>
        <v>0</v>
      </c>
      <c r="I645" s="60"/>
      <c r="J645" s="79"/>
      <c r="K645" s="70"/>
      <c r="L645" s="71"/>
      <c r="M645" s="58"/>
      <c r="N645" s="72"/>
      <c r="O645" s="72"/>
      <c r="P645" s="63">
        <f t="shared" si="10"/>
        <v>1899</v>
      </c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65"/>
      <c r="C646" s="58"/>
      <c r="D646" s="65"/>
      <c r="E646" s="58"/>
      <c r="F646" s="67"/>
      <c r="G646" s="60"/>
      <c r="H646" s="68">
        <f>COUNTIFS(Minifigures!$C$22:$C$1137,D646)</f>
        <v>0</v>
      </c>
      <c r="I646" s="60"/>
      <c r="J646" s="79"/>
      <c r="K646" s="70"/>
      <c r="L646" s="71"/>
      <c r="M646" s="58"/>
      <c r="N646" s="72"/>
      <c r="O646" s="72"/>
      <c r="P646" s="63">
        <f t="shared" si="10"/>
        <v>1899</v>
      </c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65"/>
      <c r="C647" s="58"/>
      <c r="D647" s="65"/>
      <c r="E647" s="58"/>
      <c r="F647" s="67"/>
      <c r="G647" s="60"/>
      <c r="H647" s="68">
        <f>COUNTIFS(Minifigures!$C$22:$C$1137,D647)</f>
        <v>0</v>
      </c>
      <c r="I647" s="60"/>
      <c r="J647" s="79"/>
      <c r="K647" s="70"/>
      <c r="L647" s="71"/>
      <c r="M647" s="58"/>
      <c r="N647" s="72"/>
      <c r="O647" s="72"/>
      <c r="P647" s="63">
        <f t="shared" si="10"/>
        <v>1899</v>
      </c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65"/>
      <c r="C648" s="58"/>
      <c r="D648" s="65"/>
      <c r="E648" s="58"/>
      <c r="F648" s="67"/>
      <c r="G648" s="60"/>
      <c r="H648" s="68">
        <f>COUNTIFS(Minifigures!$C$22:$C$1137,D648)</f>
        <v>0</v>
      </c>
      <c r="I648" s="60"/>
      <c r="J648" s="79"/>
      <c r="K648" s="70"/>
      <c r="L648" s="71"/>
      <c r="M648" s="58"/>
      <c r="N648" s="72"/>
      <c r="O648" s="72"/>
      <c r="P648" s="63">
        <f t="shared" si="10"/>
        <v>1899</v>
      </c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65"/>
      <c r="C649" s="58"/>
      <c r="D649" s="65"/>
      <c r="E649" s="58"/>
      <c r="F649" s="67"/>
      <c r="G649" s="60"/>
      <c r="H649" s="68">
        <f>COUNTIFS(Minifigures!$C$22:$C$1137,D649)</f>
        <v>0</v>
      </c>
      <c r="I649" s="60"/>
      <c r="J649" s="79"/>
      <c r="K649" s="70"/>
      <c r="L649" s="71"/>
      <c r="M649" s="58"/>
      <c r="N649" s="72"/>
      <c r="O649" s="72"/>
      <c r="P649" s="63">
        <f t="shared" si="10"/>
        <v>1899</v>
      </c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65"/>
      <c r="C650" s="58"/>
      <c r="D650" s="65"/>
      <c r="E650" s="58"/>
      <c r="F650" s="67"/>
      <c r="G650" s="60"/>
      <c r="H650" s="68">
        <f>COUNTIFS(Minifigures!$C$22:$C$1137,D650)</f>
        <v>0</v>
      </c>
      <c r="I650" s="60"/>
      <c r="J650" s="79"/>
      <c r="K650" s="70"/>
      <c r="L650" s="71"/>
      <c r="M650" s="58"/>
      <c r="N650" s="72"/>
      <c r="O650" s="72"/>
      <c r="P650" s="63">
        <f t="shared" si="10"/>
        <v>1899</v>
      </c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65"/>
      <c r="C651" s="58"/>
      <c r="D651" s="65"/>
      <c r="E651" s="58"/>
      <c r="F651" s="67"/>
      <c r="G651" s="60"/>
      <c r="H651" s="68">
        <f>COUNTIFS(Minifigures!$C$22:$C$1137,D651)</f>
        <v>0</v>
      </c>
      <c r="I651" s="60"/>
      <c r="J651" s="79"/>
      <c r="K651" s="70"/>
      <c r="L651" s="71"/>
      <c r="M651" s="58"/>
      <c r="N651" s="72"/>
      <c r="O651" s="72"/>
      <c r="P651" s="63">
        <f t="shared" si="10"/>
        <v>1899</v>
      </c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65"/>
      <c r="C652" s="58"/>
      <c r="D652" s="65"/>
      <c r="E652" s="58"/>
      <c r="F652" s="67"/>
      <c r="G652" s="60"/>
      <c r="H652" s="68">
        <f>COUNTIFS(Minifigures!$C$22:$C$1137,D652)</f>
        <v>0</v>
      </c>
      <c r="I652" s="60"/>
      <c r="J652" s="79"/>
      <c r="K652" s="70"/>
      <c r="L652" s="71"/>
      <c r="M652" s="58"/>
      <c r="N652" s="72"/>
      <c r="O652" s="72"/>
      <c r="P652" s="63">
        <f t="shared" si="10"/>
        <v>1899</v>
      </c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65"/>
      <c r="C653" s="58"/>
      <c r="D653" s="65"/>
      <c r="E653" s="58"/>
      <c r="F653" s="67"/>
      <c r="G653" s="60"/>
      <c r="H653" s="68">
        <f>COUNTIFS(Minifigures!$C$22:$C$1137,D653)</f>
        <v>0</v>
      </c>
      <c r="I653" s="60"/>
      <c r="J653" s="79"/>
      <c r="K653" s="70"/>
      <c r="L653" s="71"/>
      <c r="M653" s="58"/>
      <c r="N653" s="72"/>
      <c r="O653" s="72"/>
      <c r="P653" s="63">
        <f t="shared" si="10"/>
        <v>1899</v>
      </c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65"/>
      <c r="C654" s="58"/>
      <c r="D654" s="65"/>
      <c r="E654" s="58"/>
      <c r="F654" s="67"/>
      <c r="G654" s="60"/>
      <c r="H654" s="68">
        <f>COUNTIFS(Minifigures!$C$22:$C$1137,D654)</f>
        <v>0</v>
      </c>
      <c r="I654" s="60"/>
      <c r="J654" s="79"/>
      <c r="K654" s="70"/>
      <c r="L654" s="71"/>
      <c r="M654" s="58"/>
      <c r="N654" s="72"/>
      <c r="O654" s="72"/>
      <c r="P654" s="63">
        <f t="shared" si="10"/>
        <v>1899</v>
      </c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65"/>
      <c r="C655" s="58"/>
      <c r="D655" s="65"/>
      <c r="E655" s="58"/>
      <c r="F655" s="67"/>
      <c r="G655" s="60"/>
      <c r="H655" s="68">
        <f>COUNTIFS(Minifigures!$C$22:$C$1137,D655)</f>
        <v>0</v>
      </c>
      <c r="I655" s="60"/>
      <c r="J655" s="79"/>
      <c r="K655" s="70"/>
      <c r="L655" s="71"/>
      <c r="M655" s="58"/>
      <c r="N655" s="72"/>
      <c r="O655" s="72"/>
      <c r="P655" s="63">
        <f t="shared" si="10"/>
        <v>1899</v>
      </c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65"/>
      <c r="C656" s="58"/>
      <c r="D656" s="65"/>
      <c r="E656" s="58"/>
      <c r="F656" s="67"/>
      <c r="G656" s="60"/>
      <c r="H656" s="68">
        <f>COUNTIFS(Minifigures!$C$22:$C$1137,D656)</f>
        <v>0</v>
      </c>
      <c r="I656" s="60"/>
      <c r="J656" s="79"/>
      <c r="K656" s="70"/>
      <c r="L656" s="71"/>
      <c r="M656" s="58"/>
      <c r="N656" s="72"/>
      <c r="O656" s="72"/>
      <c r="P656" s="63">
        <f t="shared" si="10"/>
        <v>1899</v>
      </c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65"/>
      <c r="C657" s="58"/>
      <c r="D657" s="65"/>
      <c r="E657" s="58"/>
      <c r="F657" s="67"/>
      <c r="G657" s="60"/>
      <c r="H657" s="68">
        <f>COUNTIFS(Minifigures!$C$22:$C$1137,D657)</f>
        <v>0</v>
      </c>
      <c r="I657" s="60"/>
      <c r="J657" s="79"/>
      <c r="K657" s="70"/>
      <c r="L657" s="71"/>
      <c r="M657" s="58"/>
      <c r="N657" s="72"/>
      <c r="O657" s="72"/>
      <c r="P657" s="63">
        <f t="shared" si="10"/>
        <v>1899</v>
      </c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65"/>
      <c r="C658" s="58"/>
      <c r="D658" s="65"/>
      <c r="E658" s="58"/>
      <c r="F658" s="67"/>
      <c r="G658" s="60"/>
      <c r="H658" s="68">
        <f>COUNTIFS(Minifigures!$C$22:$C$1137,D658)</f>
        <v>0</v>
      </c>
      <c r="I658" s="60"/>
      <c r="J658" s="79"/>
      <c r="K658" s="70"/>
      <c r="L658" s="71"/>
      <c r="M658" s="58"/>
      <c r="N658" s="72"/>
      <c r="O658" s="72"/>
      <c r="P658" s="63">
        <f t="shared" si="10"/>
        <v>1899</v>
      </c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65"/>
      <c r="C659" s="58"/>
      <c r="D659" s="65"/>
      <c r="E659" s="58"/>
      <c r="F659" s="67"/>
      <c r="G659" s="60"/>
      <c r="H659" s="68">
        <f>COUNTIFS(Minifigures!$C$22:$C$1137,D659)</f>
        <v>0</v>
      </c>
      <c r="I659" s="60"/>
      <c r="J659" s="79"/>
      <c r="K659" s="70"/>
      <c r="L659" s="71"/>
      <c r="M659" s="58"/>
      <c r="N659" s="72"/>
      <c r="O659" s="72"/>
      <c r="P659" s="63">
        <f t="shared" si="10"/>
        <v>1899</v>
      </c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65"/>
      <c r="C660" s="58"/>
      <c r="D660" s="65"/>
      <c r="E660" s="58"/>
      <c r="F660" s="67"/>
      <c r="G660" s="60"/>
      <c r="H660" s="68">
        <f>COUNTIFS(Minifigures!$C$22:$C$1137,D660)</f>
        <v>0</v>
      </c>
      <c r="I660" s="60"/>
      <c r="J660" s="79"/>
      <c r="K660" s="70"/>
      <c r="L660" s="71"/>
      <c r="M660" s="58"/>
      <c r="N660" s="72"/>
      <c r="O660" s="72"/>
      <c r="P660" s="63">
        <f t="shared" si="10"/>
        <v>1899</v>
      </c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65"/>
      <c r="C661" s="58"/>
      <c r="D661" s="65"/>
      <c r="E661" s="58"/>
      <c r="F661" s="67"/>
      <c r="G661" s="60"/>
      <c r="H661" s="68">
        <f>COUNTIFS(Minifigures!$C$22:$C$1137,D661)</f>
        <v>0</v>
      </c>
      <c r="I661" s="60"/>
      <c r="J661" s="79"/>
      <c r="K661" s="70"/>
      <c r="L661" s="71"/>
      <c r="M661" s="58"/>
      <c r="N661" s="72"/>
      <c r="O661" s="72"/>
      <c r="P661" s="63">
        <f t="shared" si="10"/>
        <v>1899</v>
      </c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65"/>
      <c r="C662" s="58"/>
      <c r="D662" s="65"/>
      <c r="E662" s="58"/>
      <c r="F662" s="67"/>
      <c r="G662" s="60"/>
      <c r="H662" s="68">
        <f>COUNTIFS(Minifigures!$C$22:$C$1137,D662)</f>
        <v>0</v>
      </c>
      <c r="I662" s="60"/>
      <c r="J662" s="79"/>
      <c r="K662" s="70"/>
      <c r="L662" s="71"/>
      <c r="M662" s="58"/>
      <c r="N662" s="72"/>
      <c r="O662" s="72"/>
      <c r="P662" s="63">
        <f t="shared" si="10"/>
        <v>1899</v>
      </c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65"/>
      <c r="C663" s="58"/>
      <c r="D663" s="65"/>
      <c r="E663" s="58"/>
      <c r="F663" s="67"/>
      <c r="G663" s="60"/>
      <c r="H663" s="68">
        <f>COUNTIFS(Minifigures!$C$22:$C$1137,D663)</f>
        <v>0</v>
      </c>
      <c r="I663" s="60"/>
      <c r="J663" s="79"/>
      <c r="K663" s="70"/>
      <c r="L663" s="71"/>
      <c r="M663" s="58"/>
      <c r="N663" s="72"/>
      <c r="O663" s="72"/>
      <c r="P663" s="63">
        <f t="shared" si="10"/>
        <v>1899</v>
      </c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65"/>
      <c r="C664" s="58"/>
      <c r="D664" s="65"/>
      <c r="E664" s="58"/>
      <c r="F664" s="67"/>
      <c r="G664" s="60"/>
      <c r="H664" s="68">
        <f>COUNTIFS(Minifigures!$C$22:$C$1137,D664)</f>
        <v>0</v>
      </c>
      <c r="I664" s="60"/>
      <c r="J664" s="79"/>
      <c r="K664" s="70"/>
      <c r="L664" s="71"/>
      <c r="M664" s="58"/>
      <c r="N664" s="72"/>
      <c r="O664" s="72"/>
      <c r="P664" s="63">
        <f t="shared" si="10"/>
        <v>1899</v>
      </c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65"/>
      <c r="C665" s="58"/>
      <c r="D665" s="65"/>
      <c r="E665" s="58"/>
      <c r="F665" s="67"/>
      <c r="G665" s="60"/>
      <c r="H665" s="68">
        <f>COUNTIFS(Minifigures!$C$22:$C$1137,D665)</f>
        <v>0</v>
      </c>
      <c r="I665" s="60"/>
      <c r="J665" s="79"/>
      <c r="K665" s="70"/>
      <c r="L665" s="71"/>
      <c r="M665" s="58"/>
      <c r="N665" s="72"/>
      <c r="O665" s="72"/>
      <c r="P665" s="63">
        <f t="shared" si="10"/>
        <v>1899</v>
      </c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65"/>
      <c r="C666" s="58"/>
      <c r="D666" s="65"/>
      <c r="E666" s="58"/>
      <c r="F666" s="67"/>
      <c r="G666" s="60"/>
      <c r="H666" s="68">
        <f>COUNTIFS(Minifigures!$C$22:$C$1137,D666)</f>
        <v>0</v>
      </c>
      <c r="I666" s="60"/>
      <c r="J666" s="79"/>
      <c r="K666" s="70"/>
      <c r="L666" s="71"/>
      <c r="M666" s="58"/>
      <c r="N666" s="72"/>
      <c r="O666" s="72"/>
      <c r="P666" s="63">
        <f t="shared" si="10"/>
        <v>1899</v>
      </c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65"/>
      <c r="C667" s="58"/>
      <c r="D667" s="65"/>
      <c r="E667" s="58"/>
      <c r="F667" s="67"/>
      <c r="G667" s="60"/>
      <c r="H667" s="68">
        <f>COUNTIFS(Minifigures!$C$22:$C$1137,D667)</f>
        <v>0</v>
      </c>
      <c r="I667" s="60"/>
      <c r="J667" s="79"/>
      <c r="K667" s="70"/>
      <c r="L667" s="71"/>
      <c r="M667" s="58"/>
      <c r="N667" s="72"/>
      <c r="O667" s="72"/>
      <c r="P667" s="63">
        <f t="shared" si="10"/>
        <v>1899</v>
      </c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65"/>
      <c r="C668" s="58"/>
      <c r="D668" s="65"/>
      <c r="E668" s="58"/>
      <c r="F668" s="67"/>
      <c r="G668" s="60"/>
      <c r="H668" s="68">
        <f>COUNTIFS(Minifigures!$C$22:$C$1137,D668)</f>
        <v>0</v>
      </c>
      <c r="I668" s="60"/>
      <c r="J668" s="79"/>
      <c r="K668" s="70"/>
      <c r="L668" s="71"/>
      <c r="M668" s="58"/>
      <c r="N668" s="72"/>
      <c r="O668" s="72"/>
      <c r="P668" s="63">
        <f t="shared" si="10"/>
        <v>1899</v>
      </c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65"/>
      <c r="C669" s="58"/>
      <c r="D669" s="65"/>
      <c r="E669" s="58"/>
      <c r="F669" s="67"/>
      <c r="G669" s="60"/>
      <c r="H669" s="68">
        <f>COUNTIFS(Minifigures!$C$22:$C$1137,D669)</f>
        <v>0</v>
      </c>
      <c r="I669" s="60"/>
      <c r="J669" s="79"/>
      <c r="K669" s="70"/>
      <c r="L669" s="71"/>
      <c r="M669" s="58"/>
      <c r="N669" s="72"/>
      <c r="O669" s="72"/>
      <c r="P669" s="63">
        <f t="shared" si="10"/>
        <v>1899</v>
      </c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65"/>
      <c r="C670" s="58"/>
      <c r="D670" s="65"/>
      <c r="E670" s="58"/>
      <c r="F670" s="67"/>
      <c r="G670" s="60"/>
      <c r="H670" s="68">
        <f>COUNTIFS(Minifigures!$C$22:$C$1137,D670)</f>
        <v>0</v>
      </c>
      <c r="I670" s="60"/>
      <c r="J670" s="79"/>
      <c r="K670" s="70"/>
      <c r="L670" s="71"/>
      <c r="M670" s="58"/>
      <c r="N670" s="72"/>
      <c r="O670" s="72"/>
      <c r="P670" s="63">
        <f t="shared" si="10"/>
        <v>1899</v>
      </c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65"/>
      <c r="C671" s="58"/>
      <c r="D671" s="65"/>
      <c r="E671" s="58"/>
      <c r="F671" s="67"/>
      <c r="G671" s="60"/>
      <c r="H671" s="68">
        <f>COUNTIFS(Minifigures!$C$22:$C$1137,D671)</f>
        <v>0</v>
      </c>
      <c r="I671" s="60"/>
      <c r="J671" s="79"/>
      <c r="K671" s="70"/>
      <c r="L671" s="71"/>
      <c r="M671" s="58"/>
      <c r="N671" s="72"/>
      <c r="O671" s="72"/>
      <c r="P671" s="63">
        <f t="shared" si="10"/>
        <v>1899</v>
      </c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65"/>
      <c r="C672" s="58"/>
      <c r="D672" s="65"/>
      <c r="E672" s="58"/>
      <c r="F672" s="67"/>
      <c r="G672" s="60"/>
      <c r="H672" s="68">
        <f>COUNTIFS(Minifigures!$C$22:$C$1137,D672)</f>
        <v>0</v>
      </c>
      <c r="I672" s="60"/>
      <c r="J672" s="79"/>
      <c r="K672" s="70"/>
      <c r="L672" s="71"/>
      <c r="M672" s="58"/>
      <c r="N672" s="72"/>
      <c r="O672" s="72"/>
      <c r="P672" s="63">
        <f t="shared" si="10"/>
        <v>1899</v>
      </c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65"/>
      <c r="C673" s="58"/>
      <c r="D673" s="65"/>
      <c r="E673" s="58"/>
      <c r="F673" s="67"/>
      <c r="G673" s="60"/>
      <c r="H673" s="68">
        <f>COUNTIFS(Minifigures!$C$22:$C$1137,D673)</f>
        <v>0</v>
      </c>
      <c r="I673" s="60"/>
      <c r="J673" s="79"/>
      <c r="K673" s="70"/>
      <c r="L673" s="71"/>
      <c r="M673" s="58"/>
      <c r="N673" s="72"/>
      <c r="O673" s="72"/>
      <c r="P673" s="63">
        <f t="shared" si="10"/>
        <v>1899</v>
      </c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65"/>
      <c r="C674" s="58"/>
      <c r="D674" s="65"/>
      <c r="E674" s="58"/>
      <c r="F674" s="67"/>
      <c r="G674" s="60"/>
      <c r="H674" s="68">
        <f>COUNTIFS(Minifigures!$C$22:$C$1137,D674)</f>
        <v>0</v>
      </c>
      <c r="I674" s="60"/>
      <c r="J674" s="79"/>
      <c r="K674" s="70"/>
      <c r="L674" s="71"/>
      <c r="M674" s="58"/>
      <c r="N674" s="72"/>
      <c r="O674" s="72"/>
      <c r="P674" s="63">
        <f t="shared" si="10"/>
        <v>1899</v>
      </c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65"/>
      <c r="C675" s="58"/>
      <c r="D675" s="65"/>
      <c r="E675" s="58"/>
      <c r="F675" s="67"/>
      <c r="G675" s="60"/>
      <c r="H675" s="68">
        <f>COUNTIFS(Minifigures!$C$22:$C$1137,D675)</f>
        <v>0</v>
      </c>
      <c r="I675" s="60"/>
      <c r="J675" s="79"/>
      <c r="K675" s="70"/>
      <c r="L675" s="71"/>
      <c r="M675" s="58"/>
      <c r="N675" s="72"/>
      <c r="O675" s="72"/>
      <c r="P675" s="63">
        <f t="shared" si="10"/>
        <v>1899</v>
      </c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65"/>
      <c r="C676" s="58"/>
      <c r="D676" s="65"/>
      <c r="E676" s="58"/>
      <c r="F676" s="67"/>
      <c r="G676" s="60"/>
      <c r="H676" s="68">
        <f>COUNTIFS(Minifigures!$C$22:$C$1137,D676)</f>
        <v>0</v>
      </c>
      <c r="I676" s="60"/>
      <c r="J676" s="79"/>
      <c r="K676" s="70"/>
      <c r="L676" s="71"/>
      <c r="M676" s="58"/>
      <c r="N676" s="72"/>
      <c r="O676" s="72"/>
      <c r="P676" s="63">
        <f t="shared" si="10"/>
        <v>1899</v>
      </c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65"/>
      <c r="C677" s="58"/>
      <c r="D677" s="65"/>
      <c r="E677" s="58"/>
      <c r="F677" s="67"/>
      <c r="G677" s="60"/>
      <c r="H677" s="68">
        <f>COUNTIFS(Minifigures!$C$22:$C$1137,D677)</f>
        <v>0</v>
      </c>
      <c r="I677" s="60"/>
      <c r="J677" s="79"/>
      <c r="K677" s="70"/>
      <c r="L677" s="71"/>
      <c r="M677" s="58"/>
      <c r="N677" s="72"/>
      <c r="O677" s="72"/>
      <c r="P677" s="63">
        <f t="shared" si="10"/>
        <v>1899</v>
      </c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65"/>
      <c r="C678" s="58"/>
      <c r="D678" s="65"/>
      <c r="E678" s="58"/>
      <c r="F678" s="67"/>
      <c r="G678" s="60"/>
      <c r="H678" s="68">
        <f>COUNTIFS(Minifigures!$C$22:$C$1137,D678)</f>
        <v>0</v>
      </c>
      <c r="I678" s="60"/>
      <c r="J678" s="79"/>
      <c r="K678" s="70"/>
      <c r="L678" s="71"/>
      <c r="M678" s="58"/>
      <c r="N678" s="72"/>
      <c r="O678" s="72"/>
      <c r="P678" s="63">
        <f t="shared" si="10"/>
        <v>1899</v>
      </c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65"/>
      <c r="C679" s="58"/>
      <c r="D679" s="65"/>
      <c r="E679" s="58"/>
      <c r="F679" s="67"/>
      <c r="G679" s="60"/>
      <c r="H679" s="68">
        <f>COUNTIFS(Minifigures!$C$22:$C$1137,D679)</f>
        <v>0</v>
      </c>
      <c r="I679" s="60"/>
      <c r="J679" s="79"/>
      <c r="K679" s="70"/>
      <c r="L679" s="71"/>
      <c r="M679" s="58"/>
      <c r="N679" s="72"/>
      <c r="O679" s="72"/>
      <c r="P679" s="63">
        <f t="shared" si="10"/>
        <v>1899</v>
      </c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65"/>
      <c r="C680" s="58"/>
      <c r="D680" s="65"/>
      <c r="E680" s="58"/>
      <c r="F680" s="67"/>
      <c r="G680" s="60"/>
      <c r="H680" s="68">
        <f>COUNTIFS(Minifigures!$C$22:$C$1137,D680)</f>
        <v>0</v>
      </c>
      <c r="I680" s="60"/>
      <c r="J680" s="79"/>
      <c r="K680" s="70"/>
      <c r="L680" s="71"/>
      <c r="M680" s="58"/>
      <c r="N680" s="72"/>
      <c r="O680" s="72"/>
      <c r="P680" s="63">
        <f t="shared" si="10"/>
        <v>1899</v>
      </c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65"/>
      <c r="C681" s="58"/>
      <c r="D681" s="65"/>
      <c r="E681" s="58"/>
      <c r="F681" s="67"/>
      <c r="G681" s="60"/>
      <c r="H681" s="68">
        <f>COUNTIFS(Minifigures!$C$22:$C$1137,D681)</f>
        <v>0</v>
      </c>
      <c r="I681" s="60"/>
      <c r="J681" s="79"/>
      <c r="K681" s="70"/>
      <c r="L681" s="71"/>
      <c r="M681" s="58"/>
      <c r="N681" s="72"/>
      <c r="O681" s="72"/>
      <c r="P681" s="63">
        <f t="shared" si="10"/>
        <v>1899</v>
      </c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65"/>
      <c r="C682" s="58"/>
      <c r="D682" s="65"/>
      <c r="E682" s="58"/>
      <c r="F682" s="67"/>
      <c r="G682" s="60"/>
      <c r="H682" s="68">
        <f>COUNTIFS(Minifigures!$C$22:$C$1137,D682)</f>
        <v>0</v>
      </c>
      <c r="I682" s="60"/>
      <c r="J682" s="79"/>
      <c r="K682" s="70"/>
      <c r="L682" s="71"/>
      <c r="M682" s="58"/>
      <c r="N682" s="72"/>
      <c r="O682" s="72"/>
      <c r="P682" s="63">
        <f t="shared" si="10"/>
        <v>1899</v>
      </c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65"/>
      <c r="C683" s="58"/>
      <c r="D683" s="65"/>
      <c r="E683" s="58"/>
      <c r="F683" s="67"/>
      <c r="G683" s="60"/>
      <c r="H683" s="68">
        <f>COUNTIFS(Minifigures!$C$22:$C$1137,D683)</f>
        <v>0</v>
      </c>
      <c r="I683" s="60"/>
      <c r="J683" s="79"/>
      <c r="K683" s="70"/>
      <c r="L683" s="71"/>
      <c r="M683" s="58"/>
      <c r="N683" s="72"/>
      <c r="O683" s="72"/>
      <c r="P683" s="63">
        <f t="shared" si="10"/>
        <v>1899</v>
      </c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65"/>
      <c r="C684" s="58"/>
      <c r="D684" s="65"/>
      <c r="E684" s="58"/>
      <c r="F684" s="67"/>
      <c r="G684" s="60"/>
      <c r="H684" s="68">
        <f>COUNTIFS(Minifigures!$C$22:$C$1137,D684)</f>
        <v>0</v>
      </c>
      <c r="I684" s="60"/>
      <c r="J684" s="79"/>
      <c r="K684" s="70"/>
      <c r="L684" s="71"/>
      <c r="M684" s="58"/>
      <c r="N684" s="72"/>
      <c r="O684" s="72"/>
      <c r="P684" s="63">
        <f t="shared" si="10"/>
        <v>1899</v>
      </c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65"/>
      <c r="C685" s="58"/>
      <c r="D685" s="65"/>
      <c r="E685" s="58"/>
      <c r="F685" s="67"/>
      <c r="G685" s="60"/>
      <c r="H685" s="68">
        <f>COUNTIFS(Minifigures!$C$22:$C$1137,D685)</f>
        <v>0</v>
      </c>
      <c r="I685" s="60"/>
      <c r="J685" s="79"/>
      <c r="K685" s="70"/>
      <c r="L685" s="71"/>
      <c r="M685" s="58"/>
      <c r="N685" s="72"/>
      <c r="O685" s="72"/>
      <c r="P685" s="63">
        <f t="shared" si="10"/>
        <v>1899</v>
      </c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65"/>
      <c r="C686" s="58"/>
      <c r="D686" s="65"/>
      <c r="E686" s="58"/>
      <c r="F686" s="67"/>
      <c r="G686" s="60"/>
      <c r="H686" s="68">
        <f>COUNTIFS(Minifigures!$C$22:$C$1137,D686)</f>
        <v>0</v>
      </c>
      <c r="I686" s="60"/>
      <c r="J686" s="79"/>
      <c r="K686" s="70"/>
      <c r="L686" s="71"/>
      <c r="M686" s="58"/>
      <c r="N686" s="72"/>
      <c r="O686" s="72"/>
      <c r="P686" s="63">
        <f t="shared" si="10"/>
        <v>1899</v>
      </c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65"/>
      <c r="C687" s="58"/>
      <c r="D687" s="65"/>
      <c r="E687" s="58"/>
      <c r="F687" s="67"/>
      <c r="G687" s="60"/>
      <c r="H687" s="68">
        <f>COUNTIFS(Minifigures!$C$22:$C$1137,D687)</f>
        <v>0</v>
      </c>
      <c r="I687" s="60"/>
      <c r="J687" s="79"/>
      <c r="K687" s="70"/>
      <c r="L687" s="71"/>
      <c r="M687" s="58"/>
      <c r="N687" s="72"/>
      <c r="O687" s="72"/>
      <c r="P687" s="63">
        <f t="shared" si="10"/>
        <v>1899</v>
      </c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65"/>
      <c r="C688" s="58"/>
      <c r="D688" s="65"/>
      <c r="E688" s="58"/>
      <c r="F688" s="67"/>
      <c r="G688" s="60"/>
      <c r="H688" s="68">
        <f>COUNTIFS(Minifigures!$C$22:$C$1137,D688)</f>
        <v>0</v>
      </c>
      <c r="I688" s="60"/>
      <c r="J688" s="79"/>
      <c r="K688" s="70"/>
      <c r="L688" s="71"/>
      <c r="M688" s="58"/>
      <c r="N688" s="72"/>
      <c r="O688" s="72"/>
      <c r="P688" s="63">
        <f t="shared" si="10"/>
        <v>1899</v>
      </c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65"/>
      <c r="C689" s="58"/>
      <c r="D689" s="65"/>
      <c r="E689" s="58"/>
      <c r="F689" s="67"/>
      <c r="G689" s="60"/>
      <c r="H689" s="68">
        <f>COUNTIFS(Minifigures!$C$22:$C$1137,D689)</f>
        <v>0</v>
      </c>
      <c r="I689" s="60"/>
      <c r="J689" s="79"/>
      <c r="K689" s="70"/>
      <c r="L689" s="71"/>
      <c r="M689" s="58"/>
      <c r="N689" s="72"/>
      <c r="O689" s="72"/>
      <c r="P689" s="63">
        <f t="shared" si="10"/>
        <v>1899</v>
      </c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65"/>
      <c r="C690" s="58"/>
      <c r="D690" s="65"/>
      <c r="E690" s="58"/>
      <c r="F690" s="67"/>
      <c r="G690" s="60"/>
      <c r="H690" s="68">
        <f>COUNTIFS(Minifigures!$C$22:$C$1137,D690)</f>
        <v>0</v>
      </c>
      <c r="I690" s="60"/>
      <c r="J690" s="79"/>
      <c r="K690" s="70"/>
      <c r="L690" s="71"/>
      <c r="M690" s="58"/>
      <c r="N690" s="72"/>
      <c r="O690" s="72"/>
      <c r="P690" s="63">
        <f t="shared" si="10"/>
        <v>1899</v>
      </c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65"/>
      <c r="C691" s="58"/>
      <c r="D691" s="65"/>
      <c r="E691" s="58"/>
      <c r="F691" s="67"/>
      <c r="G691" s="60"/>
      <c r="H691" s="68">
        <f>COUNTIFS(Minifigures!$C$22:$C$1137,D691)</f>
        <v>0</v>
      </c>
      <c r="I691" s="60"/>
      <c r="J691" s="79"/>
      <c r="K691" s="70"/>
      <c r="L691" s="71"/>
      <c r="M691" s="58"/>
      <c r="N691" s="72"/>
      <c r="O691" s="72"/>
      <c r="P691" s="63">
        <f t="shared" si="10"/>
        <v>1899</v>
      </c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65"/>
      <c r="C692" s="58"/>
      <c r="D692" s="65"/>
      <c r="E692" s="58"/>
      <c r="F692" s="67"/>
      <c r="G692" s="60"/>
      <c r="H692" s="68">
        <f>COUNTIFS(Minifigures!$C$22:$C$1137,D692)</f>
        <v>0</v>
      </c>
      <c r="I692" s="60"/>
      <c r="J692" s="79"/>
      <c r="K692" s="70"/>
      <c r="L692" s="71"/>
      <c r="M692" s="58"/>
      <c r="N692" s="72"/>
      <c r="O692" s="72"/>
      <c r="P692" s="63">
        <f t="shared" si="10"/>
        <v>1899</v>
      </c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65"/>
      <c r="C693" s="58"/>
      <c r="D693" s="65"/>
      <c r="E693" s="58"/>
      <c r="F693" s="67"/>
      <c r="G693" s="60"/>
      <c r="H693" s="68">
        <f>COUNTIFS(Minifigures!$C$22:$C$1137,D693)</f>
        <v>0</v>
      </c>
      <c r="I693" s="60"/>
      <c r="J693" s="79"/>
      <c r="K693" s="70"/>
      <c r="L693" s="71"/>
      <c r="M693" s="58"/>
      <c r="N693" s="72"/>
      <c r="O693" s="72"/>
      <c r="P693" s="63">
        <f t="shared" si="10"/>
        <v>1899</v>
      </c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65"/>
      <c r="C694" s="58"/>
      <c r="D694" s="65"/>
      <c r="E694" s="58"/>
      <c r="F694" s="67"/>
      <c r="G694" s="60"/>
      <c r="H694" s="68">
        <f>COUNTIFS(Minifigures!$C$22:$C$1137,D694)</f>
        <v>0</v>
      </c>
      <c r="I694" s="60"/>
      <c r="J694" s="79"/>
      <c r="K694" s="70"/>
      <c r="L694" s="71"/>
      <c r="M694" s="58"/>
      <c r="N694" s="72"/>
      <c r="O694" s="72"/>
      <c r="P694" s="63">
        <f t="shared" si="10"/>
        <v>1899</v>
      </c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65"/>
      <c r="C695" s="58"/>
      <c r="D695" s="65"/>
      <c r="E695" s="58"/>
      <c r="F695" s="67"/>
      <c r="G695" s="60"/>
      <c r="H695" s="68">
        <f>COUNTIFS(Minifigures!$C$22:$C$1137,D695)</f>
        <v>0</v>
      </c>
      <c r="I695" s="60"/>
      <c r="J695" s="79"/>
      <c r="K695" s="70"/>
      <c r="L695" s="71"/>
      <c r="M695" s="58"/>
      <c r="N695" s="72"/>
      <c r="O695" s="72"/>
      <c r="P695" s="63">
        <f t="shared" si="10"/>
        <v>1899</v>
      </c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65"/>
      <c r="C696" s="58"/>
      <c r="D696" s="65"/>
      <c r="E696" s="58"/>
      <c r="F696" s="67"/>
      <c r="G696" s="60"/>
      <c r="H696" s="68">
        <f>COUNTIFS(Minifigures!$C$22:$C$1137,D696)</f>
        <v>0</v>
      </c>
      <c r="I696" s="60"/>
      <c r="J696" s="79"/>
      <c r="K696" s="70"/>
      <c r="L696" s="71"/>
      <c r="M696" s="58"/>
      <c r="N696" s="72"/>
      <c r="O696" s="72"/>
      <c r="P696" s="63">
        <f t="shared" si="10"/>
        <v>1899</v>
      </c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65"/>
      <c r="C697" s="58"/>
      <c r="D697" s="65"/>
      <c r="E697" s="58"/>
      <c r="F697" s="67"/>
      <c r="G697" s="60"/>
      <c r="H697" s="68">
        <f>COUNTIFS(Minifigures!$C$22:$C$1137,D697)</f>
        <v>0</v>
      </c>
      <c r="I697" s="60"/>
      <c r="J697" s="79"/>
      <c r="K697" s="70"/>
      <c r="L697" s="71"/>
      <c r="M697" s="58"/>
      <c r="N697" s="72"/>
      <c r="O697" s="72"/>
      <c r="P697" s="63">
        <f t="shared" si="10"/>
        <v>1899</v>
      </c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65"/>
      <c r="C698" s="58"/>
      <c r="D698" s="65"/>
      <c r="E698" s="58"/>
      <c r="F698" s="67"/>
      <c r="G698" s="60"/>
      <c r="H698" s="68">
        <f>COUNTIFS(Minifigures!$C$22:$C$1137,D698)</f>
        <v>0</v>
      </c>
      <c r="I698" s="60"/>
      <c r="J698" s="79"/>
      <c r="K698" s="70"/>
      <c r="L698" s="71"/>
      <c r="M698" s="58"/>
      <c r="N698" s="72"/>
      <c r="O698" s="72"/>
      <c r="P698" s="63">
        <f t="shared" si="10"/>
        <v>1899</v>
      </c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65"/>
      <c r="C699" s="58"/>
      <c r="D699" s="65"/>
      <c r="E699" s="58"/>
      <c r="F699" s="67"/>
      <c r="G699" s="60"/>
      <c r="H699" s="68">
        <f>COUNTIFS(Minifigures!$C$22:$C$1137,D699)</f>
        <v>0</v>
      </c>
      <c r="I699" s="60"/>
      <c r="J699" s="79"/>
      <c r="K699" s="70"/>
      <c r="L699" s="71"/>
      <c r="M699" s="58"/>
      <c r="N699" s="72"/>
      <c r="O699" s="72"/>
      <c r="P699" s="63">
        <f t="shared" si="10"/>
        <v>1899</v>
      </c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65"/>
      <c r="C700" s="58"/>
      <c r="D700" s="65"/>
      <c r="E700" s="58"/>
      <c r="F700" s="67"/>
      <c r="G700" s="60"/>
      <c r="H700" s="68">
        <f>COUNTIFS(Minifigures!$C$22:$C$1137,D700)</f>
        <v>0</v>
      </c>
      <c r="I700" s="60"/>
      <c r="J700" s="79"/>
      <c r="K700" s="70"/>
      <c r="L700" s="71"/>
      <c r="M700" s="58"/>
      <c r="N700" s="72"/>
      <c r="O700" s="72"/>
      <c r="P700" s="63">
        <f t="shared" si="10"/>
        <v>1899</v>
      </c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65"/>
      <c r="C701" s="58"/>
      <c r="D701" s="65"/>
      <c r="E701" s="58"/>
      <c r="F701" s="67"/>
      <c r="G701" s="60"/>
      <c r="H701" s="68">
        <f>COUNTIFS(Minifigures!$C$22:$C$1137,D701)</f>
        <v>0</v>
      </c>
      <c r="I701" s="60"/>
      <c r="J701" s="79"/>
      <c r="K701" s="70"/>
      <c r="L701" s="71"/>
      <c r="M701" s="58"/>
      <c r="N701" s="72"/>
      <c r="O701" s="72"/>
      <c r="P701" s="63">
        <f t="shared" si="10"/>
        <v>1899</v>
      </c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65"/>
      <c r="C702" s="58"/>
      <c r="D702" s="65"/>
      <c r="E702" s="58"/>
      <c r="F702" s="67"/>
      <c r="G702" s="60"/>
      <c r="H702" s="68">
        <f>COUNTIFS(Minifigures!$C$22:$C$1137,D702)</f>
        <v>0</v>
      </c>
      <c r="I702" s="60"/>
      <c r="J702" s="79"/>
      <c r="K702" s="70"/>
      <c r="L702" s="71"/>
      <c r="M702" s="58"/>
      <c r="N702" s="72"/>
      <c r="O702" s="72"/>
      <c r="P702" s="63">
        <f t="shared" si="10"/>
        <v>1899</v>
      </c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65"/>
      <c r="C703" s="58"/>
      <c r="D703" s="65"/>
      <c r="E703" s="58"/>
      <c r="F703" s="67"/>
      <c r="G703" s="60"/>
      <c r="H703" s="68">
        <f>COUNTIFS(Minifigures!$C$22:$C$1137,D703)</f>
        <v>0</v>
      </c>
      <c r="I703" s="60"/>
      <c r="J703" s="79"/>
      <c r="K703" s="70"/>
      <c r="L703" s="71"/>
      <c r="M703" s="58"/>
      <c r="N703" s="72"/>
      <c r="O703" s="72"/>
      <c r="P703" s="63">
        <f t="shared" si="10"/>
        <v>1899</v>
      </c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65"/>
      <c r="C704" s="58"/>
      <c r="D704" s="65"/>
      <c r="E704" s="58"/>
      <c r="F704" s="67"/>
      <c r="G704" s="60"/>
      <c r="H704" s="68">
        <f>COUNTIFS(Minifigures!$C$22:$C$1137,D704)</f>
        <v>0</v>
      </c>
      <c r="I704" s="60"/>
      <c r="J704" s="79"/>
      <c r="K704" s="70"/>
      <c r="L704" s="71"/>
      <c r="M704" s="58"/>
      <c r="N704" s="72"/>
      <c r="O704" s="72"/>
      <c r="P704" s="63">
        <f t="shared" si="10"/>
        <v>1899</v>
      </c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65"/>
      <c r="C705" s="58"/>
      <c r="D705" s="65"/>
      <c r="E705" s="58"/>
      <c r="F705" s="67"/>
      <c r="G705" s="60"/>
      <c r="H705" s="68">
        <f>COUNTIFS(Minifigures!$C$22:$C$1137,D705)</f>
        <v>0</v>
      </c>
      <c r="I705" s="60"/>
      <c r="J705" s="79"/>
      <c r="K705" s="70"/>
      <c r="L705" s="71"/>
      <c r="M705" s="58"/>
      <c r="N705" s="72"/>
      <c r="O705" s="72"/>
      <c r="P705" s="63">
        <f t="shared" si="10"/>
        <v>1899</v>
      </c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65"/>
      <c r="C706" s="58"/>
      <c r="D706" s="65"/>
      <c r="E706" s="58"/>
      <c r="F706" s="67"/>
      <c r="G706" s="60"/>
      <c r="H706" s="68">
        <f>COUNTIFS(Minifigures!$C$22:$C$1137,D706)</f>
        <v>0</v>
      </c>
      <c r="I706" s="60"/>
      <c r="J706" s="79"/>
      <c r="K706" s="70"/>
      <c r="L706" s="71"/>
      <c r="M706" s="58"/>
      <c r="N706" s="72"/>
      <c r="O706" s="72"/>
      <c r="P706" s="63">
        <f t="shared" si="10"/>
        <v>1899</v>
      </c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65"/>
      <c r="C707" s="58"/>
      <c r="D707" s="65"/>
      <c r="E707" s="58"/>
      <c r="F707" s="67"/>
      <c r="G707" s="60"/>
      <c r="H707" s="68">
        <f>COUNTIFS(Minifigures!$C$22:$C$1137,D707)</f>
        <v>0</v>
      </c>
      <c r="I707" s="60"/>
      <c r="J707" s="79"/>
      <c r="K707" s="70"/>
      <c r="L707" s="71"/>
      <c r="M707" s="58"/>
      <c r="N707" s="72"/>
      <c r="O707" s="72"/>
      <c r="P707" s="63">
        <f t="shared" si="10"/>
        <v>1899</v>
      </c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65"/>
      <c r="C708" s="58"/>
      <c r="D708" s="65"/>
      <c r="E708" s="58"/>
      <c r="F708" s="67"/>
      <c r="G708" s="60"/>
      <c r="H708" s="68">
        <f>COUNTIFS(Minifigures!$C$22:$C$1137,D708)</f>
        <v>0</v>
      </c>
      <c r="I708" s="60"/>
      <c r="J708" s="79"/>
      <c r="K708" s="70"/>
      <c r="L708" s="71"/>
      <c r="M708" s="58"/>
      <c r="N708" s="72"/>
      <c r="O708" s="72"/>
      <c r="P708" s="63">
        <f t="shared" si="10"/>
        <v>1899</v>
      </c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65"/>
      <c r="C709" s="58"/>
      <c r="D709" s="65"/>
      <c r="E709" s="58"/>
      <c r="F709" s="67"/>
      <c r="G709" s="60"/>
      <c r="H709" s="68">
        <f>COUNTIFS(Minifigures!$C$22:$C$1137,D709)</f>
        <v>0</v>
      </c>
      <c r="I709" s="60"/>
      <c r="J709" s="79"/>
      <c r="K709" s="70"/>
      <c r="L709" s="71"/>
      <c r="M709" s="58"/>
      <c r="N709" s="72"/>
      <c r="O709" s="72"/>
      <c r="P709" s="63">
        <f t="shared" si="10"/>
        <v>1899</v>
      </c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65"/>
      <c r="C710" s="58"/>
      <c r="D710" s="65"/>
      <c r="E710" s="58"/>
      <c r="F710" s="67"/>
      <c r="G710" s="60"/>
      <c r="H710" s="68">
        <f>COUNTIFS(Minifigures!$C$22:$C$1137,D710)</f>
        <v>0</v>
      </c>
      <c r="I710" s="60"/>
      <c r="J710" s="79"/>
      <c r="K710" s="70"/>
      <c r="L710" s="71"/>
      <c r="M710" s="58"/>
      <c r="N710" s="72"/>
      <c r="O710" s="72"/>
      <c r="P710" s="63">
        <f t="shared" si="10"/>
        <v>1899</v>
      </c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65"/>
      <c r="C711" s="58"/>
      <c r="D711" s="65"/>
      <c r="E711" s="58"/>
      <c r="F711" s="67"/>
      <c r="G711" s="60"/>
      <c r="H711" s="68">
        <f>COUNTIFS(Minifigures!$C$22:$C$1137,D711)</f>
        <v>0</v>
      </c>
      <c r="I711" s="60"/>
      <c r="J711" s="79"/>
      <c r="K711" s="70"/>
      <c r="L711" s="71"/>
      <c r="M711" s="58"/>
      <c r="N711" s="72"/>
      <c r="O711" s="72"/>
      <c r="P711" s="63">
        <f t="shared" si="10"/>
        <v>1899</v>
      </c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65"/>
      <c r="C712" s="58"/>
      <c r="D712" s="65"/>
      <c r="E712" s="58"/>
      <c r="F712" s="67"/>
      <c r="G712" s="60"/>
      <c r="H712" s="68">
        <f>COUNTIFS(Minifigures!$C$22:$C$1137,D712)</f>
        <v>0</v>
      </c>
      <c r="I712" s="60"/>
      <c r="J712" s="79"/>
      <c r="K712" s="70"/>
      <c r="L712" s="71"/>
      <c r="M712" s="58"/>
      <c r="N712" s="72"/>
      <c r="O712" s="72"/>
      <c r="P712" s="63">
        <f t="shared" si="10"/>
        <v>1899</v>
      </c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65"/>
      <c r="C713" s="58"/>
      <c r="D713" s="65"/>
      <c r="E713" s="58"/>
      <c r="F713" s="67"/>
      <c r="G713" s="60"/>
      <c r="H713" s="68">
        <f>COUNTIFS(Minifigures!$C$22:$C$1137,D713)</f>
        <v>0</v>
      </c>
      <c r="I713" s="60"/>
      <c r="J713" s="79"/>
      <c r="K713" s="70"/>
      <c r="L713" s="71"/>
      <c r="M713" s="58"/>
      <c r="N713" s="72"/>
      <c r="O713" s="72"/>
      <c r="P713" s="63">
        <f t="shared" si="10"/>
        <v>1899</v>
      </c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65"/>
      <c r="C714" s="58"/>
      <c r="D714" s="65"/>
      <c r="E714" s="58"/>
      <c r="F714" s="67"/>
      <c r="G714" s="60"/>
      <c r="H714" s="68">
        <f>COUNTIFS(Minifigures!$C$22:$C$1137,D714)</f>
        <v>0</v>
      </c>
      <c r="I714" s="60"/>
      <c r="J714" s="79"/>
      <c r="K714" s="70"/>
      <c r="L714" s="71"/>
      <c r="M714" s="58"/>
      <c r="N714" s="72"/>
      <c r="O714" s="72"/>
      <c r="P714" s="63">
        <f t="shared" si="10"/>
        <v>1899</v>
      </c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65"/>
      <c r="C715" s="58"/>
      <c r="D715" s="65"/>
      <c r="E715" s="58"/>
      <c r="F715" s="67"/>
      <c r="G715" s="60"/>
      <c r="H715" s="68">
        <f>COUNTIFS(Minifigures!$C$22:$C$1137,D715)</f>
        <v>0</v>
      </c>
      <c r="I715" s="60"/>
      <c r="J715" s="79"/>
      <c r="K715" s="70"/>
      <c r="L715" s="71"/>
      <c r="M715" s="58"/>
      <c r="N715" s="72"/>
      <c r="O715" s="72"/>
      <c r="P715" s="63">
        <f t="shared" si="10"/>
        <v>1899</v>
      </c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65"/>
      <c r="C716" s="58"/>
      <c r="D716" s="65"/>
      <c r="E716" s="58"/>
      <c r="F716" s="67"/>
      <c r="G716" s="60"/>
      <c r="H716" s="68">
        <f>COUNTIFS(Minifigures!$C$22:$C$1137,D716)</f>
        <v>0</v>
      </c>
      <c r="I716" s="60"/>
      <c r="J716" s="79"/>
      <c r="K716" s="70"/>
      <c r="L716" s="71"/>
      <c r="M716" s="58"/>
      <c r="N716" s="72"/>
      <c r="O716" s="72"/>
      <c r="P716" s="63">
        <f t="shared" si="10"/>
        <v>1899</v>
      </c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65"/>
      <c r="C717" s="58"/>
      <c r="D717" s="65"/>
      <c r="E717" s="58"/>
      <c r="F717" s="67"/>
      <c r="G717" s="60"/>
      <c r="H717" s="68">
        <f>COUNTIFS(Minifigures!$C$22:$C$1137,D717)</f>
        <v>0</v>
      </c>
      <c r="I717" s="60"/>
      <c r="J717" s="79"/>
      <c r="K717" s="70"/>
      <c r="L717" s="71"/>
      <c r="M717" s="58"/>
      <c r="N717" s="72"/>
      <c r="O717" s="72"/>
      <c r="P717" s="63">
        <f t="shared" si="10"/>
        <v>1899</v>
      </c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65"/>
      <c r="C718" s="58"/>
      <c r="D718" s="65"/>
      <c r="E718" s="58"/>
      <c r="F718" s="67"/>
      <c r="G718" s="60"/>
      <c r="H718" s="68">
        <f>COUNTIFS(Minifigures!$C$22:$C$1137,D718)</f>
        <v>0</v>
      </c>
      <c r="I718" s="60"/>
      <c r="J718" s="79"/>
      <c r="K718" s="70"/>
      <c r="L718" s="71"/>
      <c r="M718" s="58"/>
      <c r="N718" s="72"/>
      <c r="O718" s="72"/>
      <c r="P718" s="63">
        <f t="shared" si="10"/>
        <v>1899</v>
      </c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65"/>
      <c r="C719" s="58"/>
      <c r="D719" s="65"/>
      <c r="E719" s="58"/>
      <c r="F719" s="67"/>
      <c r="G719" s="60"/>
      <c r="H719" s="68">
        <f>COUNTIFS(Minifigures!$C$22:$C$1137,D719)</f>
        <v>0</v>
      </c>
      <c r="I719" s="60"/>
      <c r="J719" s="79"/>
      <c r="K719" s="70"/>
      <c r="L719" s="71"/>
      <c r="M719" s="58"/>
      <c r="N719" s="72"/>
      <c r="O719" s="72"/>
      <c r="P719" s="63">
        <f t="shared" si="10"/>
        <v>1899</v>
      </c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65"/>
      <c r="C720" s="58"/>
      <c r="D720" s="65"/>
      <c r="E720" s="58"/>
      <c r="F720" s="67"/>
      <c r="G720" s="60"/>
      <c r="H720" s="68">
        <f>COUNTIFS(Minifigures!$C$22:$C$1137,D720)</f>
        <v>0</v>
      </c>
      <c r="I720" s="60"/>
      <c r="J720" s="79"/>
      <c r="K720" s="70"/>
      <c r="L720" s="71"/>
      <c r="M720" s="58"/>
      <c r="N720" s="72"/>
      <c r="O720" s="72"/>
      <c r="P720" s="63">
        <f t="shared" si="10"/>
        <v>1899</v>
      </c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65"/>
      <c r="C721" s="58"/>
      <c r="D721" s="65"/>
      <c r="E721" s="58"/>
      <c r="F721" s="67"/>
      <c r="G721" s="60"/>
      <c r="H721" s="68">
        <f>COUNTIFS(Minifigures!$C$22:$C$1137,D721)</f>
        <v>0</v>
      </c>
      <c r="I721" s="60"/>
      <c r="J721" s="79"/>
      <c r="K721" s="70"/>
      <c r="L721" s="71"/>
      <c r="M721" s="58"/>
      <c r="N721" s="72"/>
      <c r="O721" s="72"/>
      <c r="P721" s="63">
        <f t="shared" si="10"/>
        <v>1899</v>
      </c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65"/>
      <c r="C722" s="58"/>
      <c r="D722" s="65"/>
      <c r="E722" s="58"/>
      <c r="F722" s="67"/>
      <c r="G722" s="60"/>
      <c r="H722" s="68">
        <f>COUNTIFS(Minifigures!$C$22:$C$1137,D722)</f>
        <v>0</v>
      </c>
      <c r="I722" s="60"/>
      <c r="J722" s="79"/>
      <c r="K722" s="70"/>
      <c r="L722" s="71"/>
      <c r="M722" s="58"/>
      <c r="N722" s="72"/>
      <c r="O722" s="72"/>
      <c r="P722" s="63">
        <f t="shared" si="10"/>
        <v>1899</v>
      </c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65"/>
      <c r="C723" s="58"/>
      <c r="D723" s="65"/>
      <c r="E723" s="58"/>
      <c r="F723" s="67"/>
      <c r="G723" s="60"/>
      <c r="H723" s="68">
        <f>COUNTIFS(Minifigures!$C$22:$C$1137,D723)</f>
        <v>0</v>
      </c>
      <c r="I723" s="60"/>
      <c r="J723" s="79"/>
      <c r="K723" s="70"/>
      <c r="L723" s="71"/>
      <c r="M723" s="58"/>
      <c r="N723" s="72"/>
      <c r="O723" s="72"/>
      <c r="P723" s="63">
        <f t="shared" si="10"/>
        <v>1899</v>
      </c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65"/>
      <c r="C724" s="58"/>
      <c r="D724" s="65"/>
      <c r="E724" s="58"/>
      <c r="F724" s="67"/>
      <c r="G724" s="60"/>
      <c r="H724" s="68">
        <f>COUNTIFS(Minifigures!$C$22:$C$1137,D724)</f>
        <v>0</v>
      </c>
      <c r="I724" s="60"/>
      <c r="J724" s="79"/>
      <c r="K724" s="70"/>
      <c r="L724" s="71"/>
      <c r="M724" s="58"/>
      <c r="N724" s="72"/>
      <c r="O724" s="72"/>
      <c r="P724" s="63">
        <f t="shared" si="10"/>
        <v>1899</v>
      </c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65"/>
      <c r="C725" s="58"/>
      <c r="D725" s="65"/>
      <c r="E725" s="58"/>
      <c r="F725" s="67"/>
      <c r="G725" s="60"/>
      <c r="H725" s="68">
        <f>COUNTIFS(Minifigures!$C$22:$C$1137,D725)</f>
        <v>0</v>
      </c>
      <c r="I725" s="60"/>
      <c r="J725" s="79"/>
      <c r="K725" s="70"/>
      <c r="L725" s="71"/>
      <c r="M725" s="58"/>
      <c r="N725" s="72"/>
      <c r="O725" s="72"/>
      <c r="P725" s="63">
        <f t="shared" si="10"/>
        <v>1899</v>
      </c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65"/>
      <c r="C726" s="58"/>
      <c r="D726" s="65"/>
      <c r="E726" s="58"/>
      <c r="F726" s="67"/>
      <c r="G726" s="60"/>
      <c r="H726" s="68">
        <f>COUNTIFS(Minifigures!$C$22:$C$1137,D726)</f>
        <v>0</v>
      </c>
      <c r="I726" s="60"/>
      <c r="J726" s="79"/>
      <c r="K726" s="70"/>
      <c r="L726" s="71"/>
      <c r="M726" s="58"/>
      <c r="N726" s="72"/>
      <c r="O726" s="72"/>
      <c r="P726" s="63">
        <f t="shared" si="10"/>
        <v>1899</v>
      </c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65"/>
      <c r="C727" s="58"/>
      <c r="D727" s="65"/>
      <c r="E727" s="58"/>
      <c r="F727" s="67"/>
      <c r="G727" s="60"/>
      <c r="H727" s="68">
        <f>COUNTIFS(Minifigures!$C$22:$C$1137,D727)</f>
        <v>0</v>
      </c>
      <c r="I727" s="60"/>
      <c r="J727" s="79"/>
      <c r="K727" s="70"/>
      <c r="L727" s="71"/>
      <c r="M727" s="58"/>
      <c r="N727" s="72"/>
      <c r="O727" s="72"/>
      <c r="P727" s="63">
        <f t="shared" si="10"/>
        <v>1899</v>
      </c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65"/>
      <c r="C728" s="58"/>
      <c r="D728" s="65"/>
      <c r="E728" s="58"/>
      <c r="F728" s="67"/>
      <c r="G728" s="60"/>
      <c r="H728" s="68">
        <f>COUNTIFS(Minifigures!$C$22:$C$1137,D728)</f>
        <v>0</v>
      </c>
      <c r="I728" s="60"/>
      <c r="J728" s="79"/>
      <c r="K728" s="70"/>
      <c r="L728" s="71"/>
      <c r="M728" s="58"/>
      <c r="N728" s="72"/>
      <c r="O728" s="72"/>
      <c r="P728" s="63">
        <f t="shared" si="10"/>
        <v>1899</v>
      </c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65"/>
      <c r="C729" s="58"/>
      <c r="D729" s="65"/>
      <c r="E729" s="58"/>
      <c r="F729" s="67"/>
      <c r="G729" s="60"/>
      <c r="H729" s="68">
        <f>COUNTIFS(Minifigures!$C$22:$C$1137,D729)</f>
        <v>0</v>
      </c>
      <c r="I729" s="60"/>
      <c r="J729" s="79"/>
      <c r="K729" s="70"/>
      <c r="L729" s="71"/>
      <c r="M729" s="58"/>
      <c r="N729" s="72"/>
      <c r="O729" s="72"/>
      <c r="P729" s="63">
        <f t="shared" si="10"/>
        <v>1899</v>
      </c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65"/>
      <c r="C730" s="58"/>
      <c r="D730" s="65"/>
      <c r="E730" s="58"/>
      <c r="F730" s="67"/>
      <c r="G730" s="60"/>
      <c r="H730" s="68">
        <f>COUNTIFS(Minifigures!$C$22:$C$1137,D730)</f>
        <v>0</v>
      </c>
      <c r="I730" s="60"/>
      <c r="J730" s="79"/>
      <c r="K730" s="70"/>
      <c r="L730" s="71"/>
      <c r="M730" s="58"/>
      <c r="N730" s="72"/>
      <c r="O730" s="72"/>
      <c r="P730" s="63">
        <f t="shared" si="10"/>
        <v>1899</v>
      </c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65"/>
      <c r="C731" s="58"/>
      <c r="D731" s="65"/>
      <c r="E731" s="58"/>
      <c r="F731" s="67"/>
      <c r="G731" s="60"/>
      <c r="H731" s="68">
        <f>COUNTIFS(Minifigures!$C$22:$C$1137,D731)</f>
        <v>0</v>
      </c>
      <c r="I731" s="60"/>
      <c r="J731" s="79"/>
      <c r="K731" s="70"/>
      <c r="L731" s="71"/>
      <c r="M731" s="58"/>
      <c r="N731" s="72"/>
      <c r="O731" s="72"/>
      <c r="P731" s="63">
        <f t="shared" si="10"/>
        <v>1899</v>
      </c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65"/>
      <c r="C732" s="58"/>
      <c r="D732" s="65"/>
      <c r="E732" s="58"/>
      <c r="F732" s="67"/>
      <c r="G732" s="60"/>
      <c r="H732" s="68">
        <f>COUNTIFS(Minifigures!$C$22:$C$1137,D732)</f>
        <v>0</v>
      </c>
      <c r="I732" s="60"/>
      <c r="J732" s="79"/>
      <c r="K732" s="70"/>
      <c r="L732" s="71"/>
      <c r="M732" s="58"/>
      <c r="N732" s="72"/>
      <c r="O732" s="72"/>
      <c r="P732" s="63">
        <f t="shared" si="10"/>
        <v>1899</v>
      </c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65"/>
      <c r="C733" s="58"/>
      <c r="D733" s="65"/>
      <c r="E733" s="58"/>
      <c r="F733" s="67"/>
      <c r="G733" s="60"/>
      <c r="H733" s="68">
        <f>COUNTIFS(Minifigures!$C$22:$C$1137,D733)</f>
        <v>0</v>
      </c>
      <c r="I733" s="60"/>
      <c r="J733" s="79"/>
      <c r="K733" s="70"/>
      <c r="L733" s="71"/>
      <c r="M733" s="58"/>
      <c r="N733" s="72"/>
      <c r="O733" s="72"/>
      <c r="P733" s="63">
        <f t="shared" si="10"/>
        <v>1899</v>
      </c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65"/>
      <c r="C734" s="58"/>
      <c r="D734" s="65"/>
      <c r="E734" s="58"/>
      <c r="F734" s="67"/>
      <c r="G734" s="60"/>
      <c r="H734" s="68">
        <f>COUNTIFS(Minifigures!$C$22:$C$1137,D734)</f>
        <v>0</v>
      </c>
      <c r="I734" s="60"/>
      <c r="J734" s="79"/>
      <c r="K734" s="70"/>
      <c r="L734" s="71"/>
      <c r="M734" s="58"/>
      <c r="N734" s="72"/>
      <c r="O734" s="72"/>
      <c r="P734" s="63">
        <f t="shared" si="10"/>
        <v>1899</v>
      </c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65"/>
      <c r="C735" s="58"/>
      <c r="D735" s="65"/>
      <c r="E735" s="58"/>
      <c r="F735" s="67"/>
      <c r="G735" s="60"/>
      <c r="H735" s="68">
        <f>COUNTIFS(Minifigures!$C$22:$C$1137,D735)</f>
        <v>0</v>
      </c>
      <c r="I735" s="60"/>
      <c r="J735" s="79"/>
      <c r="K735" s="70"/>
      <c r="L735" s="71"/>
      <c r="M735" s="58"/>
      <c r="N735" s="72"/>
      <c r="O735" s="72"/>
      <c r="P735" s="63">
        <f t="shared" si="10"/>
        <v>1899</v>
      </c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65"/>
      <c r="C736" s="58"/>
      <c r="D736" s="65"/>
      <c r="E736" s="58"/>
      <c r="F736" s="67"/>
      <c r="G736" s="60"/>
      <c r="H736" s="68">
        <f>COUNTIFS(Minifigures!$C$22:$C$1137,D736)</f>
        <v>0</v>
      </c>
      <c r="I736" s="60"/>
      <c r="J736" s="79"/>
      <c r="K736" s="70"/>
      <c r="L736" s="71"/>
      <c r="M736" s="58"/>
      <c r="N736" s="72"/>
      <c r="O736" s="72"/>
      <c r="P736" s="63">
        <f t="shared" si="10"/>
        <v>1899</v>
      </c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65"/>
      <c r="C737" s="58"/>
      <c r="D737" s="65"/>
      <c r="E737" s="58"/>
      <c r="F737" s="67"/>
      <c r="G737" s="60"/>
      <c r="H737" s="68">
        <f>COUNTIFS(Minifigures!$C$22:$C$1137,D737)</f>
        <v>0</v>
      </c>
      <c r="I737" s="60"/>
      <c r="J737" s="79"/>
      <c r="K737" s="70"/>
      <c r="L737" s="71"/>
      <c r="M737" s="58"/>
      <c r="N737" s="72"/>
      <c r="O737" s="72"/>
      <c r="P737" s="63">
        <f t="shared" si="10"/>
        <v>1899</v>
      </c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65"/>
      <c r="C738" s="58"/>
      <c r="D738" s="65"/>
      <c r="E738" s="58"/>
      <c r="F738" s="67"/>
      <c r="G738" s="60"/>
      <c r="H738" s="68">
        <f>COUNTIFS(Minifigures!$C$22:$C$1137,D738)</f>
        <v>0</v>
      </c>
      <c r="I738" s="60"/>
      <c r="J738" s="79"/>
      <c r="K738" s="70"/>
      <c r="L738" s="71"/>
      <c r="M738" s="58"/>
      <c r="N738" s="72"/>
      <c r="O738" s="72"/>
      <c r="P738" s="63">
        <f t="shared" si="10"/>
        <v>1899</v>
      </c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65"/>
      <c r="C739" s="58"/>
      <c r="D739" s="65"/>
      <c r="E739" s="58"/>
      <c r="F739" s="67"/>
      <c r="G739" s="60"/>
      <c r="H739" s="68">
        <f>COUNTIFS(Minifigures!$C$22:$C$1137,D739)</f>
        <v>0</v>
      </c>
      <c r="I739" s="60"/>
      <c r="J739" s="79"/>
      <c r="K739" s="70"/>
      <c r="L739" s="71"/>
      <c r="M739" s="58"/>
      <c r="N739" s="72"/>
      <c r="O739" s="72"/>
      <c r="P739" s="63">
        <f t="shared" si="10"/>
        <v>1899</v>
      </c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65"/>
      <c r="C740" s="58"/>
      <c r="D740" s="65"/>
      <c r="E740" s="58"/>
      <c r="F740" s="67"/>
      <c r="G740" s="60"/>
      <c r="H740" s="68">
        <f>COUNTIFS(Minifigures!$C$22:$C$1137,D740)</f>
        <v>0</v>
      </c>
      <c r="I740" s="60"/>
      <c r="J740" s="79"/>
      <c r="K740" s="70"/>
      <c r="L740" s="71"/>
      <c r="M740" s="58"/>
      <c r="N740" s="72"/>
      <c r="O740" s="72"/>
      <c r="P740" s="63">
        <f t="shared" si="10"/>
        <v>1899</v>
      </c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65"/>
      <c r="C741" s="58"/>
      <c r="D741" s="65"/>
      <c r="E741" s="58"/>
      <c r="F741" s="67"/>
      <c r="G741" s="60"/>
      <c r="H741" s="68">
        <f>COUNTIFS(Minifigures!$C$22:$C$1137,D741)</f>
        <v>0</v>
      </c>
      <c r="I741" s="60"/>
      <c r="J741" s="79"/>
      <c r="K741" s="70"/>
      <c r="L741" s="71"/>
      <c r="M741" s="58"/>
      <c r="N741" s="72"/>
      <c r="O741" s="72"/>
      <c r="P741" s="63">
        <f t="shared" si="10"/>
        <v>1899</v>
      </c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65"/>
      <c r="C742" s="58"/>
      <c r="D742" s="65"/>
      <c r="E742" s="58"/>
      <c r="F742" s="67"/>
      <c r="G742" s="60"/>
      <c r="H742" s="68">
        <f>COUNTIFS(Minifigures!$C$22:$C$1137,D742)</f>
        <v>0</v>
      </c>
      <c r="I742" s="60"/>
      <c r="J742" s="79"/>
      <c r="K742" s="70"/>
      <c r="L742" s="71"/>
      <c r="M742" s="58"/>
      <c r="N742" s="72"/>
      <c r="O742" s="72"/>
      <c r="P742" s="63">
        <f t="shared" si="10"/>
        <v>1899</v>
      </c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65"/>
      <c r="C743" s="58"/>
      <c r="D743" s="65"/>
      <c r="E743" s="58"/>
      <c r="F743" s="67"/>
      <c r="G743" s="60"/>
      <c r="H743" s="68">
        <f>COUNTIFS(Minifigures!$C$22:$C$1137,D743)</f>
        <v>0</v>
      </c>
      <c r="I743" s="60"/>
      <c r="J743" s="79"/>
      <c r="K743" s="70"/>
      <c r="L743" s="71"/>
      <c r="M743" s="58"/>
      <c r="N743" s="72"/>
      <c r="O743" s="72"/>
      <c r="P743" s="63">
        <f t="shared" si="10"/>
        <v>1899</v>
      </c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65"/>
      <c r="C744" s="58"/>
      <c r="D744" s="65"/>
      <c r="E744" s="58"/>
      <c r="F744" s="67"/>
      <c r="G744" s="60"/>
      <c r="H744" s="68">
        <f>COUNTIFS(Minifigures!$C$22:$C$1137,D744)</f>
        <v>0</v>
      </c>
      <c r="I744" s="60"/>
      <c r="J744" s="79"/>
      <c r="K744" s="70"/>
      <c r="L744" s="71"/>
      <c r="M744" s="58"/>
      <c r="N744" s="72"/>
      <c r="O744" s="72"/>
      <c r="P744" s="63">
        <f t="shared" si="10"/>
        <v>1899</v>
      </c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65"/>
      <c r="C745" s="58"/>
      <c r="D745" s="65"/>
      <c r="E745" s="58"/>
      <c r="F745" s="67"/>
      <c r="G745" s="60"/>
      <c r="H745" s="68">
        <f>COUNTIFS(Minifigures!$C$22:$C$1137,D745)</f>
        <v>0</v>
      </c>
      <c r="I745" s="60"/>
      <c r="J745" s="79"/>
      <c r="K745" s="70"/>
      <c r="L745" s="71"/>
      <c r="M745" s="58"/>
      <c r="N745" s="72"/>
      <c r="O745" s="72"/>
      <c r="P745" s="63">
        <f t="shared" si="10"/>
        <v>1899</v>
      </c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65"/>
      <c r="C746" s="58"/>
      <c r="D746" s="65"/>
      <c r="E746" s="58"/>
      <c r="F746" s="67"/>
      <c r="G746" s="60"/>
      <c r="H746" s="68">
        <f>COUNTIFS(Minifigures!$C$22:$C$1137,D746)</f>
        <v>0</v>
      </c>
      <c r="I746" s="60"/>
      <c r="J746" s="79"/>
      <c r="K746" s="70"/>
      <c r="L746" s="71"/>
      <c r="M746" s="58"/>
      <c r="N746" s="72"/>
      <c r="O746" s="72"/>
      <c r="P746" s="63">
        <f t="shared" si="10"/>
        <v>1899</v>
      </c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65"/>
      <c r="C747" s="58"/>
      <c r="D747" s="65"/>
      <c r="E747" s="58"/>
      <c r="F747" s="67"/>
      <c r="G747" s="60"/>
      <c r="H747" s="68">
        <f>COUNTIFS(Minifigures!$C$22:$C$1137,D747)</f>
        <v>0</v>
      </c>
      <c r="I747" s="60"/>
      <c r="J747" s="79"/>
      <c r="K747" s="70"/>
      <c r="L747" s="71"/>
      <c r="M747" s="58"/>
      <c r="N747" s="72"/>
      <c r="O747" s="72"/>
      <c r="P747" s="63">
        <f t="shared" si="10"/>
        <v>1899</v>
      </c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65"/>
      <c r="C748" s="58"/>
      <c r="D748" s="65"/>
      <c r="E748" s="58"/>
      <c r="F748" s="67"/>
      <c r="G748" s="60"/>
      <c r="H748" s="68">
        <f>COUNTIFS(Minifigures!$C$22:$C$1137,D748)</f>
        <v>0</v>
      </c>
      <c r="I748" s="60"/>
      <c r="J748" s="79"/>
      <c r="K748" s="70"/>
      <c r="L748" s="71"/>
      <c r="M748" s="58"/>
      <c r="N748" s="72"/>
      <c r="O748" s="72"/>
      <c r="P748" s="63">
        <f t="shared" si="10"/>
        <v>1899</v>
      </c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65"/>
      <c r="C749" s="58"/>
      <c r="D749" s="65"/>
      <c r="E749" s="58"/>
      <c r="F749" s="67"/>
      <c r="G749" s="60"/>
      <c r="H749" s="68">
        <f>COUNTIFS(Minifigures!$C$22:$C$1137,D749)</f>
        <v>0</v>
      </c>
      <c r="I749" s="60"/>
      <c r="J749" s="79"/>
      <c r="K749" s="70"/>
      <c r="L749" s="71"/>
      <c r="M749" s="58"/>
      <c r="N749" s="72"/>
      <c r="O749" s="72"/>
      <c r="P749" s="63">
        <f t="shared" si="10"/>
        <v>1899</v>
      </c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65"/>
      <c r="C750" s="58"/>
      <c r="D750" s="65"/>
      <c r="E750" s="58"/>
      <c r="F750" s="67"/>
      <c r="G750" s="60"/>
      <c r="H750" s="68">
        <f>COUNTIFS(Minifigures!$C$22:$C$1137,D750)</f>
        <v>0</v>
      </c>
      <c r="I750" s="60"/>
      <c r="J750" s="79"/>
      <c r="K750" s="70"/>
      <c r="L750" s="71"/>
      <c r="M750" s="58"/>
      <c r="N750" s="72"/>
      <c r="O750" s="72"/>
      <c r="P750" s="63">
        <f t="shared" si="10"/>
        <v>1899</v>
      </c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65"/>
      <c r="C751" s="58"/>
      <c r="D751" s="65"/>
      <c r="E751" s="58"/>
      <c r="F751" s="67"/>
      <c r="G751" s="60"/>
      <c r="H751" s="68">
        <f>COUNTIFS(Minifigures!$C$22:$C$1137,D751)</f>
        <v>0</v>
      </c>
      <c r="I751" s="60"/>
      <c r="J751" s="79"/>
      <c r="K751" s="70"/>
      <c r="L751" s="71"/>
      <c r="M751" s="58"/>
      <c r="N751" s="72"/>
      <c r="O751" s="72"/>
      <c r="P751" s="63">
        <f t="shared" si="10"/>
        <v>1899</v>
      </c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65"/>
      <c r="C752" s="58"/>
      <c r="D752" s="65"/>
      <c r="E752" s="58"/>
      <c r="F752" s="67"/>
      <c r="G752" s="60"/>
      <c r="H752" s="68">
        <f>COUNTIFS(Minifigures!$C$22:$C$1137,D752)</f>
        <v>0</v>
      </c>
      <c r="I752" s="60"/>
      <c r="J752" s="79"/>
      <c r="K752" s="70"/>
      <c r="L752" s="71"/>
      <c r="M752" s="58"/>
      <c r="N752" s="72"/>
      <c r="O752" s="72"/>
      <c r="P752" s="63">
        <f t="shared" si="10"/>
        <v>1899</v>
      </c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65"/>
      <c r="C753" s="58"/>
      <c r="D753" s="65"/>
      <c r="E753" s="58"/>
      <c r="F753" s="67"/>
      <c r="G753" s="60"/>
      <c r="H753" s="68">
        <f>COUNTIFS(Minifigures!$C$22:$C$1137,D753)</f>
        <v>0</v>
      </c>
      <c r="I753" s="60"/>
      <c r="J753" s="79"/>
      <c r="K753" s="70"/>
      <c r="L753" s="71"/>
      <c r="M753" s="58"/>
      <c r="N753" s="72"/>
      <c r="O753" s="72"/>
      <c r="P753" s="63">
        <f t="shared" si="10"/>
        <v>1899</v>
      </c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65"/>
      <c r="C754" s="58"/>
      <c r="D754" s="65"/>
      <c r="E754" s="58"/>
      <c r="F754" s="67"/>
      <c r="G754" s="60"/>
      <c r="H754" s="68">
        <f>COUNTIFS(Minifigures!$C$22:$C$1137,D754)</f>
        <v>0</v>
      </c>
      <c r="I754" s="60"/>
      <c r="J754" s="79"/>
      <c r="K754" s="70"/>
      <c r="L754" s="71"/>
      <c r="M754" s="58"/>
      <c r="N754" s="72"/>
      <c r="O754" s="72"/>
      <c r="P754" s="63">
        <f t="shared" si="10"/>
        <v>1899</v>
      </c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65"/>
      <c r="C755" s="58"/>
      <c r="D755" s="65"/>
      <c r="E755" s="58"/>
      <c r="F755" s="67"/>
      <c r="G755" s="60"/>
      <c r="H755" s="68">
        <f>COUNTIFS(Minifigures!$C$22:$C$1137,D755)</f>
        <v>0</v>
      </c>
      <c r="I755" s="60"/>
      <c r="J755" s="79"/>
      <c r="K755" s="70"/>
      <c r="L755" s="71"/>
      <c r="M755" s="58"/>
      <c r="N755" s="72"/>
      <c r="O755" s="72"/>
      <c r="P755" s="63">
        <f t="shared" si="10"/>
        <v>1899</v>
      </c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65"/>
      <c r="C756" s="58"/>
      <c r="D756" s="65"/>
      <c r="E756" s="58"/>
      <c r="F756" s="67"/>
      <c r="G756" s="60"/>
      <c r="H756" s="68">
        <f>COUNTIFS(Minifigures!$C$22:$C$1137,D756)</f>
        <v>0</v>
      </c>
      <c r="I756" s="60"/>
      <c r="J756" s="79"/>
      <c r="K756" s="70"/>
      <c r="L756" s="71"/>
      <c r="M756" s="58"/>
      <c r="N756" s="72"/>
      <c r="O756" s="72"/>
      <c r="P756" s="63">
        <f t="shared" si="10"/>
        <v>1899</v>
      </c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65"/>
      <c r="C757" s="58"/>
      <c r="D757" s="65"/>
      <c r="E757" s="58"/>
      <c r="F757" s="67"/>
      <c r="G757" s="60"/>
      <c r="H757" s="68">
        <f>COUNTIFS(Minifigures!$C$22:$C$1137,D757)</f>
        <v>0</v>
      </c>
      <c r="I757" s="60"/>
      <c r="J757" s="79"/>
      <c r="K757" s="70"/>
      <c r="L757" s="71"/>
      <c r="M757" s="58"/>
      <c r="N757" s="72"/>
      <c r="O757" s="72"/>
      <c r="P757" s="63">
        <f t="shared" si="10"/>
        <v>1899</v>
      </c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65"/>
      <c r="C758" s="58"/>
      <c r="D758" s="65"/>
      <c r="E758" s="58"/>
      <c r="F758" s="67"/>
      <c r="G758" s="60"/>
      <c r="H758" s="68">
        <f>COUNTIFS(Minifigures!$C$22:$C$1137,D758)</f>
        <v>0</v>
      </c>
      <c r="I758" s="60"/>
      <c r="J758" s="79"/>
      <c r="K758" s="70"/>
      <c r="L758" s="71"/>
      <c r="M758" s="58"/>
      <c r="N758" s="72"/>
      <c r="O758" s="72"/>
      <c r="P758" s="63">
        <f t="shared" si="10"/>
        <v>1899</v>
      </c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65"/>
      <c r="C759" s="58"/>
      <c r="D759" s="65"/>
      <c r="E759" s="58"/>
      <c r="F759" s="67"/>
      <c r="G759" s="60"/>
      <c r="H759" s="68">
        <f>COUNTIFS(Minifigures!$C$22:$C$1137,D759)</f>
        <v>0</v>
      </c>
      <c r="I759" s="60"/>
      <c r="J759" s="79"/>
      <c r="K759" s="70"/>
      <c r="L759" s="71"/>
      <c r="M759" s="58"/>
      <c r="N759" s="72"/>
      <c r="O759" s="72"/>
      <c r="P759" s="63">
        <f t="shared" si="10"/>
        <v>1899</v>
      </c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65"/>
      <c r="C760" s="58"/>
      <c r="D760" s="65"/>
      <c r="E760" s="58"/>
      <c r="F760" s="67"/>
      <c r="G760" s="60"/>
      <c r="H760" s="68">
        <f>COUNTIFS(Minifigures!$C$22:$C$1137,D760)</f>
        <v>0</v>
      </c>
      <c r="I760" s="60"/>
      <c r="J760" s="79"/>
      <c r="K760" s="70"/>
      <c r="L760" s="71"/>
      <c r="M760" s="58"/>
      <c r="N760" s="72"/>
      <c r="O760" s="72"/>
      <c r="P760" s="63">
        <f t="shared" si="10"/>
        <v>1899</v>
      </c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65"/>
      <c r="C761" s="58"/>
      <c r="D761" s="65"/>
      <c r="E761" s="58"/>
      <c r="F761" s="67"/>
      <c r="G761" s="60"/>
      <c r="H761" s="68">
        <f>COUNTIFS(Minifigures!$C$22:$C$1137,D761)</f>
        <v>0</v>
      </c>
      <c r="I761" s="60"/>
      <c r="J761" s="79"/>
      <c r="K761" s="70"/>
      <c r="L761" s="71"/>
      <c r="M761" s="58"/>
      <c r="N761" s="72"/>
      <c r="O761" s="72"/>
      <c r="P761" s="63">
        <f t="shared" si="10"/>
        <v>1899</v>
      </c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65"/>
      <c r="C762" s="58"/>
      <c r="D762" s="65"/>
      <c r="E762" s="58"/>
      <c r="F762" s="67"/>
      <c r="G762" s="60"/>
      <c r="H762" s="68">
        <f>COUNTIFS(Minifigures!$C$22:$C$1137,D762)</f>
        <v>0</v>
      </c>
      <c r="I762" s="60"/>
      <c r="J762" s="79"/>
      <c r="K762" s="70"/>
      <c r="L762" s="71"/>
      <c r="M762" s="58"/>
      <c r="N762" s="72"/>
      <c r="O762" s="72"/>
      <c r="P762" s="63">
        <f t="shared" si="10"/>
        <v>1899</v>
      </c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65"/>
      <c r="C763" s="58"/>
      <c r="D763" s="65"/>
      <c r="E763" s="58"/>
      <c r="F763" s="67"/>
      <c r="G763" s="60"/>
      <c r="H763" s="68">
        <f>COUNTIFS(Minifigures!$C$22:$C$1137,D763)</f>
        <v>0</v>
      </c>
      <c r="I763" s="60"/>
      <c r="J763" s="79"/>
      <c r="K763" s="70"/>
      <c r="L763" s="71"/>
      <c r="M763" s="58"/>
      <c r="N763" s="72"/>
      <c r="O763" s="72"/>
      <c r="P763" s="63">
        <f t="shared" si="10"/>
        <v>1899</v>
      </c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65"/>
      <c r="C764" s="58"/>
      <c r="D764" s="65"/>
      <c r="E764" s="58"/>
      <c r="F764" s="67"/>
      <c r="G764" s="60"/>
      <c r="H764" s="68">
        <f>COUNTIFS(Minifigures!$C$22:$C$1137,D764)</f>
        <v>0</v>
      </c>
      <c r="I764" s="60"/>
      <c r="J764" s="79"/>
      <c r="K764" s="70"/>
      <c r="L764" s="71"/>
      <c r="M764" s="58"/>
      <c r="N764" s="72"/>
      <c r="O764" s="72"/>
      <c r="P764" s="63">
        <f t="shared" si="10"/>
        <v>1899</v>
      </c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65"/>
      <c r="C765" s="58"/>
      <c r="D765" s="65"/>
      <c r="E765" s="58"/>
      <c r="F765" s="67"/>
      <c r="G765" s="60"/>
      <c r="H765" s="68">
        <f>COUNTIFS(Minifigures!$C$22:$C$1137,D765)</f>
        <v>0</v>
      </c>
      <c r="I765" s="60"/>
      <c r="J765" s="79"/>
      <c r="K765" s="70"/>
      <c r="L765" s="71"/>
      <c r="M765" s="58"/>
      <c r="N765" s="72"/>
      <c r="O765" s="72"/>
      <c r="P765" s="63">
        <f t="shared" si="10"/>
        <v>1899</v>
      </c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65"/>
      <c r="C766" s="58"/>
      <c r="D766" s="65"/>
      <c r="E766" s="58"/>
      <c r="F766" s="67"/>
      <c r="G766" s="60"/>
      <c r="H766" s="68">
        <f>COUNTIFS(Minifigures!$C$22:$C$1137,D766)</f>
        <v>0</v>
      </c>
      <c r="I766" s="60"/>
      <c r="J766" s="79"/>
      <c r="K766" s="70"/>
      <c r="L766" s="71"/>
      <c r="M766" s="58"/>
      <c r="N766" s="72"/>
      <c r="O766" s="72"/>
      <c r="P766" s="63">
        <f t="shared" si="10"/>
        <v>1899</v>
      </c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65"/>
      <c r="C767" s="58"/>
      <c r="D767" s="65"/>
      <c r="E767" s="58"/>
      <c r="F767" s="67"/>
      <c r="G767" s="60"/>
      <c r="H767" s="68">
        <f>COUNTIFS(Minifigures!$C$22:$C$1137,D767)</f>
        <v>0</v>
      </c>
      <c r="I767" s="60"/>
      <c r="J767" s="79"/>
      <c r="K767" s="70"/>
      <c r="L767" s="71"/>
      <c r="M767" s="58"/>
      <c r="N767" s="72"/>
      <c r="O767" s="72"/>
      <c r="P767" s="63">
        <f t="shared" si="10"/>
        <v>1899</v>
      </c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65"/>
      <c r="C768" s="58"/>
      <c r="D768" s="65"/>
      <c r="E768" s="58"/>
      <c r="F768" s="67"/>
      <c r="G768" s="60"/>
      <c r="H768" s="68">
        <f>COUNTIFS(Minifigures!$C$22:$C$1137,D768)</f>
        <v>0</v>
      </c>
      <c r="I768" s="60"/>
      <c r="J768" s="79"/>
      <c r="K768" s="70"/>
      <c r="L768" s="71"/>
      <c r="M768" s="58"/>
      <c r="N768" s="72"/>
      <c r="O768" s="72"/>
      <c r="P768" s="63">
        <f t="shared" si="10"/>
        <v>1899</v>
      </c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65"/>
      <c r="C769" s="58"/>
      <c r="D769" s="65"/>
      <c r="E769" s="58"/>
      <c r="F769" s="67"/>
      <c r="G769" s="60"/>
      <c r="H769" s="68">
        <f>COUNTIFS(Minifigures!$C$22:$C$1137,D769)</f>
        <v>0</v>
      </c>
      <c r="I769" s="60"/>
      <c r="J769" s="79"/>
      <c r="K769" s="70"/>
      <c r="L769" s="71"/>
      <c r="M769" s="58"/>
      <c r="N769" s="72"/>
      <c r="O769" s="72"/>
      <c r="P769" s="63">
        <f t="shared" si="10"/>
        <v>1899</v>
      </c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65"/>
      <c r="C770" s="58"/>
      <c r="D770" s="65"/>
      <c r="E770" s="58"/>
      <c r="F770" s="67"/>
      <c r="G770" s="60"/>
      <c r="H770" s="68">
        <f>COUNTIFS(Minifigures!$C$22:$C$1137,D770)</f>
        <v>0</v>
      </c>
      <c r="I770" s="60"/>
      <c r="J770" s="79"/>
      <c r="K770" s="70"/>
      <c r="L770" s="71"/>
      <c r="M770" s="58"/>
      <c r="N770" s="72"/>
      <c r="O770" s="72"/>
      <c r="P770" s="63">
        <f t="shared" si="10"/>
        <v>1899</v>
      </c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65"/>
      <c r="C771" s="58"/>
      <c r="D771" s="65"/>
      <c r="E771" s="58"/>
      <c r="F771" s="67"/>
      <c r="G771" s="60"/>
      <c r="H771" s="68">
        <f>COUNTIFS(Minifigures!$C$22:$C$1137,D771)</f>
        <v>0</v>
      </c>
      <c r="I771" s="60"/>
      <c r="J771" s="79"/>
      <c r="K771" s="70"/>
      <c r="L771" s="71"/>
      <c r="M771" s="58"/>
      <c r="N771" s="72"/>
      <c r="O771" s="72"/>
      <c r="P771" s="63">
        <f t="shared" si="10"/>
        <v>1899</v>
      </c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65"/>
      <c r="C772" s="58"/>
      <c r="D772" s="65"/>
      <c r="E772" s="58"/>
      <c r="F772" s="67"/>
      <c r="G772" s="60"/>
      <c r="H772" s="68">
        <f>COUNTIFS(Minifigures!$C$22:$C$1137,D772)</f>
        <v>0</v>
      </c>
      <c r="I772" s="60"/>
      <c r="J772" s="79"/>
      <c r="K772" s="70"/>
      <c r="L772" s="71"/>
      <c r="M772" s="58"/>
      <c r="N772" s="72"/>
      <c r="O772" s="72"/>
      <c r="P772" s="63">
        <f t="shared" si="10"/>
        <v>1899</v>
      </c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65"/>
      <c r="C773" s="58"/>
      <c r="D773" s="65"/>
      <c r="E773" s="58"/>
      <c r="F773" s="67"/>
      <c r="G773" s="60"/>
      <c r="H773" s="68">
        <f>COUNTIFS(Minifigures!$C$22:$C$1137,D773)</f>
        <v>0</v>
      </c>
      <c r="I773" s="60"/>
      <c r="J773" s="79"/>
      <c r="K773" s="70"/>
      <c r="L773" s="71"/>
      <c r="M773" s="58"/>
      <c r="N773" s="72"/>
      <c r="O773" s="72"/>
      <c r="P773" s="63">
        <f t="shared" si="10"/>
        <v>1899</v>
      </c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65"/>
      <c r="C774" s="58"/>
      <c r="D774" s="65"/>
      <c r="E774" s="58"/>
      <c r="F774" s="67"/>
      <c r="G774" s="60"/>
      <c r="H774" s="68">
        <f>COUNTIFS(Minifigures!$C$22:$C$1137,D774)</f>
        <v>0</v>
      </c>
      <c r="I774" s="60"/>
      <c r="J774" s="79"/>
      <c r="K774" s="70"/>
      <c r="L774" s="71"/>
      <c r="M774" s="58"/>
      <c r="N774" s="72"/>
      <c r="O774" s="72"/>
      <c r="P774" s="63">
        <f t="shared" si="10"/>
        <v>1899</v>
      </c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65"/>
      <c r="C775" s="58"/>
      <c r="D775" s="65"/>
      <c r="E775" s="58"/>
      <c r="F775" s="67"/>
      <c r="G775" s="60"/>
      <c r="H775" s="68">
        <f>COUNTIFS(Minifigures!$C$22:$C$1137,D775)</f>
        <v>0</v>
      </c>
      <c r="I775" s="60"/>
      <c r="J775" s="79"/>
      <c r="K775" s="70"/>
      <c r="L775" s="71"/>
      <c r="M775" s="58"/>
      <c r="N775" s="72"/>
      <c r="O775" s="72"/>
      <c r="P775" s="63">
        <f t="shared" si="10"/>
        <v>1899</v>
      </c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65"/>
      <c r="C776" s="58"/>
      <c r="D776" s="65"/>
      <c r="E776" s="58"/>
      <c r="F776" s="67"/>
      <c r="G776" s="60"/>
      <c r="H776" s="68">
        <f>COUNTIFS(Minifigures!$C$22:$C$1137,D776)</f>
        <v>0</v>
      </c>
      <c r="I776" s="60"/>
      <c r="J776" s="79"/>
      <c r="K776" s="70"/>
      <c r="L776" s="71"/>
      <c r="M776" s="58"/>
      <c r="N776" s="72"/>
      <c r="O776" s="72"/>
      <c r="P776" s="63">
        <f t="shared" si="10"/>
        <v>1899</v>
      </c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65"/>
      <c r="C777" s="58"/>
      <c r="D777" s="65"/>
      <c r="E777" s="58"/>
      <c r="F777" s="67"/>
      <c r="G777" s="60"/>
      <c r="H777" s="68">
        <f>COUNTIFS(Minifigures!$C$22:$C$1137,D777)</f>
        <v>0</v>
      </c>
      <c r="I777" s="60"/>
      <c r="J777" s="79"/>
      <c r="K777" s="70"/>
      <c r="L777" s="71"/>
      <c r="M777" s="58"/>
      <c r="N777" s="72"/>
      <c r="O777" s="72"/>
      <c r="P777" s="63">
        <f t="shared" si="10"/>
        <v>1899</v>
      </c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65"/>
      <c r="C778" s="58"/>
      <c r="D778" s="65"/>
      <c r="E778" s="58"/>
      <c r="F778" s="67"/>
      <c r="G778" s="60"/>
      <c r="H778" s="68">
        <f>COUNTIFS(Minifigures!$C$22:$C$1137,D778)</f>
        <v>0</v>
      </c>
      <c r="I778" s="60"/>
      <c r="J778" s="79"/>
      <c r="K778" s="70"/>
      <c r="L778" s="71"/>
      <c r="M778" s="58"/>
      <c r="N778" s="72"/>
      <c r="O778" s="72"/>
      <c r="P778" s="63">
        <f t="shared" si="10"/>
        <v>1899</v>
      </c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65"/>
      <c r="C779" s="58"/>
      <c r="D779" s="65"/>
      <c r="E779" s="58"/>
      <c r="F779" s="67"/>
      <c r="G779" s="60"/>
      <c r="H779" s="68">
        <f>COUNTIFS(Minifigures!$C$22:$C$1137,D779)</f>
        <v>0</v>
      </c>
      <c r="I779" s="60"/>
      <c r="J779" s="79"/>
      <c r="K779" s="70"/>
      <c r="L779" s="71"/>
      <c r="M779" s="58"/>
      <c r="N779" s="72"/>
      <c r="O779" s="72"/>
      <c r="P779" s="63">
        <f t="shared" si="10"/>
        <v>1899</v>
      </c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65"/>
      <c r="C780" s="58"/>
      <c r="D780" s="65"/>
      <c r="E780" s="58"/>
      <c r="F780" s="67"/>
      <c r="G780" s="60"/>
      <c r="H780" s="68">
        <f>COUNTIFS(Minifigures!$C$22:$C$1137,D780)</f>
        <v>0</v>
      </c>
      <c r="I780" s="60"/>
      <c r="J780" s="79"/>
      <c r="K780" s="70"/>
      <c r="L780" s="71"/>
      <c r="M780" s="58"/>
      <c r="N780" s="72"/>
      <c r="O780" s="72"/>
      <c r="P780" s="63">
        <f t="shared" si="10"/>
        <v>1899</v>
      </c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65"/>
      <c r="C781" s="58"/>
      <c r="D781" s="65"/>
      <c r="E781" s="58"/>
      <c r="F781" s="67"/>
      <c r="G781" s="60"/>
      <c r="H781" s="68">
        <f>COUNTIFS(Minifigures!$C$22:$C$1137,D781)</f>
        <v>0</v>
      </c>
      <c r="I781" s="60"/>
      <c r="J781" s="79"/>
      <c r="K781" s="70"/>
      <c r="L781" s="71"/>
      <c r="M781" s="58"/>
      <c r="N781" s="72"/>
      <c r="O781" s="72"/>
      <c r="P781" s="63">
        <f t="shared" si="10"/>
        <v>1899</v>
      </c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65"/>
      <c r="C782" s="58"/>
      <c r="D782" s="65"/>
      <c r="E782" s="58"/>
      <c r="F782" s="67"/>
      <c r="G782" s="60"/>
      <c r="H782" s="68">
        <f>COUNTIFS(Minifigures!$C$22:$C$1137,D782)</f>
        <v>0</v>
      </c>
      <c r="I782" s="60"/>
      <c r="J782" s="79"/>
      <c r="K782" s="70"/>
      <c r="L782" s="71"/>
      <c r="M782" s="58"/>
      <c r="N782" s="72"/>
      <c r="O782" s="72"/>
      <c r="P782" s="63">
        <f t="shared" si="10"/>
        <v>1899</v>
      </c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65"/>
      <c r="C783" s="58"/>
      <c r="D783" s="65"/>
      <c r="E783" s="58"/>
      <c r="F783" s="67"/>
      <c r="G783" s="60"/>
      <c r="H783" s="68">
        <f>COUNTIFS(Minifigures!$C$22:$C$1137,D783)</f>
        <v>0</v>
      </c>
      <c r="I783" s="60"/>
      <c r="J783" s="79"/>
      <c r="K783" s="70"/>
      <c r="L783" s="71"/>
      <c r="M783" s="58"/>
      <c r="N783" s="72"/>
      <c r="O783" s="72"/>
      <c r="P783" s="63">
        <f t="shared" si="10"/>
        <v>1899</v>
      </c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65"/>
      <c r="C784" s="58"/>
      <c r="D784" s="65"/>
      <c r="E784" s="58"/>
      <c r="F784" s="67"/>
      <c r="G784" s="60"/>
      <c r="H784" s="68">
        <f>COUNTIFS(Minifigures!$C$22:$C$1137,D784)</f>
        <v>0</v>
      </c>
      <c r="I784" s="60"/>
      <c r="J784" s="79"/>
      <c r="K784" s="70"/>
      <c r="L784" s="71"/>
      <c r="M784" s="58"/>
      <c r="N784" s="72"/>
      <c r="O784" s="72"/>
      <c r="P784" s="63">
        <f t="shared" si="10"/>
        <v>1899</v>
      </c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65"/>
      <c r="C785" s="58"/>
      <c r="D785" s="65"/>
      <c r="E785" s="58"/>
      <c r="F785" s="67"/>
      <c r="G785" s="60"/>
      <c r="H785" s="68">
        <f>COUNTIFS(Minifigures!$C$22:$C$1137,D785)</f>
        <v>0</v>
      </c>
      <c r="I785" s="60"/>
      <c r="J785" s="79"/>
      <c r="K785" s="70"/>
      <c r="L785" s="71"/>
      <c r="M785" s="58"/>
      <c r="N785" s="72"/>
      <c r="O785" s="72"/>
      <c r="P785" s="63">
        <f t="shared" si="10"/>
        <v>1899</v>
      </c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65"/>
      <c r="C786" s="58"/>
      <c r="D786" s="65"/>
      <c r="E786" s="58"/>
      <c r="F786" s="67"/>
      <c r="G786" s="60"/>
      <c r="H786" s="68">
        <f>COUNTIFS(Minifigures!$C$22:$C$1137,D786)</f>
        <v>0</v>
      </c>
      <c r="I786" s="60"/>
      <c r="J786" s="79"/>
      <c r="K786" s="70"/>
      <c r="L786" s="71"/>
      <c r="M786" s="58"/>
      <c r="N786" s="72"/>
      <c r="O786" s="72"/>
      <c r="P786" s="63">
        <f t="shared" si="10"/>
        <v>1899</v>
      </c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65"/>
      <c r="C787" s="58"/>
      <c r="D787" s="65"/>
      <c r="E787" s="58"/>
      <c r="F787" s="67"/>
      <c r="G787" s="60"/>
      <c r="H787" s="68">
        <f>COUNTIFS(Minifigures!$C$22:$C$1137,D787)</f>
        <v>0</v>
      </c>
      <c r="I787" s="60"/>
      <c r="J787" s="79"/>
      <c r="K787" s="70"/>
      <c r="L787" s="71"/>
      <c r="M787" s="58"/>
      <c r="N787" s="72"/>
      <c r="O787" s="72"/>
      <c r="P787" s="63">
        <f t="shared" si="10"/>
        <v>1899</v>
      </c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65"/>
      <c r="C788" s="58"/>
      <c r="D788" s="65"/>
      <c r="E788" s="58"/>
      <c r="F788" s="67"/>
      <c r="G788" s="60"/>
      <c r="H788" s="68">
        <f>COUNTIFS(Minifigures!$C$22:$C$1137,D788)</f>
        <v>0</v>
      </c>
      <c r="I788" s="60"/>
      <c r="J788" s="79"/>
      <c r="K788" s="70"/>
      <c r="L788" s="71"/>
      <c r="M788" s="58"/>
      <c r="N788" s="72"/>
      <c r="O788" s="72"/>
      <c r="P788" s="63">
        <f t="shared" si="10"/>
        <v>1899</v>
      </c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65"/>
      <c r="C789" s="58"/>
      <c r="D789" s="65"/>
      <c r="E789" s="58"/>
      <c r="F789" s="67"/>
      <c r="G789" s="60"/>
      <c r="H789" s="68">
        <f>COUNTIFS(Minifigures!$C$22:$C$1137,D789)</f>
        <v>0</v>
      </c>
      <c r="I789" s="60"/>
      <c r="J789" s="79"/>
      <c r="K789" s="70"/>
      <c r="L789" s="71"/>
      <c r="M789" s="58"/>
      <c r="N789" s="72"/>
      <c r="O789" s="72"/>
      <c r="P789" s="63">
        <f t="shared" si="10"/>
        <v>1899</v>
      </c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65"/>
      <c r="C790" s="58"/>
      <c r="D790" s="65"/>
      <c r="E790" s="58"/>
      <c r="F790" s="67"/>
      <c r="G790" s="60"/>
      <c r="H790" s="68">
        <f>COUNTIFS(Minifigures!$C$22:$C$1137,D790)</f>
        <v>0</v>
      </c>
      <c r="I790" s="60"/>
      <c r="J790" s="79"/>
      <c r="K790" s="70"/>
      <c r="L790" s="71"/>
      <c r="M790" s="58"/>
      <c r="N790" s="72"/>
      <c r="O790" s="72"/>
      <c r="P790" s="63">
        <f t="shared" si="10"/>
        <v>1899</v>
      </c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65"/>
      <c r="C791" s="58"/>
      <c r="D791" s="65"/>
      <c r="E791" s="58"/>
      <c r="F791" s="67"/>
      <c r="G791" s="60"/>
      <c r="H791" s="68">
        <f>COUNTIFS(Minifigures!$C$22:$C$1137,D791)</f>
        <v>0</v>
      </c>
      <c r="I791" s="60"/>
      <c r="J791" s="79"/>
      <c r="K791" s="70"/>
      <c r="L791" s="71"/>
      <c r="M791" s="58"/>
      <c r="N791" s="72"/>
      <c r="O791" s="72"/>
      <c r="P791" s="63">
        <f t="shared" si="10"/>
        <v>1899</v>
      </c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65"/>
      <c r="C792" s="58"/>
      <c r="D792" s="65"/>
      <c r="E792" s="58"/>
      <c r="F792" s="67"/>
      <c r="G792" s="60"/>
      <c r="H792" s="68">
        <f>COUNTIFS(Minifigures!$C$22:$C$1137,D792)</f>
        <v>0</v>
      </c>
      <c r="I792" s="60"/>
      <c r="J792" s="79"/>
      <c r="K792" s="70"/>
      <c r="L792" s="71"/>
      <c r="M792" s="58"/>
      <c r="N792" s="72"/>
      <c r="O792" s="72"/>
      <c r="P792" s="63">
        <f t="shared" si="10"/>
        <v>1899</v>
      </c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65"/>
      <c r="C793" s="58"/>
      <c r="D793" s="65"/>
      <c r="E793" s="58"/>
      <c r="F793" s="67"/>
      <c r="G793" s="60"/>
      <c r="H793" s="68">
        <f>COUNTIFS(Minifigures!$C$22:$C$1137,D793)</f>
        <v>0</v>
      </c>
      <c r="I793" s="60"/>
      <c r="J793" s="79"/>
      <c r="K793" s="70"/>
      <c r="L793" s="71"/>
      <c r="M793" s="58"/>
      <c r="N793" s="72"/>
      <c r="O793" s="72"/>
      <c r="P793" s="63">
        <f t="shared" si="10"/>
        <v>1899</v>
      </c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65"/>
      <c r="C794" s="58"/>
      <c r="D794" s="65"/>
      <c r="E794" s="58"/>
      <c r="F794" s="67"/>
      <c r="G794" s="60"/>
      <c r="H794" s="68">
        <f>COUNTIFS(Minifigures!$C$22:$C$1137,D794)</f>
        <v>0</v>
      </c>
      <c r="I794" s="60"/>
      <c r="J794" s="79"/>
      <c r="K794" s="70"/>
      <c r="L794" s="71"/>
      <c r="M794" s="58"/>
      <c r="N794" s="72"/>
      <c r="O794" s="72"/>
      <c r="P794" s="63">
        <f t="shared" si="10"/>
        <v>1899</v>
      </c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65"/>
      <c r="C795" s="58"/>
      <c r="D795" s="65"/>
      <c r="E795" s="58"/>
      <c r="F795" s="67"/>
      <c r="G795" s="60"/>
      <c r="H795" s="68">
        <f>COUNTIFS(Minifigures!$C$22:$C$1137,D795)</f>
        <v>0</v>
      </c>
      <c r="I795" s="60"/>
      <c r="J795" s="79"/>
      <c r="K795" s="70"/>
      <c r="L795" s="71"/>
      <c r="M795" s="58"/>
      <c r="N795" s="72"/>
      <c r="O795" s="72"/>
      <c r="P795" s="63">
        <f t="shared" si="10"/>
        <v>1899</v>
      </c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65"/>
      <c r="C796" s="58"/>
      <c r="D796" s="65"/>
      <c r="E796" s="58"/>
      <c r="F796" s="67"/>
      <c r="G796" s="60"/>
      <c r="H796" s="68">
        <f>COUNTIFS(Minifigures!$C$22:$C$1137,D796)</f>
        <v>0</v>
      </c>
      <c r="I796" s="60"/>
      <c r="J796" s="79"/>
      <c r="K796" s="70"/>
      <c r="L796" s="71"/>
      <c r="M796" s="58"/>
      <c r="N796" s="72"/>
      <c r="O796" s="72"/>
      <c r="P796" s="63">
        <f t="shared" si="10"/>
        <v>1899</v>
      </c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65"/>
      <c r="C797" s="58"/>
      <c r="D797" s="65"/>
      <c r="E797" s="58"/>
      <c r="F797" s="67"/>
      <c r="G797" s="60"/>
      <c r="H797" s="68">
        <f>COUNTIFS(Minifigures!$C$22:$C$1137,D797)</f>
        <v>0</v>
      </c>
      <c r="I797" s="60"/>
      <c r="J797" s="79"/>
      <c r="K797" s="70"/>
      <c r="L797" s="71"/>
      <c r="M797" s="58"/>
      <c r="N797" s="72"/>
      <c r="O797" s="72"/>
      <c r="P797" s="63">
        <f t="shared" si="10"/>
        <v>1899</v>
      </c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65"/>
      <c r="C798" s="58"/>
      <c r="D798" s="65"/>
      <c r="E798" s="58"/>
      <c r="F798" s="67"/>
      <c r="G798" s="60"/>
      <c r="H798" s="68">
        <f>COUNTIFS(Minifigures!$C$22:$C$1137,D798)</f>
        <v>0</v>
      </c>
      <c r="I798" s="60"/>
      <c r="J798" s="79"/>
      <c r="K798" s="70"/>
      <c r="L798" s="71"/>
      <c r="M798" s="58"/>
      <c r="N798" s="72"/>
      <c r="O798" s="72"/>
      <c r="P798" s="63">
        <f t="shared" si="10"/>
        <v>1899</v>
      </c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65"/>
      <c r="C799" s="58"/>
      <c r="D799" s="65"/>
      <c r="E799" s="58"/>
      <c r="F799" s="67"/>
      <c r="G799" s="60"/>
      <c r="H799" s="68">
        <f>COUNTIFS(Minifigures!$C$22:$C$1137,D799)</f>
        <v>0</v>
      </c>
      <c r="I799" s="60"/>
      <c r="J799" s="79"/>
      <c r="K799" s="70"/>
      <c r="L799" s="71"/>
      <c r="M799" s="58"/>
      <c r="N799" s="72"/>
      <c r="O799" s="72"/>
      <c r="P799" s="63">
        <f t="shared" si="10"/>
        <v>1899</v>
      </c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65"/>
      <c r="C800" s="58"/>
      <c r="D800" s="65"/>
      <c r="E800" s="58"/>
      <c r="F800" s="67"/>
      <c r="G800" s="60"/>
      <c r="H800" s="68">
        <f>COUNTIFS(Minifigures!$C$22:$C$1137,D800)</f>
        <v>0</v>
      </c>
      <c r="I800" s="60"/>
      <c r="J800" s="79"/>
      <c r="K800" s="70"/>
      <c r="L800" s="71"/>
      <c r="M800" s="58"/>
      <c r="N800" s="72"/>
      <c r="O800" s="72"/>
      <c r="P800" s="63">
        <f t="shared" si="10"/>
        <v>1899</v>
      </c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65"/>
      <c r="C801" s="58"/>
      <c r="D801" s="65"/>
      <c r="E801" s="58"/>
      <c r="F801" s="67"/>
      <c r="G801" s="60"/>
      <c r="H801" s="68">
        <f>COUNTIFS(Minifigures!$C$22:$C$1137,D801)</f>
        <v>0</v>
      </c>
      <c r="I801" s="60"/>
      <c r="J801" s="79"/>
      <c r="K801" s="70"/>
      <c r="L801" s="71"/>
      <c r="M801" s="58"/>
      <c r="N801" s="72"/>
      <c r="O801" s="72"/>
      <c r="P801" s="63">
        <f t="shared" si="10"/>
        <v>1899</v>
      </c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65"/>
      <c r="C802" s="58"/>
      <c r="D802" s="65"/>
      <c r="E802" s="58"/>
      <c r="F802" s="67"/>
      <c r="G802" s="60"/>
      <c r="H802" s="68">
        <f>COUNTIFS(Minifigures!$C$22:$C$1137,D802)</f>
        <v>0</v>
      </c>
      <c r="I802" s="60"/>
      <c r="J802" s="79"/>
      <c r="K802" s="70"/>
      <c r="L802" s="71"/>
      <c r="M802" s="58"/>
      <c r="N802" s="72"/>
      <c r="O802" s="72"/>
      <c r="P802" s="63">
        <f t="shared" si="10"/>
        <v>1899</v>
      </c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65"/>
      <c r="C803" s="58"/>
      <c r="D803" s="65"/>
      <c r="E803" s="58"/>
      <c r="F803" s="67"/>
      <c r="G803" s="60"/>
      <c r="H803" s="68">
        <f>COUNTIFS(Minifigures!$C$22:$C$1137,D803)</f>
        <v>0</v>
      </c>
      <c r="I803" s="60"/>
      <c r="J803" s="79"/>
      <c r="K803" s="70"/>
      <c r="L803" s="71"/>
      <c r="M803" s="58"/>
      <c r="N803" s="72"/>
      <c r="O803" s="72"/>
      <c r="P803" s="63">
        <f t="shared" si="10"/>
        <v>1899</v>
      </c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65"/>
      <c r="C804" s="58"/>
      <c r="D804" s="65"/>
      <c r="E804" s="58"/>
      <c r="F804" s="67"/>
      <c r="G804" s="60"/>
      <c r="H804" s="68">
        <f>COUNTIFS(Minifigures!$C$22:$C$1137,D804)</f>
        <v>0</v>
      </c>
      <c r="I804" s="60"/>
      <c r="J804" s="79"/>
      <c r="K804" s="70"/>
      <c r="L804" s="71"/>
      <c r="M804" s="58"/>
      <c r="N804" s="72"/>
      <c r="O804" s="72"/>
      <c r="P804" s="63">
        <f t="shared" si="10"/>
        <v>1899</v>
      </c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65"/>
      <c r="C805" s="58"/>
      <c r="D805" s="65"/>
      <c r="E805" s="58"/>
      <c r="F805" s="67"/>
      <c r="G805" s="60"/>
      <c r="H805" s="68">
        <f>COUNTIFS(Minifigures!$C$22:$C$1137,D805)</f>
        <v>0</v>
      </c>
      <c r="I805" s="60"/>
      <c r="J805" s="79"/>
      <c r="K805" s="70"/>
      <c r="L805" s="71"/>
      <c r="M805" s="58"/>
      <c r="N805" s="72"/>
      <c r="O805" s="72"/>
      <c r="P805" s="63">
        <f t="shared" si="10"/>
        <v>1899</v>
      </c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65"/>
      <c r="C806" s="58"/>
      <c r="D806" s="65"/>
      <c r="E806" s="58"/>
      <c r="F806" s="67"/>
      <c r="G806" s="60"/>
      <c r="H806" s="68">
        <f>COUNTIFS(Minifigures!$C$22:$C$1137,D806)</f>
        <v>0</v>
      </c>
      <c r="I806" s="60"/>
      <c r="J806" s="79"/>
      <c r="K806" s="70"/>
      <c r="L806" s="71"/>
      <c r="M806" s="58"/>
      <c r="N806" s="72"/>
      <c r="O806" s="72"/>
      <c r="P806" s="63">
        <f t="shared" si="10"/>
        <v>1899</v>
      </c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65"/>
      <c r="C807" s="58"/>
      <c r="D807" s="65"/>
      <c r="E807" s="58"/>
      <c r="F807" s="67"/>
      <c r="G807" s="60"/>
      <c r="H807" s="68">
        <f>COUNTIFS(Minifigures!$C$22:$C$1137,D807)</f>
        <v>0</v>
      </c>
      <c r="I807" s="60"/>
      <c r="J807" s="79"/>
      <c r="K807" s="70"/>
      <c r="L807" s="71"/>
      <c r="M807" s="58"/>
      <c r="N807" s="72"/>
      <c r="O807" s="72"/>
      <c r="P807" s="63">
        <f t="shared" si="10"/>
        <v>1899</v>
      </c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65"/>
      <c r="C808" s="58"/>
      <c r="D808" s="65"/>
      <c r="E808" s="58"/>
      <c r="F808" s="67"/>
      <c r="G808" s="60"/>
      <c r="H808" s="68">
        <f>COUNTIFS(Minifigures!$C$22:$C$1137,D808)</f>
        <v>0</v>
      </c>
      <c r="I808" s="60"/>
      <c r="J808" s="79"/>
      <c r="K808" s="70"/>
      <c r="L808" s="71"/>
      <c r="M808" s="58"/>
      <c r="N808" s="72"/>
      <c r="O808" s="72"/>
      <c r="P808" s="63">
        <f t="shared" si="10"/>
        <v>1899</v>
      </c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65"/>
      <c r="C809" s="58"/>
      <c r="D809" s="65"/>
      <c r="E809" s="58"/>
      <c r="F809" s="67"/>
      <c r="G809" s="60"/>
      <c r="H809" s="68">
        <f>COUNTIFS(Minifigures!$C$22:$C$1137,D809)</f>
        <v>0</v>
      </c>
      <c r="I809" s="60"/>
      <c r="J809" s="79"/>
      <c r="K809" s="70"/>
      <c r="L809" s="71"/>
      <c r="M809" s="58"/>
      <c r="N809" s="72"/>
      <c r="O809" s="72"/>
      <c r="P809" s="63">
        <f t="shared" si="10"/>
        <v>1899</v>
      </c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65"/>
      <c r="C810" s="58"/>
      <c r="D810" s="65"/>
      <c r="E810" s="58"/>
      <c r="F810" s="67"/>
      <c r="G810" s="60"/>
      <c r="H810" s="68">
        <f>COUNTIFS(Minifigures!$C$22:$C$1137,D810)</f>
        <v>0</v>
      </c>
      <c r="I810" s="60"/>
      <c r="J810" s="79"/>
      <c r="K810" s="70"/>
      <c r="L810" s="71"/>
      <c r="M810" s="58"/>
      <c r="N810" s="72"/>
      <c r="O810" s="72"/>
      <c r="P810" s="63">
        <f t="shared" si="10"/>
        <v>1899</v>
      </c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65"/>
      <c r="C811" s="58"/>
      <c r="D811" s="65"/>
      <c r="E811" s="58"/>
      <c r="F811" s="67"/>
      <c r="G811" s="60"/>
      <c r="H811" s="68">
        <f>COUNTIFS(Minifigures!$C$22:$C$1137,D811)</f>
        <v>0</v>
      </c>
      <c r="I811" s="60"/>
      <c r="J811" s="79"/>
      <c r="K811" s="70"/>
      <c r="L811" s="71"/>
      <c r="M811" s="58"/>
      <c r="N811" s="72"/>
      <c r="O811" s="72"/>
      <c r="P811" s="63">
        <f t="shared" si="10"/>
        <v>1899</v>
      </c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65"/>
      <c r="C812" s="58"/>
      <c r="D812" s="65"/>
      <c r="E812" s="58"/>
      <c r="F812" s="67"/>
      <c r="G812" s="60"/>
      <c r="H812" s="68">
        <f>COUNTIFS(Minifigures!$C$22:$C$1137,D812)</f>
        <v>0</v>
      </c>
      <c r="I812" s="60"/>
      <c r="J812" s="79"/>
      <c r="K812" s="70"/>
      <c r="L812" s="71"/>
      <c r="M812" s="58"/>
      <c r="N812" s="72"/>
      <c r="O812" s="72"/>
      <c r="P812" s="63">
        <f t="shared" si="10"/>
        <v>1899</v>
      </c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65"/>
      <c r="C813" s="58"/>
      <c r="D813" s="65"/>
      <c r="E813" s="58"/>
      <c r="F813" s="67"/>
      <c r="G813" s="60"/>
      <c r="H813" s="68">
        <f>COUNTIFS(Minifigures!$C$22:$C$1137,D813)</f>
        <v>0</v>
      </c>
      <c r="I813" s="60"/>
      <c r="J813" s="79"/>
      <c r="K813" s="70"/>
      <c r="L813" s="71"/>
      <c r="M813" s="58"/>
      <c r="N813" s="72"/>
      <c r="O813" s="72"/>
      <c r="P813" s="63">
        <f t="shared" si="10"/>
        <v>1899</v>
      </c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65"/>
      <c r="C814" s="58"/>
      <c r="D814" s="65"/>
      <c r="E814" s="58"/>
      <c r="F814" s="67"/>
      <c r="G814" s="60"/>
      <c r="H814" s="68">
        <f>COUNTIFS(Minifigures!$C$22:$C$1137,D814)</f>
        <v>0</v>
      </c>
      <c r="I814" s="60"/>
      <c r="J814" s="79"/>
      <c r="K814" s="70"/>
      <c r="L814" s="71"/>
      <c r="M814" s="58"/>
      <c r="N814" s="72"/>
      <c r="O814" s="72"/>
      <c r="P814" s="63">
        <f t="shared" si="10"/>
        <v>1899</v>
      </c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65"/>
      <c r="C815" s="58"/>
      <c r="D815" s="65"/>
      <c r="E815" s="58"/>
      <c r="F815" s="67"/>
      <c r="G815" s="60"/>
      <c r="H815" s="68">
        <f>COUNTIFS(Minifigures!$C$22:$C$1137,D815)</f>
        <v>0</v>
      </c>
      <c r="I815" s="60"/>
      <c r="J815" s="79"/>
      <c r="K815" s="70"/>
      <c r="L815" s="71"/>
      <c r="M815" s="58"/>
      <c r="N815" s="72"/>
      <c r="O815" s="72"/>
      <c r="P815" s="63">
        <f t="shared" si="10"/>
        <v>1899</v>
      </c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65"/>
      <c r="C816" s="58"/>
      <c r="D816" s="65"/>
      <c r="E816" s="58"/>
      <c r="F816" s="67"/>
      <c r="G816" s="60"/>
      <c r="H816" s="68">
        <f>COUNTIFS(Minifigures!$C$22:$C$1137,D816)</f>
        <v>0</v>
      </c>
      <c r="I816" s="60"/>
      <c r="J816" s="79"/>
      <c r="K816" s="70"/>
      <c r="L816" s="71"/>
      <c r="M816" s="58"/>
      <c r="N816" s="72"/>
      <c r="O816" s="72"/>
      <c r="P816" s="63">
        <f t="shared" si="10"/>
        <v>1899</v>
      </c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65"/>
      <c r="C817" s="58"/>
      <c r="D817" s="65"/>
      <c r="E817" s="58"/>
      <c r="F817" s="67"/>
      <c r="G817" s="60"/>
      <c r="H817" s="68">
        <f>COUNTIFS(Minifigures!$C$22:$C$1137,D817)</f>
        <v>0</v>
      </c>
      <c r="I817" s="60"/>
      <c r="J817" s="79"/>
      <c r="K817" s="70"/>
      <c r="L817" s="71"/>
      <c r="M817" s="58"/>
      <c r="N817" s="72"/>
      <c r="O817" s="72"/>
      <c r="P817" s="63">
        <f t="shared" si="10"/>
        <v>1899</v>
      </c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65"/>
      <c r="C818" s="58"/>
      <c r="D818" s="65"/>
      <c r="E818" s="58"/>
      <c r="F818" s="67"/>
      <c r="G818" s="60"/>
      <c r="H818" s="68">
        <f>COUNTIFS(Minifigures!$C$22:$C$1137,D818)</f>
        <v>0</v>
      </c>
      <c r="I818" s="60"/>
      <c r="J818" s="79"/>
      <c r="K818" s="70"/>
      <c r="L818" s="71"/>
      <c r="M818" s="58"/>
      <c r="N818" s="72"/>
      <c r="O818" s="72"/>
      <c r="P818" s="63">
        <f t="shared" si="10"/>
        <v>1899</v>
      </c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65"/>
      <c r="C819" s="58"/>
      <c r="D819" s="65"/>
      <c r="E819" s="58"/>
      <c r="F819" s="67"/>
      <c r="G819" s="60"/>
      <c r="H819" s="68">
        <f>COUNTIFS(Minifigures!$C$22:$C$1137,D819)</f>
        <v>0</v>
      </c>
      <c r="I819" s="60"/>
      <c r="J819" s="79"/>
      <c r="K819" s="70"/>
      <c r="L819" s="71"/>
      <c r="M819" s="58"/>
      <c r="N819" s="72"/>
      <c r="O819" s="72"/>
      <c r="P819" s="63">
        <f t="shared" si="10"/>
        <v>1899</v>
      </c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65"/>
      <c r="C820" s="58"/>
      <c r="D820" s="65"/>
      <c r="E820" s="58"/>
      <c r="F820" s="67"/>
      <c r="G820" s="60"/>
      <c r="H820" s="68">
        <f>COUNTIFS(Minifigures!$C$22:$C$1137,D820)</f>
        <v>0</v>
      </c>
      <c r="I820" s="60"/>
      <c r="J820" s="79"/>
      <c r="K820" s="70"/>
      <c r="L820" s="71"/>
      <c r="M820" s="58"/>
      <c r="N820" s="72"/>
      <c r="O820" s="72"/>
      <c r="P820" s="63">
        <f t="shared" si="10"/>
        <v>1899</v>
      </c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65"/>
      <c r="C821" s="58"/>
      <c r="D821" s="65"/>
      <c r="E821" s="58"/>
      <c r="F821" s="67"/>
      <c r="G821" s="60"/>
      <c r="H821" s="68">
        <f>COUNTIFS(Minifigures!$C$22:$C$1137,D821)</f>
        <v>0</v>
      </c>
      <c r="I821" s="60"/>
      <c r="J821" s="79"/>
      <c r="K821" s="70"/>
      <c r="L821" s="71"/>
      <c r="M821" s="58"/>
      <c r="N821" s="72"/>
      <c r="O821" s="72"/>
      <c r="P821" s="63">
        <f t="shared" si="10"/>
        <v>1899</v>
      </c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65"/>
      <c r="C822" s="58"/>
      <c r="D822" s="65"/>
      <c r="E822" s="58"/>
      <c r="F822" s="67"/>
      <c r="G822" s="60"/>
      <c r="H822" s="68">
        <f>COUNTIFS(Minifigures!$C$22:$C$1137,D822)</f>
        <v>0</v>
      </c>
      <c r="I822" s="60"/>
      <c r="J822" s="79"/>
      <c r="K822" s="70"/>
      <c r="L822" s="71"/>
      <c r="M822" s="58"/>
      <c r="N822" s="72"/>
      <c r="O822" s="72"/>
      <c r="P822" s="63">
        <f t="shared" si="10"/>
        <v>1899</v>
      </c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65"/>
      <c r="C823" s="58"/>
      <c r="D823" s="65"/>
      <c r="E823" s="58"/>
      <c r="F823" s="67"/>
      <c r="G823" s="60"/>
      <c r="H823" s="68">
        <f>COUNTIFS(Minifigures!$C$22:$C$1137,D823)</f>
        <v>0</v>
      </c>
      <c r="I823" s="60"/>
      <c r="J823" s="79"/>
      <c r="K823" s="70"/>
      <c r="L823" s="71"/>
      <c r="M823" s="58"/>
      <c r="N823" s="72"/>
      <c r="O823" s="72"/>
      <c r="P823" s="63">
        <f t="shared" si="10"/>
        <v>1899</v>
      </c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65"/>
      <c r="C824" s="58"/>
      <c r="D824" s="65"/>
      <c r="E824" s="58"/>
      <c r="F824" s="67"/>
      <c r="G824" s="60"/>
      <c r="H824" s="68">
        <f>COUNTIFS(Minifigures!$C$22:$C$1137,D824)</f>
        <v>0</v>
      </c>
      <c r="I824" s="60"/>
      <c r="J824" s="79"/>
      <c r="K824" s="70"/>
      <c r="L824" s="71"/>
      <c r="M824" s="58"/>
      <c r="N824" s="72"/>
      <c r="O824" s="72"/>
      <c r="P824" s="63">
        <f t="shared" si="10"/>
        <v>1899</v>
      </c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65"/>
      <c r="C825" s="58"/>
      <c r="D825" s="65"/>
      <c r="E825" s="58"/>
      <c r="F825" s="67"/>
      <c r="G825" s="60"/>
      <c r="H825" s="68">
        <f>COUNTIFS(Minifigures!$C$22:$C$1137,D825)</f>
        <v>0</v>
      </c>
      <c r="I825" s="60"/>
      <c r="J825" s="79"/>
      <c r="K825" s="70"/>
      <c r="L825" s="71"/>
      <c r="M825" s="58"/>
      <c r="N825" s="72"/>
      <c r="O825" s="72"/>
      <c r="P825" s="63">
        <f t="shared" si="10"/>
        <v>1899</v>
      </c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65"/>
      <c r="C826" s="58"/>
      <c r="D826" s="65"/>
      <c r="E826" s="58"/>
      <c r="F826" s="67"/>
      <c r="G826" s="60"/>
      <c r="H826" s="68">
        <f>COUNTIFS(Minifigures!$C$22:$C$1137,D826)</f>
        <v>0</v>
      </c>
      <c r="I826" s="60"/>
      <c r="J826" s="79"/>
      <c r="K826" s="70"/>
      <c r="L826" s="71"/>
      <c r="M826" s="58"/>
      <c r="N826" s="72"/>
      <c r="O826" s="72"/>
      <c r="P826" s="63">
        <f t="shared" si="10"/>
        <v>1899</v>
      </c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65"/>
      <c r="C827" s="58"/>
      <c r="D827" s="65"/>
      <c r="E827" s="58"/>
      <c r="F827" s="67"/>
      <c r="G827" s="60"/>
      <c r="H827" s="68">
        <f>COUNTIFS(Minifigures!$C$22:$C$1137,D827)</f>
        <v>0</v>
      </c>
      <c r="I827" s="60"/>
      <c r="J827" s="79"/>
      <c r="K827" s="70"/>
      <c r="L827" s="71"/>
      <c r="M827" s="58"/>
      <c r="N827" s="72"/>
      <c r="O827" s="72"/>
      <c r="P827" s="63">
        <f t="shared" si="10"/>
        <v>1899</v>
      </c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65"/>
      <c r="C828" s="58"/>
      <c r="D828" s="65"/>
      <c r="E828" s="58"/>
      <c r="F828" s="67"/>
      <c r="G828" s="60"/>
      <c r="H828" s="68">
        <f>COUNTIFS(Minifigures!$C$22:$C$1137,D828)</f>
        <v>0</v>
      </c>
      <c r="I828" s="60"/>
      <c r="J828" s="79"/>
      <c r="K828" s="70"/>
      <c r="L828" s="71"/>
      <c r="M828" s="58"/>
      <c r="N828" s="72"/>
      <c r="O828" s="72"/>
      <c r="P828" s="63">
        <f t="shared" si="10"/>
        <v>1899</v>
      </c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65"/>
      <c r="C829" s="58"/>
      <c r="D829" s="65"/>
      <c r="E829" s="58"/>
      <c r="F829" s="67"/>
      <c r="G829" s="60"/>
      <c r="H829" s="68">
        <f>COUNTIFS(Minifigures!$C$22:$C$1137,D829)</f>
        <v>0</v>
      </c>
      <c r="I829" s="60"/>
      <c r="J829" s="79"/>
      <c r="K829" s="70"/>
      <c r="L829" s="71"/>
      <c r="M829" s="58"/>
      <c r="N829" s="72"/>
      <c r="O829" s="72"/>
      <c r="P829" s="63">
        <f t="shared" si="10"/>
        <v>1899</v>
      </c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65"/>
      <c r="C830" s="58"/>
      <c r="D830" s="65"/>
      <c r="E830" s="58"/>
      <c r="F830" s="67"/>
      <c r="G830" s="60"/>
      <c r="H830" s="68">
        <f>COUNTIFS(Minifigures!$C$22:$C$1137,D830)</f>
        <v>0</v>
      </c>
      <c r="I830" s="60"/>
      <c r="J830" s="79"/>
      <c r="K830" s="70"/>
      <c r="L830" s="71"/>
      <c r="M830" s="58"/>
      <c r="N830" s="72"/>
      <c r="O830" s="72"/>
      <c r="P830" s="63">
        <f t="shared" si="10"/>
        <v>1899</v>
      </c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65"/>
      <c r="C831" s="58"/>
      <c r="D831" s="65"/>
      <c r="E831" s="58"/>
      <c r="F831" s="67"/>
      <c r="G831" s="60"/>
      <c r="H831" s="68">
        <f>COUNTIFS(Minifigures!$C$22:$C$1137,D831)</f>
        <v>0</v>
      </c>
      <c r="I831" s="60"/>
      <c r="J831" s="79"/>
      <c r="K831" s="70"/>
      <c r="L831" s="71"/>
      <c r="M831" s="58"/>
      <c r="N831" s="72"/>
      <c r="O831" s="72"/>
      <c r="P831" s="63">
        <f t="shared" si="10"/>
        <v>1899</v>
      </c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65"/>
      <c r="C832" s="58"/>
      <c r="D832" s="65"/>
      <c r="E832" s="58"/>
      <c r="F832" s="67"/>
      <c r="G832" s="60"/>
      <c r="H832" s="68">
        <f>COUNTIFS(Minifigures!$C$22:$C$1137,D832)</f>
        <v>0</v>
      </c>
      <c r="I832" s="60"/>
      <c r="J832" s="79"/>
      <c r="K832" s="70"/>
      <c r="L832" s="71"/>
      <c r="M832" s="58"/>
      <c r="N832" s="72"/>
      <c r="O832" s="72"/>
      <c r="P832" s="63">
        <f t="shared" si="10"/>
        <v>1899</v>
      </c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65"/>
      <c r="C833" s="58"/>
      <c r="D833" s="65"/>
      <c r="E833" s="58"/>
      <c r="F833" s="67"/>
      <c r="G833" s="60"/>
      <c r="H833" s="68">
        <f>COUNTIFS(Minifigures!$C$22:$C$1137,D833)</f>
        <v>0</v>
      </c>
      <c r="I833" s="60"/>
      <c r="J833" s="79"/>
      <c r="K833" s="70"/>
      <c r="L833" s="71"/>
      <c r="M833" s="58"/>
      <c r="N833" s="72"/>
      <c r="O833" s="72"/>
      <c r="P833" s="63">
        <f t="shared" si="10"/>
        <v>1899</v>
      </c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65"/>
      <c r="C834" s="58"/>
      <c r="D834" s="65"/>
      <c r="E834" s="58"/>
      <c r="F834" s="67"/>
      <c r="G834" s="60"/>
      <c r="H834" s="68">
        <f>COUNTIFS(Minifigures!$C$22:$C$1137,D834)</f>
        <v>0</v>
      </c>
      <c r="I834" s="60"/>
      <c r="J834" s="79"/>
      <c r="K834" s="70"/>
      <c r="L834" s="71"/>
      <c r="M834" s="58"/>
      <c r="N834" s="72"/>
      <c r="O834" s="72"/>
      <c r="P834" s="63">
        <f t="shared" si="10"/>
        <v>1899</v>
      </c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65"/>
      <c r="C835" s="58"/>
      <c r="D835" s="65"/>
      <c r="E835" s="58"/>
      <c r="F835" s="67"/>
      <c r="G835" s="60"/>
      <c r="H835" s="68">
        <f>COUNTIFS(Minifigures!$C$22:$C$1137,D835)</f>
        <v>0</v>
      </c>
      <c r="I835" s="60"/>
      <c r="J835" s="79"/>
      <c r="K835" s="70"/>
      <c r="L835" s="71"/>
      <c r="M835" s="58"/>
      <c r="N835" s="72"/>
      <c r="O835" s="72"/>
      <c r="P835" s="63">
        <f t="shared" si="10"/>
        <v>1899</v>
      </c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65"/>
      <c r="C836" s="58"/>
      <c r="D836" s="65"/>
      <c r="E836" s="58"/>
      <c r="F836" s="67"/>
      <c r="G836" s="60"/>
      <c r="H836" s="68">
        <f>COUNTIFS(Minifigures!$C$22:$C$1137,D836)</f>
        <v>0</v>
      </c>
      <c r="I836" s="60"/>
      <c r="J836" s="79"/>
      <c r="K836" s="70"/>
      <c r="L836" s="71"/>
      <c r="M836" s="58"/>
      <c r="N836" s="72"/>
      <c r="O836" s="72"/>
      <c r="P836" s="63">
        <f t="shared" si="10"/>
        <v>1899</v>
      </c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65"/>
      <c r="C837" s="58"/>
      <c r="D837" s="65"/>
      <c r="E837" s="58"/>
      <c r="F837" s="67"/>
      <c r="G837" s="60"/>
      <c r="H837" s="68">
        <f>COUNTIFS(Minifigures!$C$22:$C$1137,D837)</f>
        <v>0</v>
      </c>
      <c r="I837" s="60"/>
      <c r="J837" s="79"/>
      <c r="K837" s="70"/>
      <c r="L837" s="71"/>
      <c r="M837" s="58"/>
      <c r="N837" s="72"/>
      <c r="O837" s="72"/>
      <c r="P837" s="63">
        <f t="shared" si="10"/>
        <v>1899</v>
      </c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65"/>
      <c r="C838" s="58"/>
      <c r="D838" s="65"/>
      <c r="E838" s="58"/>
      <c r="F838" s="67"/>
      <c r="G838" s="60"/>
      <c r="H838" s="68">
        <f>COUNTIFS(Minifigures!$C$22:$C$1137,D838)</f>
        <v>0</v>
      </c>
      <c r="I838" s="60"/>
      <c r="J838" s="79"/>
      <c r="K838" s="70"/>
      <c r="L838" s="71"/>
      <c r="M838" s="58"/>
      <c r="N838" s="72"/>
      <c r="O838" s="72"/>
      <c r="P838" s="63">
        <f t="shared" si="10"/>
        <v>1899</v>
      </c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65"/>
      <c r="C839" s="58"/>
      <c r="D839" s="65"/>
      <c r="E839" s="58"/>
      <c r="F839" s="67"/>
      <c r="G839" s="60"/>
      <c r="H839" s="68">
        <f>COUNTIFS(Minifigures!$C$22:$C$1137,D839)</f>
        <v>0</v>
      </c>
      <c r="I839" s="60"/>
      <c r="J839" s="79"/>
      <c r="K839" s="70"/>
      <c r="L839" s="71"/>
      <c r="M839" s="58"/>
      <c r="N839" s="72"/>
      <c r="O839" s="72"/>
      <c r="P839" s="63">
        <f t="shared" si="10"/>
        <v>1899</v>
      </c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65"/>
      <c r="C840" s="58"/>
      <c r="D840" s="65"/>
      <c r="E840" s="58"/>
      <c r="F840" s="67"/>
      <c r="G840" s="60"/>
      <c r="H840" s="68">
        <f>COUNTIFS(Minifigures!$C$22:$C$1137,D840)</f>
        <v>0</v>
      </c>
      <c r="I840" s="60"/>
      <c r="J840" s="79"/>
      <c r="K840" s="70"/>
      <c r="L840" s="71"/>
      <c r="M840" s="58"/>
      <c r="N840" s="72"/>
      <c r="O840" s="72"/>
      <c r="P840" s="63">
        <f t="shared" si="10"/>
        <v>1899</v>
      </c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65"/>
      <c r="C841" s="58"/>
      <c r="D841" s="65"/>
      <c r="E841" s="58"/>
      <c r="F841" s="67"/>
      <c r="G841" s="60"/>
      <c r="H841" s="68">
        <f>COUNTIFS(Minifigures!$C$22:$C$1137,D841)</f>
        <v>0</v>
      </c>
      <c r="I841" s="60"/>
      <c r="J841" s="79"/>
      <c r="K841" s="70"/>
      <c r="L841" s="71"/>
      <c r="M841" s="58"/>
      <c r="N841" s="72"/>
      <c r="O841" s="72"/>
      <c r="P841" s="63">
        <f t="shared" si="10"/>
        <v>1899</v>
      </c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65"/>
      <c r="C842" s="58"/>
      <c r="D842" s="65"/>
      <c r="E842" s="58"/>
      <c r="F842" s="67"/>
      <c r="G842" s="60"/>
      <c r="H842" s="68">
        <f>COUNTIFS(Minifigures!$C$22:$C$1137,D842)</f>
        <v>0</v>
      </c>
      <c r="I842" s="60"/>
      <c r="J842" s="79"/>
      <c r="K842" s="70"/>
      <c r="L842" s="71"/>
      <c r="M842" s="58"/>
      <c r="N842" s="72"/>
      <c r="O842" s="72"/>
      <c r="P842" s="63">
        <f t="shared" si="10"/>
        <v>1899</v>
      </c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65"/>
      <c r="C843" s="58"/>
      <c r="D843" s="65"/>
      <c r="E843" s="58"/>
      <c r="F843" s="67"/>
      <c r="G843" s="60"/>
      <c r="H843" s="68">
        <f>COUNTIFS(Minifigures!$C$22:$C$1137,D843)</f>
        <v>0</v>
      </c>
      <c r="I843" s="60"/>
      <c r="J843" s="79"/>
      <c r="K843" s="70"/>
      <c r="L843" s="71"/>
      <c r="M843" s="58"/>
      <c r="N843" s="72"/>
      <c r="O843" s="72"/>
      <c r="P843" s="63">
        <f t="shared" si="10"/>
        <v>1899</v>
      </c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65"/>
      <c r="C844" s="58"/>
      <c r="D844" s="65"/>
      <c r="E844" s="58"/>
      <c r="F844" s="67"/>
      <c r="G844" s="60"/>
      <c r="H844" s="68">
        <f>COUNTIFS(Minifigures!$C$22:$C$1137,D844)</f>
        <v>0</v>
      </c>
      <c r="I844" s="60"/>
      <c r="J844" s="79"/>
      <c r="K844" s="70"/>
      <c r="L844" s="71"/>
      <c r="M844" s="58"/>
      <c r="N844" s="72"/>
      <c r="O844" s="72"/>
      <c r="P844" s="63">
        <f t="shared" si="10"/>
        <v>1899</v>
      </c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65"/>
      <c r="C845" s="58"/>
      <c r="D845" s="65"/>
      <c r="E845" s="58"/>
      <c r="F845" s="67"/>
      <c r="G845" s="60"/>
      <c r="H845" s="68">
        <f>COUNTIFS(Minifigures!$C$22:$C$1137,D845)</f>
        <v>0</v>
      </c>
      <c r="I845" s="60"/>
      <c r="J845" s="79"/>
      <c r="K845" s="70"/>
      <c r="L845" s="71"/>
      <c r="M845" s="58"/>
      <c r="N845" s="72"/>
      <c r="O845" s="72"/>
      <c r="P845" s="63">
        <f t="shared" si="10"/>
        <v>1899</v>
      </c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65"/>
      <c r="C846" s="58"/>
      <c r="D846" s="65"/>
      <c r="E846" s="58"/>
      <c r="F846" s="67"/>
      <c r="G846" s="60"/>
      <c r="H846" s="68">
        <f>COUNTIFS(Minifigures!$C$22:$C$1137,D846)</f>
        <v>0</v>
      </c>
      <c r="I846" s="60"/>
      <c r="J846" s="79"/>
      <c r="K846" s="70"/>
      <c r="L846" s="71"/>
      <c r="M846" s="58"/>
      <c r="N846" s="72"/>
      <c r="O846" s="72"/>
      <c r="P846" s="63">
        <f t="shared" si="10"/>
        <v>1899</v>
      </c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65"/>
      <c r="C847" s="58"/>
      <c r="D847" s="65"/>
      <c r="E847" s="58"/>
      <c r="F847" s="67"/>
      <c r="G847" s="60"/>
      <c r="H847" s="68">
        <f>COUNTIFS(Minifigures!$C$22:$C$1137,D847)</f>
        <v>0</v>
      </c>
      <c r="I847" s="60"/>
      <c r="J847" s="79"/>
      <c r="K847" s="70"/>
      <c r="L847" s="71"/>
      <c r="M847" s="58"/>
      <c r="N847" s="72"/>
      <c r="O847" s="72"/>
      <c r="P847" s="63">
        <f t="shared" si="10"/>
        <v>1899</v>
      </c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65"/>
      <c r="C848" s="58"/>
      <c r="D848" s="65"/>
      <c r="E848" s="58"/>
      <c r="F848" s="67"/>
      <c r="G848" s="60"/>
      <c r="H848" s="68">
        <f>COUNTIFS(Minifigures!$C$22:$C$1137,D848)</f>
        <v>0</v>
      </c>
      <c r="I848" s="60"/>
      <c r="J848" s="79"/>
      <c r="K848" s="70"/>
      <c r="L848" s="71"/>
      <c r="M848" s="58"/>
      <c r="N848" s="72"/>
      <c r="O848" s="72"/>
      <c r="P848" s="63">
        <f t="shared" si="10"/>
        <v>1899</v>
      </c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65"/>
      <c r="C849" s="58"/>
      <c r="D849" s="65"/>
      <c r="E849" s="58"/>
      <c r="F849" s="67"/>
      <c r="G849" s="60"/>
      <c r="H849" s="68">
        <f>COUNTIFS(Minifigures!$C$22:$C$1137,D849)</f>
        <v>0</v>
      </c>
      <c r="I849" s="60"/>
      <c r="J849" s="79"/>
      <c r="K849" s="70"/>
      <c r="L849" s="71"/>
      <c r="M849" s="58"/>
      <c r="N849" s="72"/>
      <c r="O849" s="72"/>
      <c r="P849" s="63">
        <f t="shared" si="10"/>
        <v>1899</v>
      </c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65"/>
      <c r="C850" s="58"/>
      <c r="D850" s="65"/>
      <c r="E850" s="58"/>
      <c r="F850" s="67"/>
      <c r="G850" s="60"/>
      <c r="H850" s="68">
        <f>COUNTIFS(Minifigures!$C$22:$C$1137,D850)</f>
        <v>0</v>
      </c>
      <c r="I850" s="60"/>
      <c r="J850" s="79"/>
      <c r="K850" s="70"/>
      <c r="L850" s="71"/>
      <c r="M850" s="58"/>
      <c r="N850" s="72"/>
      <c r="O850" s="72"/>
      <c r="P850" s="63">
        <f t="shared" si="10"/>
        <v>1899</v>
      </c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65"/>
      <c r="C851" s="58"/>
      <c r="D851" s="65"/>
      <c r="E851" s="58"/>
      <c r="F851" s="67"/>
      <c r="G851" s="60"/>
      <c r="H851" s="68">
        <f>COUNTIFS(Minifigures!$C$22:$C$1137,D851)</f>
        <v>0</v>
      </c>
      <c r="I851" s="60"/>
      <c r="J851" s="79"/>
      <c r="K851" s="70"/>
      <c r="L851" s="71"/>
      <c r="M851" s="58"/>
      <c r="N851" s="72"/>
      <c r="O851" s="72"/>
      <c r="P851" s="63">
        <f t="shared" si="10"/>
        <v>1899</v>
      </c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65"/>
      <c r="C852" s="58"/>
      <c r="D852" s="65"/>
      <c r="E852" s="58"/>
      <c r="F852" s="67"/>
      <c r="G852" s="60"/>
      <c r="H852" s="68">
        <f>COUNTIFS(Minifigures!$C$22:$C$1137,D852)</f>
        <v>0</v>
      </c>
      <c r="I852" s="60"/>
      <c r="J852" s="79"/>
      <c r="K852" s="70"/>
      <c r="L852" s="71"/>
      <c r="M852" s="58"/>
      <c r="N852" s="72"/>
      <c r="O852" s="72"/>
      <c r="P852" s="63">
        <f t="shared" si="10"/>
        <v>1899</v>
      </c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65"/>
      <c r="C853" s="58"/>
      <c r="D853" s="65"/>
      <c r="E853" s="58"/>
      <c r="F853" s="67"/>
      <c r="G853" s="60"/>
      <c r="H853" s="68">
        <f>COUNTIFS(Minifigures!$C$22:$C$1137,D853)</f>
        <v>0</v>
      </c>
      <c r="I853" s="60"/>
      <c r="J853" s="79"/>
      <c r="K853" s="70"/>
      <c r="L853" s="71"/>
      <c r="M853" s="58"/>
      <c r="N853" s="72"/>
      <c r="O853" s="72"/>
      <c r="P853" s="63">
        <f t="shared" si="10"/>
        <v>1899</v>
      </c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65"/>
      <c r="C854" s="58"/>
      <c r="D854" s="65"/>
      <c r="E854" s="58"/>
      <c r="F854" s="67"/>
      <c r="G854" s="60"/>
      <c r="H854" s="68">
        <f>COUNTIFS(Minifigures!$C$22:$C$1137,D854)</f>
        <v>0</v>
      </c>
      <c r="I854" s="60"/>
      <c r="J854" s="79"/>
      <c r="K854" s="70"/>
      <c r="L854" s="71"/>
      <c r="M854" s="58"/>
      <c r="N854" s="72"/>
      <c r="O854" s="72"/>
      <c r="P854" s="63">
        <f t="shared" si="10"/>
        <v>1899</v>
      </c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65"/>
      <c r="C855" s="58"/>
      <c r="D855" s="65"/>
      <c r="E855" s="58"/>
      <c r="F855" s="67"/>
      <c r="G855" s="60"/>
      <c r="H855" s="68">
        <f>COUNTIFS(Minifigures!$C$22:$C$1137,D855)</f>
        <v>0</v>
      </c>
      <c r="I855" s="60"/>
      <c r="J855" s="79"/>
      <c r="K855" s="70"/>
      <c r="L855" s="71"/>
      <c r="M855" s="58"/>
      <c r="N855" s="72"/>
      <c r="O855" s="72"/>
      <c r="P855" s="63">
        <f t="shared" si="10"/>
        <v>1899</v>
      </c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65"/>
      <c r="C856" s="58"/>
      <c r="D856" s="65"/>
      <c r="E856" s="58"/>
      <c r="F856" s="67"/>
      <c r="G856" s="60"/>
      <c r="H856" s="68">
        <f>COUNTIFS(Minifigures!$C$22:$C$1137,D856)</f>
        <v>0</v>
      </c>
      <c r="I856" s="60"/>
      <c r="J856" s="79"/>
      <c r="K856" s="70"/>
      <c r="L856" s="71"/>
      <c r="M856" s="58"/>
      <c r="N856" s="72"/>
      <c r="O856" s="72"/>
      <c r="P856" s="63">
        <f t="shared" si="10"/>
        <v>1899</v>
      </c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65"/>
      <c r="C857" s="58"/>
      <c r="D857" s="65"/>
      <c r="E857" s="58"/>
      <c r="F857" s="67"/>
      <c r="G857" s="60"/>
      <c r="H857" s="68">
        <f>COUNTIFS(Minifigures!$C$22:$C$1137,D857)</f>
        <v>0</v>
      </c>
      <c r="I857" s="60"/>
      <c r="J857" s="79"/>
      <c r="K857" s="70"/>
      <c r="L857" s="71"/>
      <c r="M857" s="58"/>
      <c r="N857" s="72"/>
      <c r="O857" s="72"/>
      <c r="P857" s="63">
        <f t="shared" si="10"/>
        <v>1899</v>
      </c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65"/>
      <c r="C858" s="58"/>
      <c r="D858" s="65"/>
      <c r="E858" s="58"/>
      <c r="F858" s="67"/>
      <c r="G858" s="60"/>
      <c r="H858" s="68">
        <f>COUNTIFS(Minifigures!$C$22:$C$1137,D858)</f>
        <v>0</v>
      </c>
      <c r="I858" s="60"/>
      <c r="J858" s="79"/>
      <c r="K858" s="70"/>
      <c r="L858" s="71"/>
      <c r="M858" s="58"/>
      <c r="N858" s="72"/>
      <c r="O858" s="72"/>
      <c r="P858" s="63">
        <f t="shared" si="10"/>
        <v>1899</v>
      </c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65"/>
      <c r="C859" s="58"/>
      <c r="D859" s="65"/>
      <c r="E859" s="58"/>
      <c r="F859" s="67"/>
      <c r="G859" s="60"/>
      <c r="H859" s="68">
        <f>COUNTIFS(Minifigures!$C$22:$C$1137,D859)</f>
        <v>0</v>
      </c>
      <c r="I859" s="60"/>
      <c r="J859" s="79"/>
      <c r="K859" s="70"/>
      <c r="L859" s="71"/>
      <c r="M859" s="58"/>
      <c r="N859" s="72"/>
      <c r="O859" s="72"/>
      <c r="P859" s="63">
        <f t="shared" si="10"/>
        <v>1899</v>
      </c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65"/>
      <c r="C860" s="58"/>
      <c r="D860" s="65"/>
      <c r="E860" s="58"/>
      <c r="F860" s="67"/>
      <c r="G860" s="60"/>
      <c r="H860" s="68">
        <f>COUNTIFS(Minifigures!$C$22:$C$1137,D860)</f>
        <v>0</v>
      </c>
      <c r="I860" s="60"/>
      <c r="J860" s="79"/>
      <c r="K860" s="70"/>
      <c r="L860" s="71"/>
      <c r="M860" s="58"/>
      <c r="N860" s="72"/>
      <c r="O860" s="72"/>
      <c r="P860" s="63">
        <f t="shared" si="10"/>
        <v>1899</v>
      </c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65"/>
      <c r="C861" s="58"/>
      <c r="D861" s="65"/>
      <c r="E861" s="58"/>
      <c r="F861" s="67"/>
      <c r="G861" s="60"/>
      <c r="H861" s="68">
        <f>COUNTIFS(Minifigures!$C$22:$C$1137,D861)</f>
        <v>0</v>
      </c>
      <c r="I861" s="60"/>
      <c r="J861" s="79"/>
      <c r="K861" s="70"/>
      <c r="L861" s="71"/>
      <c r="M861" s="58"/>
      <c r="N861" s="72"/>
      <c r="O861" s="72"/>
      <c r="P861" s="63">
        <f t="shared" si="10"/>
        <v>1899</v>
      </c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65"/>
      <c r="C862" s="58"/>
      <c r="D862" s="65"/>
      <c r="E862" s="58"/>
      <c r="F862" s="67"/>
      <c r="G862" s="60"/>
      <c r="H862" s="68">
        <f>COUNTIFS(Minifigures!$C$22:$C$1137,D862)</f>
        <v>0</v>
      </c>
      <c r="I862" s="60"/>
      <c r="J862" s="79"/>
      <c r="K862" s="70"/>
      <c r="L862" s="71"/>
      <c r="M862" s="58"/>
      <c r="N862" s="72"/>
      <c r="O862" s="72"/>
      <c r="P862" s="63">
        <f t="shared" si="10"/>
        <v>1899</v>
      </c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65"/>
      <c r="C863" s="58"/>
      <c r="D863" s="65"/>
      <c r="E863" s="58"/>
      <c r="F863" s="67"/>
      <c r="G863" s="60"/>
      <c r="H863" s="68">
        <f>COUNTIFS(Minifigures!$C$22:$C$1137,D863)</f>
        <v>0</v>
      </c>
      <c r="I863" s="60"/>
      <c r="J863" s="79"/>
      <c r="K863" s="70"/>
      <c r="L863" s="71"/>
      <c r="M863" s="58"/>
      <c r="N863" s="72"/>
      <c r="O863" s="72"/>
      <c r="P863" s="63">
        <f t="shared" si="10"/>
        <v>1899</v>
      </c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65"/>
      <c r="C864" s="58"/>
      <c r="D864" s="65"/>
      <c r="E864" s="58"/>
      <c r="F864" s="67"/>
      <c r="G864" s="60"/>
      <c r="H864" s="68">
        <f>COUNTIFS(Minifigures!$C$22:$C$1137,D864)</f>
        <v>0</v>
      </c>
      <c r="I864" s="60"/>
      <c r="J864" s="79"/>
      <c r="K864" s="70"/>
      <c r="L864" s="71"/>
      <c r="M864" s="58"/>
      <c r="N864" s="72"/>
      <c r="O864" s="72"/>
      <c r="P864" s="63">
        <f t="shared" si="10"/>
        <v>1899</v>
      </c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65"/>
      <c r="C865" s="58"/>
      <c r="D865" s="65"/>
      <c r="E865" s="58"/>
      <c r="F865" s="67"/>
      <c r="G865" s="60"/>
      <c r="H865" s="68">
        <f>COUNTIFS(Minifigures!$C$22:$C$1137,D865)</f>
        <v>0</v>
      </c>
      <c r="I865" s="60"/>
      <c r="J865" s="79"/>
      <c r="K865" s="70"/>
      <c r="L865" s="71"/>
      <c r="M865" s="58"/>
      <c r="N865" s="72"/>
      <c r="O865" s="72"/>
      <c r="P865" s="63">
        <f t="shared" si="10"/>
        <v>1899</v>
      </c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65"/>
      <c r="C866" s="58"/>
      <c r="D866" s="65"/>
      <c r="E866" s="58"/>
      <c r="F866" s="67"/>
      <c r="G866" s="60"/>
      <c r="H866" s="68">
        <f>COUNTIFS(Minifigures!$C$22:$C$1137,D866)</f>
        <v>0</v>
      </c>
      <c r="I866" s="60"/>
      <c r="J866" s="79"/>
      <c r="K866" s="70"/>
      <c r="L866" s="71"/>
      <c r="M866" s="58"/>
      <c r="N866" s="72"/>
      <c r="O866" s="72"/>
      <c r="P866" s="63">
        <f t="shared" si="10"/>
        <v>1899</v>
      </c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65"/>
      <c r="C867" s="58"/>
      <c r="D867" s="65"/>
      <c r="E867" s="58"/>
      <c r="F867" s="67"/>
      <c r="G867" s="60"/>
      <c r="H867" s="68">
        <f>COUNTIFS(Minifigures!$C$22:$C$1137,D867)</f>
        <v>0</v>
      </c>
      <c r="I867" s="60"/>
      <c r="J867" s="79"/>
      <c r="K867" s="70"/>
      <c r="L867" s="71"/>
      <c r="M867" s="58"/>
      <c r="N867" s="72"/>
      <c r="O867" s="72"/>
      <c r="P867" s="63">
        <f t="shared" si="10"/>
        <v>1899</v>
      </c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65"/>
      <c r="C868" s="58"/>
      <c r="D868" s="65"/>
      <c r="E868" s="58"/>
      <c r="F868" s="67"/>
      <c r="G868" s="60"/>
      <c r="H868" s="68">
        <f>COUNTIFS(Minifigures!$C$22:$C$1137,D868)</f>
        <v>0</v>
      </c>
      <c r="I868" s="60"/>
      <c r="J868" s="79"/>
      <c r="K868" s="70"/>
      <c r="L868" s="71"/>
      <c r="M868" s="58"/>
      <c r="N868" s="72"/>
      <c r="O868" s="72"/>
      <c r="P868" s="63">
        <f t="shared" si="10"/>
        <v>1899</v>
      </c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65"/>
      <c r="C869" s="58"/>
      <c r="D869" s="65"/>
      <c r="E869" s="58"/>
      <c r="F869" s="67"/>
      <c r="G869" s="60"/>
      <c r="H869" s="68">
        <f>COUNTIFS(Minifigures!$C$22:$C$1137,D869)</f>
        <v>0</v>
      </c>
      <c r="I869" s="60"/>
      <c r="J869" s="79"/>
      <c r="K869" s="70"/>
      <c r="L869" s="71"/>
      <c r="M869" s="58"/>
      <c r="N869" s="72"/>
      <c r="O869" s="72"/>
      <c r="P869" s="63">
        <f t="shared" si="10"/>
        <v>1899</v>
      </c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65"/>
      <c r="C870" s="58"/>
      <c r="D870" s="65"/>
      <c r="E870" s="58"/>
      <c r="F870" s="67"/>
      <c r="G870" s="60"/>
      <c r="H870" s="68">
        <f>COUNTIFS(Minifigures!$C$22:$C$1137,D870)</f>
        <v>0</v>
      </c>
      <c r="I870" s="60"/>
      <c r="J870" s="79"/>
      <c r="K870" s="70"/>
      <c r="L870" s="71"/>
      <c r="M870" s="58"/>
      <c r="N870" s="72"/>
      <c r="O870" s="72"/>
      <c r="P870" s="63">
        <f t="shared" si="10"/>
        <v>1899</v>
      </c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65"/>
      <c r="C871" s="58"/>
      <c r="D871" s="65"/>
      <c r="E871" s="58"/>
      <c r="F871" s="67"/>
      <c r="G871" s="60"/>
      <c r="H871" s="68">
        <f>COUNTIFS(Minifigures!$C$22:$C$1137,D871)</f>
        <v>0</v>
      </c>
      <c r="I871" s="60"/>
      <c r="J871" s="79"/>
      <c r="K871" s="70"/>
      <c r="L871" s="71"/>
      <c r="M871" s="58"/>
      <c r="N871" s="72"/>
      <c r="O871" s="72"/>
      <c r="P871" s="63">
        <f t="shared" si="10"/>
        <v>1899</v>
      </c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65"/>
      <c r="C872" s="58"/>
      <c r="D872" s="65"/>
      <c r="E872" s="58"/>
      <c r="F872" s="67"/>
      <c r="G872" s="60"/>
      <c r="H872" s="68">
        <f>COUNTIFS(Minifigures!$C$22:$C$1137,D872)</f>
        <v>0</v>
      </c>
      <c r="I872" s="60"/>
      <c r="J872" s="79"/>
      <c r="K872" s="70"/>
      <c r="L872" s="71"/>
      <c r="M872" s="58"/>
      <c r="N872" s="72"/>
      <c r="O872" s="72"/>
      <c r="P872" s="63">
        <f t="shared" si="10"/>
        <v>1899</v>
      </c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65"/>
      <c r="C873" s="58"/>
      <c r="D873" s="65"/>
      <c r="E873" s="58"/>
      <c r="F873" s="67"/>
      <c r="G873" s="60"/>
      <c r="H873" s="68">
        <f>COUNTIFS(Minifigures!$C$22:$C$1137,D873)</f>
        <v>0</v>
      </c>
      <c r="I873" s="60"/>
      <c r="J873" s="79"/>
      <c r="K873" s="70"/>
      <c r="L873" s="71"/>
      <c r="M873" s="58"/>
      <c r="N873" s="72"/>
      <c r="O873" s="72"/>
      <c r="P873" s="63">
        <f t="shared" si="10"/>
        <v>1899</v>
      </c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65"/>
      <c r="C874" s="58"/>
      <c r="D874" s="65"/>
      <c r="E874" s="58"/>
      <c r="F874" s="67"/>
      <c r="G874" s="60"/>
      <c r="H874" s="68">
        <f>COUNTIFS(Minifigures!$C$22:$C$1137,D874)</f>
        <v>0</v>
      </c>
      <c r="I874" s="60"/>
      <c r="J874" s="79"/>
      <c r="K874" s="70"/>
      <c r="L874" s="71"/>
      <c r="M874" s="58"/>
      <c r="N874" s="72"/>
      <c r="O874" s="72"/>
      <c r="P874" s="63">
        <f t="shared" si="10"/>
        <v>1899</v>
      </c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65"/>
      <c r="C875" s="58"/>
      <c r="D875" s="65"/>
      <c r="E875" s="58"/>
      <c r="F875" s="67"/>
      <c r="G875" s="60"/>
      <c r="H875" s="68">
        <f>COUNTIFS(Minifigures!$C$22:$C$1137,D875)</f>
        <v>0</v>
      </c>
      <c r="I875" s="60"/>
      <c r="J875" s="79"/>
      <c r="K875" s="70"/>
      <c r="L875" s="71"/>
      <c r="M875" s="58"/>
      <c r="N875" s="72"/>
      <c r="O875" s="72"/>
      <c r="P875" s="63">
        <f t="shared" si="10"/>
        <v>1899</v>
      </c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65"/>
      <c r="C876" s="58"/>
      <c r="D876" s="65"/>
      <c r="E876" s="58"/>
      <c r="F876" s="67"/>
      <c r="G876" s="60"/>
      <c r="H876" s="68">
        <f>COUNTIFS(Minifigures!$C$22:$C$1137,D876)</f>
        <v>0</v>
      </c>
      <c r="I876" s="60"/>
      <c r="J876" s="79"/>
      <c r="K876" s="70"/>
      <c r="L876" s="71"/>
      <c r="M876" s="58"/>
      <c r="N876" s="72"/>
      <c r="O876" s="72"/>
      <c r="P876" s="63">
        <f t="shared" si="10"/>
        <v>1899</v>
      </c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65"/>
      <c r="C877" s="58"/>
      <c r="D877" s="65"/>
      <c r="E877" s="58"/>
      <c r="F877" s="67"/>
      <c r="G877" s="60"/>
      <c r="H877" s="68">
        <f>COUNTIFS(Minifigures!$C$22:$C$1137,D877)</f>
        <v>0</v>
      </c>
      <c r="I877" s="60"/>
      <c r="J877" s="79"/>
      <c r="K877" s="70"/>
      <c r="L877" s="71"/>
      <c r="M877" s="58"/>
      <c r="N877" s="72"/>
      <c r="O877" s="72"/>
      <c r="P877" s="63">
        <f t="shared" si="10"/>
        <v>1899</v>
      </c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65"/>
      <c r="C878" s="58"/>
      <c r="D878" s="65"/>
      <c r="E878" s="58"/>
      <c r="F878" s="67"/>
      <c r="G878" s="60"/>
      <c r="H878" s="68">
        <f>COUNTIFS(Minifigures!$C$22:$C$1137,D878)</f>
        <v>0</v>
      </c>
      <c r="I878" s="60"/>
      <c r="J878" s="79"/>
      <c r="K878" s="70"/>
      <c r="L878" s="71"/>
      <c r="M878" s="58"/>
      <c r="N878" s="72"/>
      <c r="O878" s="72"/>
      <c r="P878" s="63">
        <f t="shared" si="10"/>
        <v>1899</v>
      </c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65"/>
      <c r="C879" s="58"/>
      <c r="D879" s="65"/>
      <c r="E879" s="58"/>
      <c r="F879" s="67"/>
      <c r="G879" s="60"/>
      <c r="H879" s="68">
        <f>COUNTIFS(Minifigures!$C$22:$C$1137,D879)</f>
        <v>0</v>
      </c>
      <c r="I879" s="60"/>
      <c r="J879" s="79"/>
      <c r="K879" s="70"/>
      <c r="L879" s="71"/>
      <c r="M879" s="58"/>
      <c r="N879" s="72"/>
      <c r="O879" s="72"/>
      <c r="P879" s="63">
        <f t="shared" si="10"/>
        <v>1899</v>
      </c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65"/>
      <c r="C880" s="58"/>
      <c r="D880" s="65"/>
      <c r="E880" s="58"/>
      <c r="F880" s="67"/>
      <c r="G880" s="60"/>
      <c r="H880" s="68">
        <f>COUNTIFS(Minifigures!$C$22:$C$1137,D880)</f>
        <v>0</v>
      </c>
      <c r="I880" s="60"/>
      <c r="J880" s="79"/>
      <c r="K880" s="70"/>
      <c r="L880" s="71"/>
      <c r="M880" s="58"/>
      <c r="N880" s="72"/>
      <c r="O880" s="72"/>
      <c r="P880" s="63">
        <f t="shared" si="10"/>
        <v>1899</v>
      </c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65"/>
      <c r="C881" s="58"/>
      <c r="D881" s="65"/>
      <c r="E881" s="58"/>
      <c r="F881" s="67"/>
      <c r="G881" s="60"/>
      <c r="H881" s="68">
        <f>COUNTIFS(Minifigures!$C$22:$C$1137,D881)</f>
        <v>0</v>
      </c>
      <c r="I881" s="60"/>
      <c r="J881" s="79"/>
      <c r="K881" s="70"/>
      <c r="L881" s="71"/>
      <c r="M881" s="58"/>
      <c r="N881" s="72"/>
      <c r="O881" s="72"/>
      <c r="P881" s="63">
        <f t="shared" si="10"/>
        <v>1899</v>
      </c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65"/>
      <c r="C882" s="58"/>
      <c r="D882" s="65"/>
      <c r="E882" s="58"/>
      <c r="F882" s="67"/>
      <c r="G882" s="60"/>
      <c r="H882" s="68">
        <f>COUNTIFS(Minifigures!$C$22:$C$1137,D882)</f>
        <v>0</v>
      </c>
      <c r="I882" s="60"/>
      <c r="J882" s="79"/>
      <c r="K882" s="70"/>
      <c r="L882" s="71"/>
      <c r="M882" s="58"/>
      <c r="N882" s="72"/>
      <c r="O882" s="72"/>
      <c r="P882" s="63">
        <f t="shared" si="10"/>
        <v>1899</v>
      </c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65"/>
      <c r="C883" s="58"/>
      <c r="D883" s="65"/>
      <c r="E883" s="58"/>
      <c r="F883" s="67"/>
      <c r="G883" s="60"/>
      <c r="H883" s="68">
        <f>COUNTIFS(Minifigures!$C$22:$C$1137,D883)</f>
        <v>0</v>
      </c>
      <c r="I883" s="60"/>
      <c r="J883" s="79"/>
      <c r="K883" s="70"/>
      <c r="L883" s="71"/>
      <c r="M883" s="58"/>
      <c r="N883" s="72"/>
      <c r="O883" s="72"/>
      <c r="P883" s="63">
        <f t="shared" si="10"/>
        <v>1899</v>
      </c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65"/>
      <c r="C884" s="58"/>
      <c r="D884" s="65"/>
      <c r="E884" s="58"/>
      <c r="F884" s="67"/>
      <c r="G884" s="60"/>
      <c r="H884" s="68">
        <f>COUNTIFS(Minifigures!$C$22:$C$1137,D884)</f>
        <v>0</v>
      </c>
      <c r="I884" s="60"/>
      <c r="J884" s="79"/>
      <c r="K884" s="70"/>
      <c r="L884" s="71"/>
      <c r="M884" s="58"/>
      <c r="N884" s="72"/>
      <c r="O884" s="72"/>
      <c r="P884" s="63">
        <f t="shared" si="10"/>
        <v>1899</v>
      </c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65"/>
      <c r="C885" s="58"/>
      <c r="D885" s="65"/>
      <c r="E885" s="58"/>
      <c r="F885" s="67"/>
      <c r="G885" s="60"/>
      <c r="H885" s="68">
        <f>COUNTIFS(Minifigures!$C$22:$C$1137,D885)</f>
        <v>0</v>
      </c>
      <c r="I885" s="60"/>
      <c r="J885" s="79"/>
      <c r="K885" s="70"/>
      <c r="L885" s="71"/>
      <c r="M885" s="58"/>
      <c r="N885" s="72"/>
      <c r="O885" s="72"/>
      <c r="P885" s="63">
        <f t="shared" si="10"/>
        <v>1899</v>
      </c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65"/>
      <c r="C886" s="58"/>
      <c r="D886" s="65"/>
      <c r="E886" s="58"/>
      <c r="F886" s="67"/>
      <c r="G886" s="60"/>
      <c r="H886" s="68">
        <f>COUNTIFS(Minifigures!$C$22:$C$1137,D886)</f>
        <v>0</v>
      </c>
      <c r="I886" s="60"/>
      <c r="J886" s="79"/>
      <c r="K886" s="70"/>
      <c r="L886" s="71"/>
      <c r="M886" s="58"/>
      <c r="N886" s="72"/>
      <c r="O886" s="72"/>
      <c r="P886" s="63">
        <f t="shared" si="10"/>
        <v>1899</v>
      </c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65"/>
      <c r="C887" s="58"/>
      <c r="D887" s="65"/>
      <c r="E887" s="58"/>
      <c r="F887" s="67"/>
      <c r="G887" s="60"/>
      <c r="H887" s="68">
        <f>COUNTIFS(Minifigures!$C$22:$C$1137,D887)</f>
        <v>0</v>
      </c>
      <c r="I887" s="60"/>
      <c r="J887" s="79"/>
      <c r="K887" s="70"/>
      <c r="L887" s="71"/>
      <c r="M887" s="58"/>
      <c r="N887" s="72"/>
      <c r="O887" s="72"/>
      <c r="P887" s="63">
        <f t="shared" si="10"/>
        <v>1899</v>
      </c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65"/>
      <c r="C888" s="58"/>
      <c r="D888" s="65"/>
      <c r="E888" s="58"/>
      <c r="F888" s="67"/>
      <c r="G888" s="60"/>
      <c r="H888" s="68">
        <f>COUNTIFS(Minifigures!$C$22:$C$1137,D888)</f>
        <v>0</v>
      </c>
      <c r="I888" s="60"/>
      <c r="J888" s="79"/>
      <c r="K888" s="70"/>
      <c r="L888" s="71"/>
      <c r="M888" s="58"/>
      <c r="N888" s="72"/>
      <c r="O888" s="72"/>
      <c r="P888" s="63">
        <f t="shared" si="10"/>
        <v>1899</v>
      </c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65"/>
      <c r="C889" s="58"/>
      <c r="D889" s="65"/>
      <c r="E889" s="58"/>
      <c r="F889" s="67"/>
      <c r="G889" s="60"/>
      <c r="H889" s="68">
        <f>COUNTIFS(Minifigures!$C$22:$C$1137,D889)</f>
        <v>0</v>
      </c>
      <c r="I889" s="60"/>
      <c r="J889" s="79"/>
      <c r="K889" s="70"/>
      <c r="L889" s="71"/>
      <c r="M889" s="58"/>
      <c r="N889" s="72"/>
      <c r="O889" s="72"/>
      <c r="P889" s="63">
        <f t="shared" si="10"/>
        <v>1899</v>
      </c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65"/>
      <c r="C890" s="58"/>
      <c r="D890" s="65"/>
      <c r="E890" s="58"/>
      <c r="F890" s="67"/>
      <c r="G890" s="60"/>
      <c r="H890" s="68">
        <f>COUNTIFS(Minifigures!$C$22:$C$1137,D890)</f>
        <v>0</v>
      </c>
      <c r="I890" s="60"/>
      <c r="J890" s="79"/>
      <c r="K890" s="70"/>
      <c r="L890" s="71"/>
      <c r="M890" s="58"/>
      <c r="N890" s="72"/>
      <c r="O890" s="72"/>
      <c r="P890" s="63">
        <f t="shared" si="10"/>
        <v>1899</v>
      </c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65"/>
      <c r="C891" s="58"/>
      <c r="D891" s="65"/>
      <c r="E891" s="58"/>
      <c r="F891" s="67"/>
      <c r="G891" s="60"/>
      <c r="H891" s="68">
        <f>COUNTIFS(Minifigures!$C$22:$C$1137,D891)</f>
        <v>0</v>
      </c>
      <c r="I891" s="60"/>
      <c r="J891" s="79"/>
      <c r="K891" s="70"/>
      <c r="L891" s="71"/>
      <c r="M891" s="58"/>
      <c r="N891" s="72"/>
      <c r="O891" s="72"/>
      <c r="P891" s="63">
        <f t="shared" si="10"/>
        <v>1899</v>
      </c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65"/>
      <c r="C892" s="58"/>
      <c r="D892" s="65"/>
      <c r="E892" s="58"/>
      <c r="F892" s="67"/>
      <c r="G892" s="60"/>
      <c r="H892" s="68">
        <f>COUNTIFS(Minifigures!$C$22:$C$1137,D892)</f>
        <v>0</v>
      </c>
      <c r="I892" s="60"/>
      <c r="J892" s="79"/>
      <c r="K892" s="70"/>
      <c r="L892" s="71"/>
      <c r="M892" s="58"/>
      <c r="N892" s="72"/>
      <c r="O892" s="72"/>
      <c r="P892" s="63">
        <f t="shared" si="10"/>
        <v>1899</v>
      </c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65"/>
      <c r="C893" s="58"/>
      <c r="D893" s="65"/>
      <c r="E893" s="58"/>
      <c r="F893" s="67"/>
      <c r="G893" s="60"/>
      <c r="H893" s="68">
        <f>COUNTIFS(Minifigures!$C$22:$C$1137,D893)</f>
        <v>0</v>
      </c>
      <c r="I893" s="60"/>
      <c r="J893" s="79"/>
      <c r="K893" s="70"/>
      <c r="L893" s="71"/>
      <c r="M893" s="58"/>
      <c r="N893" s="72"/>
      <c r="O893" s="72"/>
      <c r="P893" s="63">
        <f t="shared" si="10"/>
        <v>1899</v>
      </c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65"/>
      <c r="C894" s="58"/>
      <c r="D894" s="65"/>
      <c r="E894" s="58"/>
      <c r="F894" s="67"/>
      <c r="G894" s="60"/>
      <c r="H894" s="68">
        <f>COUNTIFS(Minifigures!$C$22:$C$1137,D894)</f>
        <v>0</v>
      </c>
      <c r="I894" s="60"/>
      <c r="J894" s="79"/>
      <c r="K894" s="70"/>
      <c r="L894" s="71"/>
      <c r="M894" s="58"/>
      <c r="N894" s="72"/>
      <c r="O894" s="72"/>
      <c r="P894" s="63">
        <f t="shared" si="10"/>
        <v>1899</v>
      </c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65"/>
      <c r="C895" s="58"/>
      <c r="D895" s="65"/>
      <c r="E895" s="58"/>
      <c r="F895" s="67"/>
      <c r="G895" s="60"/>
      <c r="H895" s="68">
        <f>COUNTIFS(Minifigures!$C$22:$C$1137,D895)</f>
        <v>0</v>
      </c>
      <c r="I895" s="60"/>
      <c r="J895" s="79"/>
      <c r="K895" s="70"/>
      <c r="L895" s="71"/>
      <c r="M895" s="58"/>
      <c r="N895" s="72"/>
      <c r="O895" s="72"/>
      <c r="P895" s="63">
        <f t="shared" si="10"/>
        <v>1899</v>
      </c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65"/>
      <c r="C896" s="58"/>
      <c r="D896" s="65"/>
      <c r="E896" s="58"/>
      <c r="F896" s="67"/>
      <c r="G896" s="60"/>
      <c r="H896" s="68">
        <f>COUNTIFS(Minifigures!$C$22:$C$1137,D896)</f>
        <v>0</v>
      </c>
      <c r="I896" s="60"/>
      <c r="J896" s="79"/>
      <c r="K896" s="70"/>
      <c r="L896" s="71"/>
      <c r="M896" s="58"/>
      <c r="N896" s="72"/>
      <c r="O896" s="72"/>
      <c r="P896" s="63">
        <f t="shared" si="10"/>
        <v>1899</v>
      </c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65"/>
      <c r="C897" s="58"/>
      <c r="D897" s="65"/>
      <c r="E897" s="58"/>
      <c r="F897" s="67"/>
      <c r="G897" s="60"/>
      <c r="H897" s="68">
        <f>COUNTIFS(Minifigures!$C$22:$C$1137,D897)</f>
        <v>0</v>
      </c>
      <c r="I897" s="60"/>
      <c r="J897" s="79"/>
      <c r="K897" s="70"/>
      <c r="L897" s="71"/>
      <c r="M897" s="58"/>
      <c r="N897" s="72"/>
      <c r="O897" s="72"/>
      <c r="P897" s="63">
        <f t="shared" si="10"/>
        <v>1899</v>
      </c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65"/>
      <c r="C898" s="58"/>
      <c r="D898" s="65"/>
      <c r="E898" s="58"/>
      <c r="F898" s="67"/>
      <c r="G898" s="60"/>
      <c r="H898" s="68">
        <f>COUNTIFS(Minifigures!$C$22:$C$1137,D898)</f>
        <v>0</v>
      </c>
      <c r="I898" s="60"/>
      <c r="J898" s="79"/>
      <c r="K898" s="70"/>
      <c r="L898" s="71"/>
      <c r="M898" s="58"/>
      <c r="N898" s="72"/>
      <c r="O898" s="72"/>
      <c r="P898" s="63">
        <f t="shared" si="10"/>
        <v>1899</v>
      </c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65"/>
      <c r="C899" s="58"/>
      <c r="D899" s="65"/>
      <c r="E899" s="58"/>
      <c r="F899" s="67"/>
      <c r="G899" s="60"/>
      <c r="H899" s="68">
        <f>COUNTIFS(Minifigures!$C$22:$C$1137,D899)</f>
        <v>0</v>
      </c>
      <c r="I899" s="60"/>
      <c r="J899" s="79"/>
      <c r="K899" s="70"/>
      <c r="L899" s="71"/>
      <c r="M899" s="58"/>
      <c r="N899" s="72"/>
      <c r="O899" s="72"/>
      <c r="P899" s="63">
        <f t="shared" si="10"/>
        <v>1899</v>
      </c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65"/>
      <c r="C900" s="58"/>
      <c r="D900" s="65"/>
      <c r="E900" s="58"/>
      <c r="F900" s="67"/>
      <c r="G900" s="60"/>
      <c r="H900" s="68">
        <f>COUNTIFS(Minifigures!$C$22:$C$1137,D900)</f>
        <v>0</v>
      </c>
      <c r="I900" s="60"/>
      <c r="J900" s="79"/>
      <c r="K900" s="70"/>
      <c r="L900" s="71"/>
      <c r="M900" s="58"/>
      <c r="N900" s="72"/>
      <c r="O900" s="72"/>
      <c r="P900" s="63">
        <f t="shared" si="10"/>
        <v>1899</v>
      </c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65"/>
      <c r="C901" s="58"/>
      <c r="D901" s="65"/>
      <c r="E901" s="58"/>
      <c r="F901" s="67"/>
      <c r="G901" s="60"/>
      <c r="H901" s="68">
        <f>COUNTIFS(Minifigures!$C$22:$C$1137,D901)</f>
        <v>0</v>
      </c>
      <c r="I901" s="60"/>
      <c r="J901" s="79"/>
      <c r="K901" s="70"/>
      <c r="L901" s="71"/>
      <c r="M901" s="58"/>
      <c r="N901" s="72"/>
      <c r="O901" s="72"/>
      <c r="P901" s="63">
        <f t="shared" si="10"/>
        <v>1899</v>
      </c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65"/>
      <c r="C902" s="58"/>
      <c r="D902" s="65"/>
      <c r="E902" s="58"/>
      <c r="F902" s="67"/>
      <c r="G902" s="60"/>
      <c r="H902" s="68">
        <f>COUNTIFS(Minifigures!$C$22:$C$1137,D902)</f>
        <v>0</v>
      </c>
      <c r="I902" s="60"/>
      <c r="J902" s="79"/>
      <c r="K902" s="70"/>
      <c r="L902" s="71"/>
      <c r="M902" s="58"/>
      <c r="N902" s="72"/>
      <c r="O902" s="72"/>
      <c r="P902" s="63">
        <f t="shared" si="10"/>
        <v>1899</v>
      </c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65"/>
      <c r="C903" s="58"/>
      <c r="D903" s="65"/>
      <c r="E903" s="58"/>
      <c r="F903" s="67"/>
      <c r="G903" s="60"/>
      <c r="H903" s="68">
        <f>COUNTIFS(Minifigures!$C$22:$C$1137,D903)</f>
        <v>0</v>
      </c>
      <c r="I903" s="60"/>
      <c r="J903" s="79"/>
      <c r="K903" s="70"/>
      <c r="L903" s="71"/>
      <c r="M903" s="58"/>
      <c r="N903" s="72"/>
      <c r="O903" s="72"/>
      <c r="P903" s="63">
        <f t="shared" si="10"/>
        <v>1899</v>
      </c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65"/>
      <c r="C904" s="58"/>
      <c r="D904" s="65"/>
      <c r="E904" s="58"/>
      <c r="F904" s="67"/>
      <c r="G904" s="60"/>
      <c r="H904" s="68">
        <f>COUNTIFS(Minifigures!$C$22:$C$1137,D904)</f>
        <v>0</v>
      </c>
      <c r="I904" s="60"/>
      <c r="J904" s="79"/>
      <c r="K904" s="70"/>
      <c r="L904" s="71"/>
      <c r="M904" s="58"/>
      <c r="N904" s="72"/>
      <c r="O904" s="72"/>
      <c r="P904" s="63">
        <f t="shared" si="10"/>
        <v>1899</v>
      </c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65"/>
      <c r="C905" s="58"/>
      <c r="D905" s="65"/>
      <c r="E905" s="58"/>
      <c r="F905" s="67"/>
      <c r="G905" s="60"/>
      <c r="H905" s="68">
        <f>COUNTIFS(Minifigures!$C$22:$C$1137,D905)</f>
        <v>0</v>
      </c>
      <c r="I905" s="60"/>
      <c r="J905" s="79"/>
      <c r="K905" s="70"/>
      <c r="L905" s="71"/>
      <c r="M905" s="58"/>
      <c r="N905" s="72"/>
      <c r="O905" s="72"/>
      <c r="P905" s="63">
        <f t="shared" si="10"/>
        <v>1899</v>
      </c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65"/>
      <c r="C906" s="58"/>
      <c r="D906" s="65"/>
      <c r="E906" s="58"/>
      <c r="F906" s="67"/>
      <c r="G906" s="60"/>
      <c r="H906" s="68">
        <f>COUNTIFS(Minifigures!$C$22:$C$1137,D906)</f>
        <v>0</v>
      </c>
      <c r="I906" s="60"/>
      <c r="J906" s="79"/>
      <c r="K906" s="70"/>
      <c r="L906" s="71"/>
      <c r="M906" s="58"/>
      <c r="N906" s="72"/>
      <c r="O906" s="72"/>
      <c r="P906" s="63">
        <f t="shared" si="10"/>
        <v>1899</v>
      </c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65"/>
      <c r="C907" s="58"/>
      <c r="D907" s="65"/>
      <c r="E907" s="58"/>
      <c r="F907" s="67"/>
      <c r="G907" s="60"/>
      <c r="H907" s="68">
        <f>COUNTIFS(Minifigures!$C$22:$C$1137,D907)</f>
        <v>0</v>
      </c>
      <c r="I907" s="60"/>
      <c r="J907" s="79"/>
      <c r="K907" s="70"/>
      <c r="L907" s="71"/>
      <c r="M907" s="58"/>
      <c r="N907" s="72"/>
      <c r="O907" s="72"/>
      <c r="P907" s="63">
        <f t="shared" si="10"/>
        <v>1899</v>
      </c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65"/>
      <c r="C908" s="58"/>
      <c r="D908" s="65"/>
      <c r="E908" s="58"/>
      <c r="F908" s="67"/>
      <c r="G908" s="60"/>
      <c r="H908" s="68">
        <f>COUNTIFS(Minifigures!$C$22:$C$1137,D908)</f>
        <v>0</v>
      </c>
      <c r="I908" s="60"/>
      <c r="J908" s="79"/>
      <c r="K908" s="70"/>
      <c r="L908" s="71"/>
      <c r="M908" s="58"/>
      <c r="N908" s="72"/>
      <c r="O908" s="72"/>
      <c r="P908" s="63">
        <f t="shared" si="10"/>
        <v>1899</v>
      </c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65"/>
      <c r="C909" s="58"/>
      <c r="D909" s="65"/>
      <c r="E909" s="58"/>
      <c r="F909" s="67"/>
      <c r="G909" s="60"/>
      <c r="H909" s="68">
        <f>COUNTIFS(Minifigures!$C$22:$C$1137,D909)</f>
        <v>0</v>
      </c>
      <c r="I909" s="60"/>
      <c r="J909" s="79"/>
      <c r="K909" s="70"/>
      <c r="L909" s="71"/>
      <c r="M909" s="58"/>
      <c r="N909" s="72"/>
      <c r="O909" s="72"/>
      <c r="P909" s="63">
        <f t="shared" si="10"/>
        <v>1899</v>
      </c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65"/>
      <c r="C910" s="58"/>
      <c r="D910" s="65"/>
      <c r="E910" s="58"/>
      <c r="F910" s="67"/>
      <c r="G910" s="60"/>
      <c r="H910" s="68">
        <f>COUNTIFS(Minifigures!$C$22:$C$1137,D910)</f>
        <v>0</v>
      </c>
      <c r="I910" s="60"/>
      <c r="J910" s="79"/>
      <c r="K910" s="70"/>
      <c r="L910" s="71"/>
      <c r="M910" s="58"/>
      <c r="N910" s="72"/>
      <c r="O910" s="72"/>
      <c r="P910" s="63">
        <f t="shared" si="10"/>
        <v>1899</v>
      </c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65"/>
      <c r="C911" s="58"/>
      <c r="D911" s="65"/>
      <c r="E911" s="58"/>
      <c r="F911" s="67"/>
      <c r="G911" s="60"/>
      <c r="H911" s="68">
        <f>COUNTIFS(Minifigures!$C$22:$C$1137,D911)</f>
        <v>0</v>
      </c>
      <c r="I911" s="60"/>
      <c r="J911" s="79"/>
      <c r="K911" s="70"/>
      <c r="L911" s="71"/>
      <c r="M911" s="58"/>
      <c r="N911" s="72"/>
      <c r="O911" s="72"/>
      <c r="P911" s="63">
        <f t="shared" si="10"/>
        <v>1899</v>
      </c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65"/>
      <c r="C912" s="58"/>
      <c r="D912" s="65"/>
      <c r="E912" s="58"/>
      <c r="F912" s="67"/>
      <c r="G912" s="60"/>
      <c r="H912" s="68">
        <f>COUNTIFS(Minifigures!$C$22:$C$1137,D912)</f>
        <v>0</v>
      </c>
      <c r="I912" s="60"/>
      <c r="J912" s="79"/>
      <c r="K912" s="70"/>
      <c r="L912" s="71"/>
      <c r="M912" s="58"/>
      <c r="N912" s="72"/>
      <c r="O912" s="72"/>
      <c r="P912" s="63">
        <f t="shared" si="10"/>
        <v>1899</v>
      </c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65"/>
      <c r="C913" s="58"/>
      <c r="D913" s="65"/>
      <c r="E913" s="58"/>
      <c r="F913" s="67"/>
      <c r="G913" s="60"/>
      <c r="H913" s="68">
        <f>COUNTIFS(Minifigures!$C$22:$C$1137,D913)</f>
        <v>0</v>
      </c>
      <c r="I913" s="60"/>
      <c r="J913" s="79"/>
      <c r="K913" s="70"/>
      <c r="L913" s="71"/>
      <c r="M913" s="58"/>
      <c r="N913" s="72"/>
      <c r="O913" s="72"/>
      <c r="P913" s="63">
        <f t="shared" si="10"/>
        <v>1899</v>
      </c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65"/>
      <c r="C914" s="58"/>
      <c r="D914" s="65"/>
      <c r="E914" s="58"/>
      <c r="F914" s="67"/>
      <c r="G914" s="60"/>
      <c r="H914" s="68">
        <f>COUNTIFS(Minifigures!$C$22:$C$1137,D914)</f>
        <v>0</v>
      </c>
      <c r="I914" s="60"/>
      <c r="J914" s="79"/>
      <c r="K914" s="70"/>
      <c r="L914" s="71"/>
      <c r="M914" s="58"/>
      <c r="N914" s="72"/>
      <c r="O914" s="72"/>
      <c r="P914" s="63">
        <f t="shared" si="10"/>
        <v>1899</v>
      </c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65"/>
      <c r="C915" s="58"/>
      <c r="D915" s="65"/>
      <c r="E915" s="58"/>
      <c r="F915" s="67"/>
      <c r="G915" s="60"/>
      <c r="H915" s="68">
        <f>COUNTIFS(Minifigures!$C$22:$C$1137,D915)</f>
        <v>0</v>
      </c>
      <c r="I915" s="60"/>
      <c r="J915" s="79"/>
      <c r="K915" s="70"/>
      <c r="L915" s="71"/>
      <c r="M915" s="58"/>
      <c r="N915" s="72"/>
      <c r="O915" s="72"/>
      <c r="P915" s="63">
        <f t="shared" si="10"/>
        <v>1899</v>
      </c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65"/>
      <c r="C916" s="58"/>
      <c r="D916" s="65"/>
      <c r="E916" s="58"/>
      <c r="F916" s="67"/>
      <c r="G916" s="60"/>
      <c r="H916" s="68">
        <f>COUNTIFS(Minifigures!$C$22:$C$1137,D916)</f>
        <v>0</v>
      </c>
      <c r="I916" s="60"/>
      <c r="J916" s="79"/>
      <c r="K916" s="70"/>
      <c r="L916" s="71"/>
      <c r="M916" s="58"/>
      <c r="N916" s="72"/>
      <c r="O916" s="72"/>
      <c r="P916" s="63">
        <f t="shared" si="10"/>
        <v>1899</v>
      </c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65"/>
      <c r="C917" s="58"/>
      <c r="D917" s="65"/>
      <c r="E917" s="58"/>
      <c r="F917" s="67"/>
      <c r="G917" s="60"/>
      <c r="H917" s="68">
        <f>COUNTIFS(Minifigures!$C$22:$C$1137,D917)</f>
        <v>0</v>
      </c>
      <c r="I917" s="60"/>
      <c r="J917" s="79"/>
      <c r="K917" s="70"/>
      <c r="L917" s="71"/>
      <c r="M917" s="58"/>
      <c r="N917" s="72"/>
      <c r="O917" s="72"/>
      <c r="P917" s="63">
        <f t="shared" si="10"/>
        <v>1899</v>
      </c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65"/>
      <c r="C918" s="58"/>
      <c r="D918" s="65"/>
      <c r="E918" s="58"/>
      <c r="F918" s="67"/>
      <c r="G918" s="60"/>
      <c r="H918" s="68">
        <f>COUNTIFS(Minifigures!$C$22:$C$1137,D918)</f>
        <v>0</v>
      </c>
      <c r="I918" s="60"/>
      <c r="J918" s="79"/>
      <c r="K918" s="70"/>
      <c r="L918" s="71"/>
      <c r="M918" s="58"/>
      <c r="N918" s="72"/>
      <c r="O918" s="72"/>
      <c r="P918" s="63">
        <f t="shared" si="10"/>
        <v>1899</v>
      </c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65"/>
      <c r="C919" s="58"/>
      <c r="D919" s="65"/>
      <c r="E919" s="58"/>
      <c r="F919" s="67"/>
      <c r="G919" s="60"/>
      <c r="H919" s="68">
        <f>COUNTIFS(Minifigures!$C$22:$C$1137,D919)</f>
        <v>0</v>
      </c>
      <c r="I919" s="60"/>
      <c r="J919" s="79"/>
      <c r="K919" s="70"/>
      <c r="L919" s="71"/>
      <c r="M919" s="58"/>
      <c r="N919" s="72"/>
      <c r="O919" s="72"/>
      <c r="P919" s="63">
        <f t="shared" si="10"/>
        <v>1899</v>
      </c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65"/>
      <c r="C920" s="58"/>
      <c r="D920" s="65"/>
      <c r="E920" s="58"/>
      <c r="F920" s="67"/>
      <c r="G920" s="60"/>
      <c r="H920" s="68">
        <f>COUNTIFS(Minifigures!$C$22:$C$1137,D920)</f>
        <v>0</v>
      </c>
      <c r="I920" s="60"/>
      <c r="J920" s="79"/>
      <c r="K920" s="70"/>
      <c r="L920" s="71"/>
      <c r="M920" s="58"/>
      <c r="N920" s="72"/>
      <c r="O920" s="72"/>
      <c r="P920" s="63">
        <f t="shared" si="10"/>
        <v>1899</v>
      </c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65"/>
      <c r="C921" s="58"/>
      <c r="D921" s="65"/>
      <c r="E921" s="58"/>
      <c r="F921" s="67"/>
      <c r="G921" s="60"/>
      <c r="H921" s="68">
        <f>COUNTIFS(Minifigures!$C$22:$C$1137,D921)</f>
        <v>0</v>
      </c>
      <c r="I921" s="60"/>
      <c r="J921" s="79"/>
      <c r="K921" s="70"/>
      <c r="L921" s="71"/>
      <c r="M921" s="58"/>
      <c r="N921" s="72"/>
      <c r="O921" s="72"/>
      <c r="P921" s="63">
        <f t="shared" si="10"/>
        <v>1899</v>
      </c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65"/>
      <c r="C922" s="58"/>
      <c r="D922" s="65"/>
      <c r="E922" s="58"/>
      <c r="F922" s="67"/>
      <c r="G922" s="60"/>
      <c r="H922" s="68">
        <f>COUNTIFS(Minifigures!$C$22:$C$1137,D922)</f>
        <v>0</v>
      </c>
      <c r="I922" s="60"/>
      <c r="J922" s="79"/>
      <c r="K922" s="70"/>
      <c r="L922" s="71"/>
      <c r="M922" s="58"/>
      <c r="N922" s="72"/>
      <c r="O922" s="72"/>
      <c r="P922" s="63">
        <f t="shared" si="10"/>
        <v>1899</v>
      </c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65"/>
      <c r="C923" s="58"/>
      <c r="D923" s="65"/>
      <c r="E923" s="58"/>
      <c r="F923" s="67"/>
      <c r="G923" s="60"/>
      <c r="H923" s="68">
        <f>COUNTIFS(Minifigures!$C$22:$C$1137,D923)</f>
        <v>0</v>
      </c>
      <c r="I923" s="60"/>
      <c r="J923" s="79"/>
      <c r="K923" s="70"/>
      <c r="L923" s="71"/>
      <c r="M923" s="58"/>
      <c r="N923" s="72"/>
      <c r="O923" s="72"/>
      <c r="P923" s="63">
        <f t="shared" si="10"/>
        <v>1899</v>
      </c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65"/>
      <c r="C924" s="58"/>
      <c r="D924" s="65"/>
      <c r="E924" s="58"/>
      <c r="F924" s="67"/>
      <c r="G924" s="60"/>
      <c r="H924" s="68">
        <f>COUNTIFS(Minifigures!$C$22:$C$1137,D924)</f>
        <v>0</v>
      </c>
      <c r="I924" s="60"/>
      <c r="J924" s="79"/>
      <c r="K924" s="70"/>
      <c r="L924" s="71"/>
      <c r="M924" s="58"/>
      <c r="N924" s="72"/>
      <c r="O924" s="72"/>
      <c r="P924" s="63">
        <f t="shared" si="10"/>
        <v>1899</v>
      </c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65"/>
      <c r="C925" s="58"/>
      <c r="D925" s="65"/>
      <c r="E925" s="58"/>
      <c r="F925" s="67"/>
      <c r="G925" s="60"/>
      <c r="H925" s="68">
        <f>COUNTIFS(Minifigures!$C$22:$C$1137,D925)</f>
        <v>0</v>
      </c>
      <c r="I925" s="60"/>
      <c r="J925" s="79"/>
      <c r="K925" s="70"/>
      <c r="L925" s="71"/>
      <c r="M925" s="58"/>
      <c r="N925" s="72"/>
      <c r="O925" s="72"/>
      <c r="P925" s="63">
        <f t="shared" si="10"/>
        <v>1899</v>
      </c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65"/>
      <c r="C926" s="58"/>
      <c r="D926" s="65"/>
      <c r="E926" s="58"/>
      <c r="F926" s="67"/>
      <c r="G926" s="60"/>
      <c r="H926" s="68">
        <f>COUNTIFS(Minifigures!$C$22:$C$1137,D926)</f>
        <v>0</v>
      </c>
      <c r="I926" s="60"/>
      <c r="J926" s="79"/>
      <c r="K926" s="70"/>
      <c r="L926" s="71"/>
      <c r="M926" s="58"/>
      <c r="N926" s="72"/>
      <c r="O926" s="72"/>
      <c r="P926" s="63">
        <f t="shared" si="10"/>
        <v>1899</v>
      </c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65"/>
      <c r="C927" s="58"/>
      <c r="D927" s="65"/>
      <c r="E927" s="58"/>
      <c r="F927" s="67"/>
      <c r="G927" s="60"/>
      <c r="H927" s="68">
        <f>COUNTIFS(Minifigures!$C$22:$C$1137,D927)</f>
        <v>0</v>
      </c>
      <c r="I927" s="60"/>
      <c r="J927" s="79"/>
      <c r="K927" s="70"/>
      <c r="L927" s="71"/>
      <c r="M927" s="58"/>
      <c r="N927" s="72"/>
      <c r="O927" s="72"/>
      <c r="P927" s="63">
        <f t="shared" si="10"/>
        <v>1899</v>
      </c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65"/>
      <c r="C928" s="58"/>
      <c r="D928" s="65"/>
      <c r="E928" s="58"/>
      <c r="F928" s="67"/>
      <c r="G928" s="60"/>
      <c r="H928" s="68">
        <f>COUNTIFS(Minifigures!$C$22:$C$1137,D928)</f>
        <v>0</v>
      </c>
      <c r="I928" s="60"/>
      <c r="J928" s="79"/>
      <c r="K928" s="70"/>
      <c r="L928" s="71"/>
      <c r="M928" s="58"/>
      <c r="N928" s="72"/>
      <c r="O928" s="72"/>
      <c r="P928" s="63">
        <f t="shared" si="10"/>
        <v>1899</v>
      </c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65"/>
      <c r="C929" s="58"/>
      <c r="D929" s="65"/>
      <c r="E929" s="58"/>
      <c r="F929" s="67"/>
      <c r="G929" s="60"/>
      <c r="H929" s="68">
        <f>COUNTIFS(Minifigures!$C$22:$C$1137,D929)</f>
        <v>0</v>
      </c>
      <c r="I929" s="60"/>
      <c r="J929" s="79"/>
      <c r="K929" s="70"/>
      <c r="L929" s="71"/>
      <c r="M929" s="58"/>
      <c r="N929" s="72"/>
      <c r="O929" s="72"/>
      <c r="P929" s="63">
        <f t="shared" si="10"/>
        <v>1899</v>
      </c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65"/>
      <c r="C930" s="58"/>
      <c r="D930" s="65"/>
      <c r="E930" s="58"/>
      <c r="F930" s="67"/>
      <c r="G930" s="60"/>
      <c r="H930" s="68">
        <f>COUNTIFS(Minifigures!$C$22:$C$1137,D930)</f>
        <v>0</v>
      </c>
      <c r="I930" s="60"/>
      <c r="J930" s="79"/>
      <c r="K930" s="70"/>
      <c r="L930" s="71"/>
      <c r="M930" s="58"/>
      <c r="N930" s="72"/>
      <c r="O930" s="72"/>
      <c r="P930" s="63">
        <f t="shared" si="10"/>
        <v>1899</v>
      </c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65"/>
      <c r="C931" s="58"/>
      <c r="D931" s="65"/>
      <c r="E931" s="58"/>
      <c r="F931" s="67"/>
      <c r="G931" s="60"/>
      <c r="H931" s="68">
        <f>COUNTIFS(Minifigures!$C$22:$C$1137,D931)</f>
        <v>0</v>
      </c>
      <c r="I931" s="60"/>
      <c r="J931" s="79"/>
      <c r="K931" s="70"/>
      <c r="L931" s="71"/>
      <c r="M931" s="58"/>
      <c r="N931" s="72"/>
      <c r="O931" s="72"/>
      <c r="P931" s="63">
        <f t="shared" si="10"/>
        <v>1899</v>
      </c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65"/>
      <c r="C932" s="58"/>
      <c r="D932" s="65"/>
      <c r="E932" s="58"/>
      <c r="F932" s="67"/>
      <c r="G932" s="60"/>
      <c r="H932" s="68">
        <f>COUNTIFS(Minifigures!$C$22:$C$1137,D932)</f>
        <v>0</v>
      </c>
      <c r="I932" s="60"/>
      <c r="J932" s="79"/>
      <c r="K932" s="70"/>
      <c r="L932" s="71"/>
      <c r="M932" s="58"/>
      <c r="N932" s="72"/>
      <c r="O932" s="72"/>
      <c r="P932" s="63">
        <f t="shared" si="10"/>
        <v>1899</v>
      </c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65"/>
      <c r="C933" s="58"/>
      <c r="D933" s="65"/>
      <c r="E933" s="58"/>
      <c r="F933" s="67"/>
      <c r="G933" s="60"/>
      <c r="H933" s="68">
        <f>COUNTIFS(Minifigures!$C$22:$C$1137,D933)</f>
        <v>0</v>
      </c>
      <c r="I933" s="60"/>
      <c r="J933" s="79"/>
      <c r="K933" s="70"/>
      <c r="L933" s="71"/>
      <c r="M933" s="58"/>
      <c r="N933" s="72"/>
      <c r="O933" s="72"/>
      <c r="P933" s="63">
        <f t="shared" si="10"/>
        <v>1899</v>
      </c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65"/>
      <c r="C934" s="58"/>
      <c r="D934" s="65"/>
      <c r="E934" s="58"/>
      <c r="F934" s="67"/>
      <c r="G934" s="60"/>
      <c r="H934" s="68">
        <f>COUNTIFS(Minifigures!$C$22:$C$1137,D934)</f>
        <v>0</v>
      </c>
      <c r="I934" s="60"/>
      <c r="J934" s="79"/>
      <c r="K934" s="70"/>
      <c r="L934" s="71"/>
      <c r="M934" s="58"/>
      <c r="N934" s="72"/>
      <c r="O934" s="72"/>
      <c r="P934" s="63">
        <f t="shared" si="10"/>
        <v>1899</v>
      </c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65"/>
      <c r="C935" s="58"/>
      <c r="D935" s="65"/>
      <c r="E935" s="58"/>
      <c r="F935" s="67"/>
      <c r="G935" s="60"/>
      <c r="H935" s="68">
        <f>COUNTIFS(Minifigures!$C$22:$C$1137,D935)</f>
        <v>0</v>
      </c>
      <c r="I935" s="60"/>
      <c r="J935" s="79"/>
      <c r="K935" s="70"/>
      <c r="L935" s="71"/>
      <c r="M935" s="58"/>
      <c r="N935" s="72"/>
      <c r="O935" s="72"/>
      <c r="P935" s="63">
        <f t="shared" si="10"/>
        <v>1899</v>
      </c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65"/>
      <c r="C936" s="58"/>
      <c r="D936" s="65"/>
      <c r="E936" s="58"/>
      <c r="F936" s="67"/>
      <c r="G936" s="60"/>
      <c r="H936" s="68">
        <f>COUNTIFS(Minifigures!$C$22:$C$1137,D936)</f>
        <v>0</v>
      </c>
      <c r="I936" s="60"/>
      <c r="J936" s="79"/>
      <c r="K936" s="70"/>
      <c r="L936" s="71"/>
      <c r="M936" s="58"/>
      <c r="N936" s="72"/>
      <c r="O936" s="72"/>
      <c r="P936" s="63">
        <f t="shared" si="10"/>
        <v>1899</v>
      </c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65"/>
      <c r="C937" s="58"/>
      <c r="D937" s="65"/>
      <c r="E937" s="58"/>
      <c r="F937" s="67"/>
      <c r="G937" s="60"/>
      <c r="H937" s="68">
        <f>COUNTIFS(Minifigures!$C$22:$C$1137,D937)</f>
        <v>0</v>
      </c>
      <c r="I937" s="60"/>
      <c r="J937" s="79"/>
      <c r="K937" s="70"/>
      <c r="L937" s="71"/>
      <c r="M937" s="58"/>
      <c r="N937" s="72"/>
      <c r="O937" s="72"/>
      <c r="P937" s="63">
        <f t="shared" si="10"/>
        <v>1899</v>
      </c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65"/>
      <c r="C938" s="58"/>
      <c r="D938" s="65"/>
      <c r="E938" s="58"/>
      <c r="F938" s="67"/>
      <c r="G938" s="60"/>
      <c r="H938" s="68">
        <f>COUNTIFS(Minifigures!$C$22:$C$1137,D938)</f>
        <v>0</v>
      </c>
      <c r="I938" s="60"/>
      <c r="J938" s="79"/>
      <c r="K938" s="70"/>
      <c r="L938" s="71"/>
      <c r="M938" s="58"/>
      <c r="N938" s="72"/>
      <c r="O938" s="72"/>
      <c r="P938" s="63">
        <f t="shared" si="10"/>
        <v>1899</v>
      </c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65"/>
      <c r="C939" s="58"/>
      <c r="D939" s="65"/>
      <c r="E939" s="58"/>
      <c r="F939" s="67"/>
      <c r="G939" s="60"/>
      <c r="H939" s="68">
        <f>COUNTIFS(Minifigures!$C$22:$C$1137,D939)</f>
        <v>0</v>
      </c>
      <c r="I939" s="60"/>
      <c r="J939" s="79"/>
      <c r="K939" s="70"/>
      <c r="L939" s="71"/>
      <c r="M939" s="58"/>
      <c r="N939" s="72"/>
      <c r="O939" s="72"/>
      <c r="P939" s="63">
        <f t="shared" si="10"/>
        <v>1899</v>
      </c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65"/>
      <c r="C940" s="58"/>
      <c r="D940" s="65"/>
      <c r="E940" s="58"/>
      <c r="F940" s="67"/>
      <c r="G940" s="60"/>
      <c r="H940" s="68">
        <f>COUNTIFS(Minifigures!$C$22:$C$1137,D940)</f>
        <v>0</v>
      </c>
      <c r="I940" s="60"/>
      <c r="J940" s="79"/>
      <c r="K940" s="70"/>
      <c r="L940" s="71"/>
      <c r="M940" s="58"/>
      <c r="N940" s="72"/>
      <c r="O940" s="72"/>
      <c r="P940" s="63">
        <f t="shared" si="10"/>
        <v>1899</v>
      </c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65"/>
      <c r="C941" s="58"/>
      <c r="D941" s="65"/>
      <c r="E941" s="58"/>
      <c r="F941" s="67"/>
      <c r="G941" s="60"/>
      <c r="H941" s="68">
        <f>COUNTIFS(Minifigures!$C$22:$C$1137,D941)</f>
        <v>0</v>
      </c>
      <c r="I941" s="60"/>
      <c r="J941" s="79"/>
      <c r="K941" s="70"/>
      <c r="L941" s="71"/>
      <c r="M941" s="58"/>
      <c r="N941" s="72"/>
      <c r="O941" s="72"/>
      <c r="P941" s="63">
        <f t="shared" si="10"/>
        <v>1899</v>
      </c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65"/>
      <c r="C942" s="58"/>
      <c r="D942" s="65"/>
      <c r="E942" s="58"/>
      <c r="F942" s="67"/>
      <c r="G942" s="60"/>
      <c r="H942" s="68">
        <f>COUNTIFS(Minifigures!$C$22:$C$1137,D942)</f>
        <v>0</v>
      </c>
      <c r="I942" s="60"/>
      <c r="J942" s="79"/>
      <c r="K942" s="70"/>
      <c r="L942" s="71"/>
      <c r="M942" s="58"/>
      <c r="N942" s="72"/>
      <c r="O942" s="72"/>
      <c r="P942" s="63">
        <f t="shared" si="10"/>
        <v>1899</v>
      </c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65"/>
      <c r="C943" s="58"/>
      <c r="D943" s="65"/>
      <c r="E943" s="58"/>
      <c r="F943" s="67"/>
      <c r="G943" s="60"/>
      <c r="H943" s="68">
        <f>COUNTIFS(Minifigures!$C$22:$C$1137,D943)</f>
        <v>0</v>
      </c>
      <c r="I943" s="60"/>
      <c r="J943" s="79"/>
      <c r="K943" s="70"/>
      <c r="L943" s="71"/>
      <c r="M943" s="58"/>
      <c r="N943" s="72"/>
      <c r="O943" s="72"/>
      <c r="P943" s="63">
        <f t="shared" si="10"/>
        <v>1899</v>
      </c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65"/>
      <c r="C944" s="58"/>
      <c r="D944" s="65"/>
      <c r="E944" s="58"/>
      <c r="F944" s="67"/>
      <c r="G944" s="60"/>
      <c r="H944" s="68">
        <f>COUNTIFS(Minifigures!$C$22:$C$1137,D944)</f>
        <v>0</v>
      </c>
      <c r="I944" s="60"/>
      <c r="J944" s="79"/>
      <c r="K944" s="70"/>
      <c r="L944" s="71"/>
      <c r="M944" s="58"/>
      <c r="N944" s="72"/>
      <c r="O944" s="72"/>
      <c r="P944" s="63">
        <f t="shared" si="10"/>
        <v>1899</v>
      </c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65"/>
      <c r="C945" s="58"/>
      <c r="D945" s="65"/>
      <c r="E945" s="58"/>
      <c r="F945" s="67"/>
      <c r="G945" s="60"/>
      <c r="H945" s="68">
        <f>COUNTIFS(Minifigures!$C$22:$C$1137,D945)</f>
        <v>0</v>
      </c>
      <c r="I945" s="60"/>
      <c r="J945" s="79"/>
      <c r="K945" s="70"/>
      <c r="L945" s="71"/>
      <c r="M945" s="58"/>
      <c r="N945" s="72"/>
      <c r="O945" s="72"/>
      <c r="P945" s="63">
        <f t="shared" si="10"/>
        <v>1899</v>
      </c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65"/>
      <c r="C946" s="58"/>
      <c r="D946" s="65"/>
      <c r="E946" s="58"/>
      <c r="F946" s="67"/>
      <c r="G946" s="60"/>
      <c r="H946" s="68">
        <f>COUNTIFS(Minifigures!$C$22:$C$1137,D946)</f>
        <v>0</v>
      </c>
      <c r="I946" s="60"/>
      <c r="J946" s="79"/>
      <c r="K946" s="70"/>
      <c r="L946" s="71"/>
      <c r="M946" s="58"/>
      <c r="N946" s="72"/>
      <c r="O946" s="72"/>
      <c r="P946" s="63">
        <f t="shared" si="10"/>
        <v>1899</v>
      </c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65"/>
      <c r="C947" s="58"/>
      <c r="D947" s="65"/>
      <c r="E947" s="58"/>
      <c r="F947" s="67"/>
      <c r="G947" s="60"/>
      <c r="H947" s="68">
        <f>COUNTIFS(Minifigures!$C$22:$C$1137,D947)</f>
        <v>0</v>
      </c>
      <c r="I947" s="60"/>
      <c r="J947" s="79"/>
      <c r="K947" s="70"/>
      <c r="L947" s="71"/>
      <c r="M947" s="58"/>
      <c r="N947" s="72"/>
      <c r="O947" s="72"/>
      <c r="P947" s="63">
        <f t="shared" si="10"/>
        <v>1899</v>
      </c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65"/>
      <c r="C948" s="58"/>
      <c r="D948" s="65"/>
      <c r="E948" s="58"/>
      <c r="F948" s="67"/>
      <c r="G948" s="60"/>
      <c r="H948" s="68">
        <f>COUNTIFS(Minifigures!$C$22:$C$1137,D948)</f>
        <v>0</v>
      </c>
      <c r="I948" s="60"/>
      <c r="J948" s="79"/>
      <c r="K948" s="70"/>
      <c r="L948" s="71"/>
      <c r="M948" s="58"/>
      <c r="N948" s="72"/>
      <c r="O948" s="72"/>
      <c r="P948" s="63">
        <f t="shared" si="10"/>
        <v>1899</v>
      </c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65"/>
      <c r="C949" s="58"/>
      <c r="D949" s="65"/>
      <c r="E949" s="58"/>
      <c r="F949" s="67"/>
      <c r="G949" s="60"/>
      <c r="H949" s="68">
        <f>COUNTIFS(Minifigures!$C$22:$C$1137,D949)</f>
        <v>0</v>
      </c>
      <c r="I949" s="60"/>
      <c r="J949" s="79"/>
      <c r="K949" s="70"/>
      <c r="L949" s="71"/>
      <c r="M949" s="58"/>
      <c r="N949" s="72"/>
      <c r="O949" s="72"/>
      <c r="P949" s="63">
        <f t="shared" si="10"/>
        <v>1899</v>
      </c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65"/>
      <c r="C950" s="58"/>
      <c r="D950" s="65"/>
      <c r="E950" s="58"/>
      <c r="F950" s="67"/>
      <c r="G950" s="60"/>
      <c r="H950" s="68">
        <f>COUNTIFS(Minifigures!$C$22:$C$1137,D950)</f>
        <v>0</v>
      </c>
      <c r="I950" s="60"/>
      <c r="J950" s="79"/>
      <c r="K950" s="70"/>
      <c r="L950" s="71"/>
      <c r="M950" s="58"/>
      <c r="N950" s="72"/>
      <c r="O950" s="72"/>
      <c r="P950" s="63">
        <f t="shared" si="10"/>
        <v>1899</v>
      </c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65"/>
      <c r="C951" s="58"/>
      <c r="D951" s="65"/>
      <c r="E951" s="58"/>
      <c r="F951" s="67"/>
      <c r="G951" s="60"/>
      <c r="H951" s="68">
        <f>COUNTIFS(Minifigures!$C$22:$C$1137,D951)</f>
        <v>0</v>
      </c>
      <c r="I951" s="60"/>
      <c r="J951" s="79"/>
      <c r="K951" s="70"/>
      <c r="L951" s="71"/>
      <c r="M951" s="58"/>
      <c r="N951" s="72"/>
      <c r="O951" s="72"/>
      <c r="P951" s="63">
        <f t="shared" si="10"/>
        <v>1899</v>
      </c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65"/>
      <c r="C952" s="58"/>
      <c r="D952" s="65"/>
      <c r="E952" s="58"/>
      <c r="F952" s="67"/>
      <c r="G952" s="60"/>
      <c r="H952" s="68">
        <f>COUNTIFS(Minifigures!$C$22:$C$1137,D952)</f>
        <v>0</v>
      </c>
      <c r="I952" s="60"/>
      <c r="J952" s="79"/>
      <c r="K952" s="70"/>
      <c r="L952" s="71"/>
      <c r="M952" s="58"/>
      <c r="N952" s="72"/>
      <c r="O952" s="72"/>
      <c r="P952" s="63">
        <f t="shared" si="10"/>
        <v>1899</v>
      </c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65"/>
      <c r="C953" s="58"/>
      <c r="D953" s="65"/>
      <c r="E953" s="58"/>
      <c r="F953" s="67"/>
      <c r="G953" s="60"/>
      <c r="H953" s="68">
        <f>COUNTIFS(Minifigures!$C$22:$C$1137,D953)</f>
        <v>0</v>
      </c>
      <c r="I953" s="60"/>
      <c r="J953" s="79"/>
      <c r="K953" s="70"/>
      <c r="L953" s="71"/>
      <c r="M953" s="58"/>
      <c r="N953" s="72"/>
      <c r="O953" s="72"/>
      <c r="P953" s="63">
        <f t="shared" si="10"/>
        <v>1899</v>
      </c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65"/>
      <c r="C954" s="58"/>
      <c r="D954" s="65"/>
      <c r="E954" s="58"/>
      <c r="F954" s="67"/>
      <c r="G954" s="60"/>
      <c r="H954" s="68">
        <f>COUNTIFS(Minifigures!$C$22:$C$1137,D954)</f>
        <v>0</v>
      </c>
      <c r="I954" s="60"/>
      <c r="J954" s="79"/>
      <c r="K954" s="70"/>
      <c r="L954" s="71"/>
      <c r="M954" s="58"/>
      <c r="N954" s="72"/>
      <c r="O954" s="72"/>
      <c r="P954" s="63">
        <f t="shared" si="10"/>
        <v>1899</v>
      </c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65"/>
      <c r="C955" s="58"/>
      <c r="D955" s="65"/>
      <c r="E955" s="58"/>
      <c r="F955" s="67"/>
      <c r="G955" s="60"/>
      <c r="H955" s="68">
        <f>COUNTIFS(Minifigures!$C$22:$C$1137,D955)</f>
        <v>0</v>
      </c>
      <c r="I955" s="60"/>
      <c r="J955" s="79"/>
      <c r="K955" s="70"/>
      <c r="L955" s="71"/>
      <c r="M955" s="58"/>
      <c r="N955" s="72"/>
      <c r="O955" s="72"/>
      <c r="P955" s="63">
        <f t="shared" si="10"/>
        <v>1899</v>
      </c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65"/>
      <c r="C956" s="58"/>
      <c r="D956" s="65"/>
      <c r="E956" s="58"/>
      <c r="F956" s="67"/>
      <c r="G956" s="60"/>
      <c r="H956" s="68">
        <f>COUNTIFS(Minifigures!$C$22:$C$1137,D956)</f>
        <v>0</v>
      </c>
      <c r="I956" s="60"/>
      <c r="J956" s="79"/>
      <c r="K956" s="70"/>
      <c r="L956" s="71"/>
      <c r="M956" s="58"/>
      <c r="N956" s="72"/>
      <c r="O956" s="72"/>
      <c r="P956" s="63">
        <f t="shared" si="10"/>
        <v>1899</v>
      </c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65"/>
      <c r="C957" s="58"/>
      <c r="D957" s="65"/>
      <c r="E957" s="58"/>
      <c r="F957" s="67"/>
      <c r="G957" s="60"/>
      <c r="H957" s="68">
        <f>COUNTIFS(Minifigures!$C$22:$C$1137,D957)</f>
        <v>0</v>
      </c>
      <c r="I957" s="60"/>
      <c r="J957" s="79"/>
      <c r="K957" s="70"/>
      <c r="L957" s="71"/>
      <c r="M957" s="58"/>
      <c r="N957" s="72"/>
      <c r="O957" s="72"/>
      <c r="P957" s="63">
        <f t="shared" si="10"/>
        <v>1899</v>
      </c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65"/>
      <c r="C958" s="58"/>
      <c r="D958" s="65"/>
      <c r="E958" s="58"/>
      <c r="F958" s="67"/>
      <c r="G958" s="60"/>
      <c r="H958" s="68">
        <f>COUNTIFS(Minifigures!$C$22:$C$1137,D958)</f>
        <v>0</v>
      </c>
      <c r="I958" s="60"/>
      <c r="J958" s="79"/>
      <c r="K958" s="70"/>
      <c r="L958" s="71"/>
      <c r="M958" s="58"/>
      <c r="N958" s="72"/>
      <c r="O958" s="72"/>
      <c r="P958" s="63">
        <f t="shared" si="10"/>
        <v>1899</v>
      </c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65"/>
      <c r="C959" s="58"/>
      <c r="D959" s="65"/>
      <c r="E959" s="58"/>
      <c r="F959" s="67"/>
      <c r="G959" s="60"/>
      <c r="H959" s="68">
        <f>COUNTIFS(Minifigures!$C$22:$C$1137,D959)</f>
        <v>0</v>
      </c>
      <c r="I959" s="60"/>
      <c r="J959" s="79"/>
      <c r="K959" s="70"/>
      <c r="L959" s="71"/>
      <c r="M959" s="58"/>
      <c r="N959" s="72"/>
      <c r="O959" s="72"/>
      <c r="P959" s="63">
        <f t="shared" si="10"/>
        <v>1899</v>
      </c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65"/>
      <c r="C960" s="58"/>
      <c r="D960" s="65"/>
      <c r="E960" s="58"/>
      <c r="F960" s="67"/>
      <c r="G960" s="60"/>
      <c r="H960" s="68">
        <f>COUNTIFS(Minifigures!$C$22:$C$1137,D960)</f>
        <v>0</v>
      </c>
      <c r="I960" s="60"/>
      <c r="J960" s="79"/>
      <c r="K960" s="70"/>
      <c r="L960" s="71"/>
      <c r="M960" s="58"/>
      <c r="N960" s="72"/>
      <c r="O960" s="72"/>
      <c r="P960" s="63">
        <f t="shared" si="10"/>
        <v>1899</v>
      </c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65"/>
      <c r="C961" s="58"/>
      <c r="D961" s="65"/>
      <c r="E961" s="58"/>
      <c r="F961" s="67"/>
      <c r="G961" s="60"/>
      <c r="H961" s="68">
        <f>COUNTIFS(Minifigures!$C$22:$C$1137,D961)</f>
        <v>0</v>
      </c>
      <c r="I961" s="60"/>
      <c r="J961" s="79"/>
      <c r="K961" s="70"/>
      <c r="L961" s="71"/>
      <c r="M961" s="58"/>
      <c r="N961" s="72"/>
      <c r="O961" s="72"/>
      <c r="P961" s="63">
        <f t="shared" si="10"/>
        <v>1899</v>
      </c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65"/>
      <c r="C962" s="58"/>
      <c r="D962" s="65"/>
      <c r="E962" s="58"/>
      <c r="F962" s="67"/>
      <c r="G962" s="60"/>
      <c r="H962" s="68">
        <f>COUNTIFS(Minifigures!$C$22:$C$1137,D962)</f>
        <v>0</v>
      </c>
      <c r="I962" s="60"/>
      <c r="J962" s="79"/>
      <c r="K962" s="70"/>
      <c r="L962" s="71"/>
      <c r="M962" s="58"/>
      <c r="N962" s="72"/>
      <c r="O962" s="72"/>
      <c r="P962" s="63">
        <f t="shared" si="10"/>
        <v>1899</v>
      </c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65"/>
      <c r="C963" s="58"/>
      <c r="D963" s="65"/>
      <c r="E963" s="58"/>
      <c r="F963" s="67"/>
      <c r="G963" s="60"/>
      <c r="H963" s="68">
        <f>COUNTIFS(Minifigures!$C$22:$C$1137,D963)</f>
        <v>0</v>
      </c>
      <c r="I963" s="60"/>
      <c r="J963" s="79"/>
      <c r="K963" s="70"/>
      <c r="L963" s="71"/>
      <c r="M963" s="58"/>
      <c r="N963" s="72"/>
      <c r="O963" s="72"/>
      <c r="P963" s="63">
        <f t="shared" si="10"/>
        <v>1899</v>
      </c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65"/>
      <c r="C964" s="58"/>
      <c r="D964" s="65"/>
      <c r="E964" s="58"/>
      <c r="F964" s="67"/>
      <c r="G964" s="60"/>
      <c r="H964" s="68">
        <f>COUNTIFS(Minifigures!$C$22:$C$1137,D964)</f>
        <v>0</v>
      </c>
      <c r="I964" s="60"/>
      <c r="J964" s="79"/>
      <c r="K964" s="70"/>
      <c r="L964" s="71"/>
      <c r="M964" s="58"/>
      <c r="N964" s="72"/>
      <c r="O964" s="72"/>
      <c r="P964" s="63">
        <f t="shared" si="10"/>
        <v>1899</v>
      </c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65"/>
      <c r="C965" s="58"/>
      <c r="D965" s="65"/>
      <c r="E965" s="58"/>
      <c r="F965" s="67"/>
      <c r="G965" s="60"/>
      <c r="H965" s="68">
        <f>COUNTIFS(Minifigures!$C$22:$C$1137,D965)</f>
        <v>0</v>
      </c>
      <c r="I965" s="60"/>
      <c r="J965" s="79"/>
      <c r="K965" s="70"/>
      <c r="L965" s="71"/>
      <c r="M965" s="58"/>
      <c r="N965" s="72"/>
      <c r="O965" s="72"/>
      <c r="P965" s="63">
        <f t="shared" si="10"/>
        <v>1899</v>
      </c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65"/>
      <c r="C966" s="58"/>
      <c r="D966" s="65"/>
      <c r="E966" s="58"/>
      <c r="F966" s="67"/>
      <c r="G966" s="60"/>
      <c r="H966" s="68">
        <f>COUNTIFS(Minifigures!$C$22:$C$1137,D966)</f>
        <v>0</v>
      </c>
      <c r="I966" s="60"/>
      <c r="J966" s="79"/>
      <c r="K966" s="70"/>
      <c r="L966" s="71"/>
      <c r="M966" s="58"/>
      <c r="N966" s="72"/>
      <c r="O966" s="72"/>
      <c r="P966" s="63">
        <f t="shared" si="10"/>
        <v>1899</v>
      </c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65"/>
      <c r="C967" s="58"/>
      <c r="D967" s="65"/>
      <c r="E967" s="58"/>
      <c r="F967" s="67"/>
      <c r="G967" s="60"/>
      <c r="H967" s="68">
        <f>COUNTIFS(Minifigures!$C$22:$C$1137,D967)</f>
        <v>0</v>
      </c>
      <c r="I967" s="60"/>
      <c r="J967" s="79"/>
      <c r="K967" s="70"/>
      <c r="L967" s="71"/>
      <c r="M967" s="58"/>
      <c r="N967" s="72"/>
      <c r="O967" s="72"/>
      <c r="P967" s="63">
        <f t="shared" si="10"/>
        <v>1899</v>
      </c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65"/>
      <c r="C968" s="58"/>
      <c r="D968" s="65"/>
      <c r="E968" s="58"/>
      <c r="F968" s="67"/>
      <c r="G968" s="60"/>
      <c r="H968" s="68">
        <f>COUNTIFS(Minifigures!$C$22:$C$1137,D968)</f>
        <v>0</v>
      </c>
      <c r="I968" s="60"/>
      <c r="J968" s="79"/>
      <c r="K968" s="70"/>
      <c r="L968" s="71"/>
      <c r="M968" s="58"/>
      <c r="N968" s="72"/>
      <c r="O968" s="72"/>
      <c r="P968" s="63">
        <f t="shared" si="10"/>
        <v>1899</v>
      </c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65"/>
      <c r="C969" s="58"/>
      <c r="D969" s="65"/>
      <c r="E969" s="58"/>
      <c r="F969" s="67"/>
      <c r="G969" s="60"/>
      <c r="H969" s="68">
        <f>COUNTIFS(Minifigures!$C$22:$C$1137,D969)</f>
        <v>0</v>
      </c>
      <c r="I969" s="60"/>
      <c r="J969" s="79"/>
      <c r="K969" s="70"/>
      <c r="L969" s="71"/>
      <c r="M969" s="58"/>
      <c r="N969" s="72"/>
      <c r="O969" s="72"/>
      <c r="P969" s="63">
        <f t="shared" si="10"/>
        <v>1899</v>
      </c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65"/>
      <c r="C970" s="58"/>
      <c r="D970" s="65"/>
      <c r="E970" s="58"/>
      <c r="F970" s="67"/>
      <c r="G970" s="60"/>
      <c r="H970" s="68">
        <f>COUNTIFS(Minifigures!$C$22:$C$1137,D970)</f>
        <v>0</v>
      </c>
      <c r="I970" s="60"/>
      <c r="J970" s="79"/>
      <c r="K970" s="70"/>
      <c r="L970" s="71"/>
      <c r="M970" s="58"/>
      <c r="N970" s="72"/>
      <c r="O970" s="72"/>
      <c r="P970" s="63">
        <f t="shared" si="10"/>
        <v>1899</v>
      </c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65"/>
      <c r="C971" s="58"/>
      <c r="D971" s="65"/>
      <c r="E971" s="58"/>
      <c r="F971" s="67"/>
      <c r="G971" s="60"/>
      <c r="H971" s="68">
        <f>COUNTIFS(Minifigures!$C$22:$C$1137,D971)</f>
        <v>0</v>
      </c>
      <c r="I971" s="60"/>
      <c r="J971" s="79"/>
      <c r="K971" s="70"/>
      <c r="L971" s="71"/>
      <c r="M971" s="58"/>
      <c r="N971" s="72"/>
      <c r="O971" s="72"/>
      <c r="P971" s="63">
        <f t="shared" si="10"/>
        <v>1899</v>
      </c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65"/>
      <c r="C972" s="58"/>
      <c r="D972" s="65"/>
      <c r="E972" s="58"/>
      <c r="F972" s="67"/>
      <c r="G972" s="60"/>
      <c r="H972" s="68">
        <f>COUNTIFS(Minifigures!$C$22:$C$1137,D972)</f>
        <v>0</v>
      </c>
      <c r="I972" s="60"/>
      <c r="J972" s="79"/>
      <c r="K972" s="70"/>
      <c r="L972" s="71"/>
      <c r="M972" s="58"/>
      <c r="N972" s="72"/>
      <c r="O972" s="72"/>
      <c r="P972" s="63">
        <f t="shared" si="10"/>
        <v>1899</v>
      </c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65"/>
      <c r="C973" s="58"/>
      <c r="D973" s="65"/>
      <c r="E973" s="58"/>
      <c r="F973" s="67"/>
      <c r="G973" s="60"/>
      <c r="H973" s="68">
        <f>COUNTIFS(Minifigures!$C$22:$C$1137,D973)</f>
        <v>0</v>
      </c>
      <c r="I973" s="60"/>
      <c r="J973" s="79"/>
      <c r="K973" s="70"/>
      <c r="L973" s="71"/>
      <c r="M973" s="58"/>
      <c r="N973" s="72"/>
      <c r="O973" s="72"/>
      <c r="P973" s="63">
        <f t="shared" si="10"/>
        <v>1899</v>
      </c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65"/>
      <c r="C974" s="58"/>
      <c r="D974" s="65"/>
      <c r="E974" s="58"/>
      <c r="F974" s="67"/>
      <c r="G974" s="60"/>
      <c r="H974" s="68">
        <f>COUNTIFS(Minifigures!$C$22:$C$1137,D974)</f>
        <v>0</v>
      </c>
      <c r="I974" s="60"/>
      <c r="J974" s="79"/>
      <c r="K974" s="70"/>
      <c r="L974" s="71"/>
      <c r="M974" s="58"/>
      <c r="N974" s="72"/>
      <c r="O974" s="72"/>
      <c r="P974" s="63">
        <f t="shared" si="10"/>
        <v>1899</v>
      </c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65"/>
      <c r="C975" s="58"/>
      <c r="D975" s="65"/>
      <c r="E975" s="58"/>
      <c r="F975" s="67"/>
      <c r="G975" s="60"/>
      <c r="H975" s="68">
        <f>COUNTIFS(Minifigures!$C$22:$C$1137,D975)</f>
        <v>0</v>
      </c>
      <c r="I975" s="60"/>
      <c r="J975" s="79"/>
      <c r="K975" s="70"/>
      <c r="L975" s="71"/>
      <c r="M975" s="58"/>
      <c r="N975" s="72"/>
      <c r="O975" s="72"/>
      <c r="P975" s="63">
        <f t="shared" si="10"/>
        <v>1899</v>
      </c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65"/>
      <c r="C976" s="58"/>
      <c r="D976" s="65"/>
      <c r="E976" s="58"/>
      <c r="F976" s="67"/>
      <c r="G976" s="60"/>
      <c r="H976" s="68">
        <f>COUNTIFS(Minifigures!$C$22:$C$1137,D976)</f>
        <v>0</v>
      </c>
      <c r="I976" s="60"/>
      <c r="J976" s="79"/>
      <c r="K976" s="70"/>
      <c r="L976" s="71"/>
      <c r="M976" s="58"/>
      <c r="N976" s="72"/>
      <c r="O976" s="72"/>
      <c r="P976" s="63">
        <f t="shared" si="10"/>
        <v>1899</v>
      </c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65"/>
      <c r="C977" s="58"/>
      <c r="D977" s="65"/>
      <c r="E977" s="58"/>
      <c r="F977" s="67"/>
      <c r="G977" s="60"/>
      <c r="H977" s="68">
        <f>COUNTIFS(Minifigures!$C$22:$C$1137,D977)</f>
        <v>0</v>
      </c>
      <c r="I977" s="60"/>
      <c r="J977" s="79"/>
      <c r="K977" s="70"/>
      <c r="L977" s="71"/>
      <c r="M977" s="58"/>
      <c r="N977" s="72"/>
      <c r="O977" s="72"/>
      <c r="P977" s="63">
        <f t="shared" si="10"/>
        <v>1899</v>
      </c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65"/>
      <c r="C978" s="58"/>
      <c r="D978" s="65"/>
      <c r="E978" s="58"/>
      <c r="F978" s="67"/>
      <c r="G978" s="60"/>
      <c r="H978" s="68">
        <f>COUNTIFS(Minifigures!$C$22:$C$1137,D978)</f>
        <v>0</v>
      </c>
      <c r="I978" s="60"/>
      <c r="J978" s="79"/>
      <c r="K978" s="70"/>
      <c r="L978" s="71"/>
      <c r="M978" s="58"/>
      <c r="N978" s="72"/>
      <c r="O978" s="72"/>
      <c r="P978" s="63">
        <f t="shared" si="10"/>
        <v>1899</v>
      </c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65"/>
      <c r="C979" s="58"/>
      <c r="D979" s="65"/>
      <c r="E979" s="58"/>
      <c r="F979" s="67"/>
      <c r="G979" s="60"/>
      <c r="H979" s="68">
        <f>COUNTIFS(Minifigures!$C$22:$C$1137,D979)</f>
        <v>0</v>
      </c>
      <c r="I979" s="60"/>
      <c r="J979" s="79"/>
      <c r="K979" s="70"/>
      <c r="L979" s="71"/>
      <c r="M979" s="58"/>
      <c r="N979" s="72"/>
      <c r="O979" s="72"/>
      <c r="P979" s="63">
        <f t="shared" si="10"/>
        <v>1899</v>
      </c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65"/>
      <c r="C980" s="58"/>
      <c r="D980" s="65"/>
      <c r="E980" s="58"/>
      <c r="F980" s="67"/>
      <c r="G980" s="60"/>
      <c r="H980" s="68">
        <f>COUNTIFS(Minifigures!$C$22:$C$1137,D980)</f>
        <v>0</v>
      </c>
      <c r="I980" s="60"/>
      <c r="J980" s="79"/>
      <c r="K980" s="70"/>
      <c r="L980" s="71"/>
      <c r="M980" s="58"/>
      <c r="N980" s="72"/>
      <c r="O980" s="72"/>
      <c r="P980" s="63">
        <f t="shared" si="10"/>
        <v>1899</v>
      </c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65"/>
      <c r="C981" s="58"/>
      <c r="D981" s="65"/>
      <c r="E981" s="58"/>
      <c r="F981" s="67"/>
      <c r="G981" s="60"/>
      <c r="H981" s="68">
        <f>COUNTIFS(Minifigures!$C$22:$C$1137,D981)</f>
        <v>0</v>
      </c>
      <c r="I981" s="60"/>
      <c r="J981" s="79"/>
      <c r="K981" s="70"/>
      <c r="L981" s="71"/>
      <c r="M981" s="58"/>
      <c r="N981" s="72"/>
      <c r="O981" s="72"/>
      <c r="P981" s="63">
        <f t="shared" si="10"/>
        <v>1899</v>
      </c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65"/>
      <c r="C982" s="58"/>
      <c r="D982" s="65"/>
      <c r="E982" s="58"/>
      <c r="F982" s="67"/>
      <c r="G982" s="60"/>
      <c r="H982" s="68">
        <f>COUNTIFS(Minifigures!$C$22:$C$1137,D982)</f>
        <v>0</v>
      </c>
      <c r="I982" s="60"/>
      <c r="J982" s="79"/>
      <c r="K982" s="70"/>
      <c r="L982" s="71"/>
      <c r="M982" s="58"/>
      <c r="N982" s="72"/>
      <c r="O982" s="72"/>
      <c r="P982" s="63">
        <f t="shared" si="10"/>
        <v>1899</v>
      </c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65"/>
      <c r="C983" s="58"/>
      <c r="D983" s="65"/>
      <c r="E983" s="58"/>
      <c r="F983" s="67"/>
      <c r="G983" s="60"/>
      <c r="H983" s="68">
        <f>COUNTIFS(Minifigures!$C$22:$C$1137,D983)</f>
        <v>0</v>
      </c>
      <c r="I983" s="60"/>
      <c r="J983" s="79"/>
      <c r="K983" s="70"/>
      <c r="L983" s="71"/>
      <c r="M983" s="58"/>
      <c r="N983" s="72"/>
      <c r="O983" s="72"/>
      <c r="P983" s="63">
        <f t="shared" si="10"/>
        <v>1899</v>
      </c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65"/>
      <c r="C984" s="58"/>
      <c r="D984" s="65"/>
      <c r="E984" s="58"/>
      <c r="F984" s="67"/>
      <c r="G984" s="60"/>
      <c r="H984" s="68">
        <f>COUNTIFS(Minifigures!$C$22:$C$1137,D984)</f>
        <v>0</v>
      </c>
      <c r="I984" s="60"/>
      <c r="J984" s="79"/>
      <c r="K984" s="70"/>
      <c r="L984" s="71"/>
      <c r="M984" s="58"/>
      <c r="N984" s="72"/>
      <c r="O984" s="72"/>
      <c r="P984" s="63">
        <f t="shared" si="10"/>
        <v>1899</v>
      </c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65"/>
      <c r="C985" s="58"/>
      <c r="D985" s="65"/>
      <c r="E985" s="58"/>
      <c r="F985" s="67"/>
      <c r="G985" s="60"/>
      <c r="H985" s="68">
        <f>COUNTIFS(Minifigures!$C$22:$C$1137,D985)</f>
        <v>0</v>
      </c>
      <c r="I985" s="60"/>
      <c r="J985" s="79"/>
      <c r="K985" s="70"/>
      <c r="L985" s="71"/>
      <c r="M985" s="58"/>
      <c r="N985" s="72"/>
      <c r="O985" s="72"/>
      <c r="P985" s="63">
        <f t="shared" si="10"/>
        <v>1899</v>
      </c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65"/>
      <c r="C986" s="58"/>
      <c r="D986" s="65"/>
      <c r="E986" s="58"/>
      <c r="F986" s="67"/>
      <c r="G986" s="60"/>
      <c r="H986" s="68">
        <f>COUNTIFS(Minifigures!$C$22:$C$1137,D986)</f>
        <v>0</v>
      </c>
      <c r="I986" s="60"/>
      <c r="J986" s="79"/>
      <c r="K986" s="70"/>
      <c r="L986" s="71"/>
      <c r="M986" s="58"/>
      <c r="N986" s="72"/>
      <c r="O986" s="72"/>
      <c r="P986" s="63">
        <f t="shared" si="10"/>
        <v>1899</v>
      </c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65"/>
      <c r="C987" s="58"/>
      <c r="D987" s="65"/>
      <c r="E987" s="58"/>
      <c r="F987" s="67"/>
      <c r="G987" s="60"/>
      <c r="H987" s="68">
        <f>COUNTIFS(Minifigures!$C$22:$C$1137,D987)</f>
        <v>0</v>
      </c>
      <c r="I987" s="60"/>
      <c r="J987" s="79"/>
      <c r="K987" s="70"/>
      <c r="L987" s="71"/>
      <c r="M987" s="58"/>
      <c r="N987" s="72"/>
      <c r="O987" s="72"/>
      <c r="P987" s="63">
        <f t="shared" si="10"/>
        <v>1899</v>
      </c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65"/>
      <c r="C988" s="58"/>
      <c r="D988" s="65"/>
      <c r="E988" s="58"/>
      <c r="F988" s="67"/>
      <c r="G988" s="60"/>
      <c r="H988" s="68">
        <f>COUNTIFS(Minifigures!$C$22:$C$1137,D988)</f>
        <v>0</v>
      </c>
      <c r="I988" s="60"/>
      <c r="J988" s="79"/>
      <c r="K988" s="70"/>
      <c r="L988" s="71"/>
      <c r="M988" s="58"/>
      <c r="N988" s="72"/>
      <c r="O988" s="72"/>
      <c r="P988" s="63">
        <f t="shared" si="10"/>
        <v>1899</v>
      </c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65"/>
      <c r="C989" s="58"/>
      <c r="D989" s="65"/>
      <c r="E989" s="58"/>
      <c r="F989" s="67"/>
      <c r="G989" s="60"/>
      <c r="H989" s="68">
        <f>COUNTIFS(Minifigures!$C$22:$C$1137,D989)</f>
        <v>0</v>
      </c>
      <c r="I989" s="60"/>
      <c r="J989" s="79"/>
      <c r="K989" s="70"/>
      <c r="L989" s="71"/>
      <c r="M989" s="58"/>
      <c r="N989" s="72"/>
      <c r="O989" s="72"/>
      <c r="P989" s="63">
        <f t="shared" si="10"/>
        <v>1899</v>
      </c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65"/>
      <c r="C990" s="58"/>
      <c r="D990" s="65"/>
      <c r="E990" s="58"/>
      <c r="F990" s="67"/>
      <c r="G990" s="60"/>
      <c r="H990" s="68">
        <f>COUNTIFS(Minifigures!$C$22:$C$1137,D990)</f>
        <v>0</v>
      </c>
      <c r="I990" s="60"/>
      <c r="J990" s="79"/>
      <c r="K990" s="70"/>
      <c r="L990" s="71"/>
      <c r="M990" s="58"/>
      <c r="N990" s="72"/>
      <c r="O990" s="72"/>
      <c r="P990" s="63">
        <f t="shared" si="10"/>
        <v>1899</v>
      </c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65"/>
      <c r="C991" s="58"/>
      <c r="D991" s="65"/>
      <c r="E991" s="58"/>
      <c r="F991" s="67"/>
      <c r="G991" s="60"/>
      <c r="H991" s="68">
        <f>COUNTIFS(Minifigures!$C$22:$C$1137,D991)</f>
        <v>0</v>
      </c>
      <c r="I991" s="60"/>
      <c r="J991" s="79"/>
      <c r="K991" s="70"/>
      <c r="L991" s="71"/>
      <c r="M991" s="58"/>
      <c r="N991" s="72"/>
      <c r="O991" s="72"/>
      <c r="P991" s="63">
        <f t="shared" si="10"/>
        <v>1899</v>
      </c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65"/>
      <c r="C992" s="58"/>
      <c r="D992" s="65"/>
      <c r="E992" s="58"/>
      <c r="F992" s="67"/>
      <c r="G992" s="60"/>
      <c r="H992" s="68">
        <f>COUNTIFS(Minifigures!$C$22:$C$1137,D992)</f>
        <v>0</v>
      </c>
      <c r="I992" s="60"/>
      <c r="J992" s="79"/>
      <c r="K992" s="70"/>
      <c r="L992" s="71"/>
      <c r="M992" s="58"/>
      <c r="N992" s="72"/>
      <c r="O992" s="72"/>
      <c r="P992" s="63">
        <f t="shared" si="10"/>
        <v>1899</v>
      </c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65"/>
      <c r="C993" s="58"/>
      <c r="D993" s="65"/>
      <c r="E993" s="58"/>
      <c r="F993" s="67"/>
      <c r="G993" s="60"/>
      <c r="H993" s="68">
        <f>COUNTIFS(Minifigures!$C$22:$C$1137,D993)</f>
        <v>0</v>
      </c>
      <c r="I993" s="60"/>
      <c r="J993" s="79"/>
      <c r="K993" s="70"/>
      <c r="L993" s="71"/>
      <c r="M993" s="58"/>
      <c r="N993" s="72"/>
      <c r="O993" s="72"/>
      <c r="P993" s="63">
        <f t="shared" si="10"/>
        <v>1899</v>
      </c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65"/>
      <c r="C994" s="58"/>
      <c r="D994" s="65"/>
      <c r="E994" s="58"/>
      <c r="F994" s="67"/>
      <c r="G994" s="60"/>
      <c r="H994" s="68">
        <f>COUNTIFS(Minifigures!$C$22:$C$1137,D994)</f>
        <v>0</v>
      </c>
      <c r="I994" s="60"/>
      <c r="J994" s="79"/>
      <c r="K994" s="70"/>
      <c r="L994" s="71"/>
      <c r="M994" s="58"/>
      <c r="N994" s="72"/>
      <c r="O994" s="72"/>
      <c r="P994" s="63">
        <f t="shared" si="10"/>
        <v>1899</v>
      </c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65"/>
      <c r="C995" s="58"/>
      <c r="D995" s="65"/>
      <c r="E995" s="58"/>
      <c r="F995" s="67"/>
      <c r="G995" s="60"/>
      <c r="H995" s="68">
        <f>COUNTIFS(Minifigures!$C$22:$C$1137,D995)</f>
        <v>0</v>
      </c>
      <c r="I995" s="60"/>
      <c r="J995" s="79"/>
      <c r="K995" s="70"/>
      <c r="L995" s="71"/>
      <c r="M995" s="58"/>
      <c r="N995" s="72"/>
      <c r="O995" s="72"/>
      <c r="P995" s="63">
        <f t="shared" si="10"/>
        <v>1899</v>
      </c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65"/>
      <c r="C996" s="58"/>
      <c r="D996" s="65"/>
      <c r="E996" s="58"/>
      <c r="F996" s="67"/>
      <c r="G996" s="60"/>
      <c r="H996" s="68">
        <f>COUNTIFS(Minifigures!$C$22:$C$1137,D996)</f>
        <v>0</v>
      </c>
      <c r="I996" s="60"/>
      <c r="J996" s="79"/>
      <c r="K996" s="70"/>
      <c r="L996" s="71"/>
      <c r="M996" s="58"/>
      <c r="N996" s="72"/>
      <c r="O996" s="72"/>
      <c r="P996" s="63">
        <f t="shared" si="10"/>
        <v>1899</v>
      </c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65"/>
      <c r="C997" s="58"/>
      <c r="D997" s="65"/>
      <c r="E997" s="58"/>
      <c r="F997" s="67"/>
      <c r="G997" s="60"/>
      <c r="H997" s="68">
        <f>COUNTIFS(Minifigures!$C$22:$C$1137,D997)</f>
        <v>0</v>
      </c>
      <c r="I997" s="60"/>
      <c r="J997" s="79"/>
      <c r="K997" s="70"/>
      <c r="L997" s="71"/>
      <c r="M997" s="58"/>
      <c r="N997" s="72"/>
      <c r="O997" s="72"/>
      <c r="P997" s="63">
        <f t="shared" si="10"/>
        <v>1899</v>
      </c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65"/>
      <c r="C998" s="58"/>
      <c r="D998" s="65"/>
      <c r="E998" s="58"/>
      <c r="F998" s="67"/>
      <c r="G998" s="60"/>
      <c r="H998" s="68">
        <f>COUNTIFS(Minifigures!$C$22:$C$1137,D998)</f>
        <v>0</v>
      </c>
      <c r="I998" s="60"/>
      <c r="J998" s="79"/>
      <c r="K998" s="70"/>
      <c r="L998" s="71"/>
      <c r="M998" s="58"/>
      <c r="N998" s="72"/>
      <c r="O998" s="72"/>
      <c r="P998" s="63">
        <f t="shared" si="10"/>
        <v>1899</v>
      </c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65"/>
      <c r="C999" s="58"/>
      <c r="D999" s="65"/>
      <c r="E999" s="58"/>
      <c r="F999" s="67"/>
      <c r="G999" s="60"/>
      <c r="H999" s="68">
        <f>COUNTIFS(Minifigures!$C$22:$C$1137,D999)</f>
        <v>0</v>
      </c>
      <c r="I999" s="60"/>
      <c r="J999" s="79"/>
      <c r="K999" s="70"/>
      <c r="L999" s="71"/>
      <c r="M999" s="58"/>
      <c r="N999" s="72"/>
      <c r="O999" s="72"/>
      <c r="P999" s="63">
        <f t="shared" si="10"/>
        <v>1899</v>
      </c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65"/>
      <c r="C1000" s="58"/>
      <c r="D1000" s="65"/>
      <c r="E1000" s="58"/>
      <c r="F1000" s="67"/>
      <c r="G1000" s="60"/>
      <c r="H1000" s="68">
        <f>COUNTIFS(Minifigures!$C$22:$C$1137,D1000)</f>
        <v>0</v>
      </c>
      <c r="I1000" s="60"/>
      <c r="J1000" s="79"/>
      <c r="K1000" s="70"/>
      <c r="L1000" s="71"/>
      <c r="M1000" s="58"/>
      <c r="N1000" s="72"/>
      <c r="O1000" s="72"/>
      <c r="P1000" s="63">
        <f t="shared" si="10"/>
        <v>1899</v>
      </c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65"/>
      <c r="C1001" s="58"/>
      <c r="D1001" s="65"/>
      <c r="E1001" s="58"/>
      <c r="F1001" s="67"/>
      <c r="G1001" s="60"/>
      <c r="H1001" s="68">
        <f>COUNTIFS(Minifigures!$C$22:$C$1137,D1001)</f>
        <v>0</v>
      </c>
      <c r="I1001" s="60"/>
      <c r="J1001" s="79"/>
      <c r="K1001" s="70"/>
      <c r="L1001" s="71"/>
      <c r="M1001" s="58"/>
      <c r="N1001" s="72"/>
      <c r="O1001" s="72"/>
      <c r="P1001" s="63">
        <f t="shared" si="10"/>
        <v>1899</v>
      </c>
      <c r="Q1001" s="1"/>
      <c r="R1001" s="1"/>
      <c r="S1001" s="1"/>
      <c r="T1001" s="1"/>
      <c r="U1001" s="1"/>
      <c r="V1001" s="1"/>
      <c r="W1001" s="1"/>
      <c r="X1001" s="1"/>
    </row>
    <row r="1002">
      <c r="A1002" s="1"/>
      <c r="B1002" s="65"/>
      <c r="C1002" s="58"/>
      <c r="D1002" s="65"/>
      <c r="E1002" s="58"/>
      <c r="F1002" s="67"/>
      <c r="G1002" s="60"/>
      <c r="H1002" s="68">
        <f>COUNTIFS(Minifigures!$C$22:$C$1137,D1002)</f>
        <v>0</v>
      </c>
      <c r="I1002" s="60"/>
      <c r="J1002" s="79"/>
      <c r="K1002" s="70"/>
      <c r="L1002" s="71"/>
      <c r="M1002" s="58"/>
      <c r="N1002" s="72"/>
      <c r="O1002" s="72"/>
      <c r="P1002" s="63">
        <f t="shared" si="10"/>
        <v>1899</v>
      </c>
      <c r="Q1002" s="1"/>
      <c r="R1002" s="1"/>
      <c r="S1002" s="1"/>
      <c r="T1002" s="1"/>
      <c r="U1002" s="1"/>
      <c r="V1002" s="1"/>
      <c r="W1002" s="1"/>
      <c r="X1002" s="1"/>
    </row>
    <row r="1003">
      <c r="A1003" s="1"/>
      <c r="B1003" s="65"/>
      <c r="C1003" s="58"/>
      <c r="D1003" s="65"/>
      <c r="E1003" s="58"/>
      <c r="F1003" s="67"/>
      <c r="G1003" s="60"/>
      <c r="H1003" s="68">
        <f>COUNTIFS(Minifigures!$C$22:$C$1137,D1003)</f>
        <v>0</v>
      </c>
      <c r="I1003" s="60"/>
      <c r="J1003" s="79"/>
      <c r="K1003" s="70"/>
      <c r="L1003" s="71"/>
      <c r="M1003" s="58"/>
      <c r="N1003" s="72"/>
      <c r="O1003" s="72"/>
      <c r="P1003" s="63">
        <f t="shared" si="10"/>
        <v>1899</v>
      </c>
      <c r="Q1003" s="1"/>
      <c r="R1003" s="1"/>
      <c r="S1003" s="1"/>
      <c r="T1003" s="1"/>
      <c r="U1003" s="1"/>
      <c r="V1003" s="1"/>
      <c r="W1003" s="1"/>
      <c r="X1003" s="1"/>
    </row>
    <row r="1004">
      <c r="A1004" s="1"/>
      <c r="B1004" s="65"/>
      <c r="C1004" s="58"/>
      <c r="D1004" s="65"/>
      <c r="E1004" s="58"/>
      <c r="F1004" s="67"/>
      <c r="G1004" s="60"/>
      <c r="H1004" s="68">
        <f>COUNTIFS(Minifigures!$C$22:$C$1137,D1004)</f>
        <v>0</v>
      </c>
      <c r="I1004" s="60"/>
      <c r="J1004" s="79"/>
      <c r="K1004" s="70"/>
      <c r="L1004" s="71"/>
      <c r="M1004" s="58"/>
      <c r="N1004" s="72"/>
      <c r="O1004" s="72"/>
      <c r="P1004" s="63">
        <f t="shared" si="10"/>
        <v>1899</v>
      </c>
      <c r="Q1004" s="1"/>
      <c r="R1004" s="1"/>
      <c r="S1004" s="1"/>
      <c r="T1004" s="1"/>
      <c r="U1004" s="1"/>
      <c r="V1004" s="1"/>
      <c r="W1004" s="1"/>
      <c r="X1004" s="1"/>
    </row>
    <row r="1005">
      <c r="A1005" s="1"/>
      <c r="B1005" s="65"/>
      <c r="C1005" s="58"/>
      <c r="D1005" s="65"/>
      <c r="E1005" s="58"/>
      <c r="F1005" s="67"/>
      <c r="G1005" s="60"/>
      <c r="H1005" s="68">
        <f>COUNTIFS(Minifigures!$C$22:$C$1137,D1005)</f>
        <v>0</v>
      </c>
      <c r="I1005" s="60"/>
      <c r="J1005" s="79"/>
      <c r="K1005" s="70"/>
      <c r="L1005" s="71"/>
      <c r="M1005" s="58"/>
      <c r="N1005" s="72"/>
      <c r="O1005" s="72"/>
      <c r="P1005" s="63">
        <f t="shared" si="10"/>
        <v>1899</v>
      </c>
      <c r="Q1005" s="1"/>
      <c r="R1005" s="1"/>
      <c r="S1005" s="1"/>
      <c r="T1005" s="1"/>
      <c r="U1005" s="1"/>
      <c r="V1005" s="1"/>
      <c r="W1005" s="1"/>
      <c r="X1005" s="1"/>
    </row>
    <row r="1006">
      <c r="A1006" s="1"/>
      <c r="B1006" s="65"/>
      <c r="C1006" s="58"/>
      <c r="D1006" s="65"/>
      <c r="E1006" s="58"/>
      <c r="F1006" s="67"/>
      <c r="G1006" s="60"/>
      <c r="H1006" s="68">
        <f>COUNTIFS(Minifigures!$C$22:$C$1137,D1006)</f>
        <v>0</v>
      </c>
      <c r="I1006" s="60"/>
      <c r="J1006" s="79"/>
      <c r="K1006" s="70"/>
      <c r="L1006" s="71"/>
      <c r="M1006" s="58"/>
      <c r="N1006" s="72"/>
      <c r="O1006" s="72"/>
      <c r="P1006" s="63">
        <f t="shared" si="10"/>
        <v>1899</v>
      </c>
      <c r="Q1006" s="1"/>
      <c r="R1006" s="1"/>
      <c r="S1006" s="1"/>
      <c r="T1006" s="1"/>
      <c r="U1006" s="1"/>
      <c r="V1006" s="1"/>
      <c r="W1006" s="1"/>
      <c r="X1006" s="1"/>
    </row>
    <row r="1007">
      <c r="A1007" s="1"/>
      <c r="B1007" s="65"/>
      <c r="C1007" s="58"/>
      <c r="D1007" s="65"/>
      <c r="E1007" s="58"/>
      <c r="F1007" s="67"/>
      <c r="G1007" s="60"/>
      <c r="H1007" s="68">
        <f>COUNTIFS(Minifigures!$C$22:$C$1137,D1007)</f>
        <v>0</v>
      </c>
      <c r="I1007" s="60"/>
      <c r="J1007" s="79"/>
      <c r="K1007" s="70"/>
      <c r="L1007" s="71"/>
      <c r="M1007" s="58"/>
      <c r="N1007" s="72"/>
      <c r="O1007" s="72"/>
      <c r="P1007" s="63">
        <f t="shared" si="10"/>
        <v>1899</v>
      </c>
      <c r="Q1007" s="1"/>
      <c r="R1007" s="1"/>
      <c r="S1007" s="1"/>
      <c r="T1007" s="1"/>
      <c r="U1007" s="1"/>
      <c r="V1007" s="1"/>
      <c r="W1007" s="1"/>
      <c r="X1007" s="1"/>
    </row>
    <row r="1008">
      <c r="A1008" s="1"/>
      <c r="B1008" s="65"/>
      <c r="C1008" s="58"/>
      <c r="D1008" s="65"/>
      <c r="E1008" s="58"/>
      <c r="F1008" s="67"/>
      <c r="G1008" s="60"/>
      <c r="H1008" s="68">
        <f>COUNTIFS(Minifigures!$C$22:$C$1137,D1008)</f>
        <v>0</v>
      </c>
      <c r="I1008" s="60"/>
      <c r="J1008" s="79"/>
      <c r="K1008" s="70"/>
      <c r="L1008" s="71"/>
      <c r="M1008" s="58"/>
      <c r="N1008" s="72"/>
      <c r="O1008" s="72"/>
      <c r="P1008" s="63">
        <f t="shared" si="10"/>
        <v>1899</v>
      </c>
      <c r="Q1008" s="1"/>
      <c r="R1008" s="1"/>
      <c r="S1008" s="1"/>
      <c r="T1008" s="1"/>
      <c r="U1008" s="1"/>
      <c r="V1008" s="1"/>
      <c r="W1008" s="1"/>
      <c r="X1008" s="1"/>
    </row>
    <row r="1009">
      <c r="A1009" s="1"/>
      <c r="B1009" s="65"/>
      <c r="C1009" s="58"/>
      <c r="D1009" s="65"/>
      <c r="E1009" s="58"/>
      <c r="F1009" s="67"/>
      <c r="G1009" s="60"/>
      <c r="H1009" s="68">
        <f>COUNTIFS(Minifigures!$C$22:$C$1137,D1009)</f>
        <v>0</v>
      </c>
      <c r="I1009" s="60"/>
      <c r="J1009" s="79"/>
      <c r="K1009" s="70"/>
      <c r="L1009" s="71"/>
      <c r="M1009" s="58"/>
      <c r="N1009" s="72"/>
      <c r="O1009" s="72"/>
      <c r="P1009" s="63">
        <f t="shared" si="10"/>
        <v>1899</v>
      </c>
      <c r="Q1009" s="1"/>
      <c r="R1009" s="1"/>
      <c r="S1009" s="1"/>
      <c r="T1009" s="1"/>
      <c r="U1009" s="1"/>
      <c r="V1009" s="1"/>
      <c r="W1009" s="1"/>
      <c r="X1009" s="1"/>
    </row>
    <row r="1010">
      <c r="A1010" s="1"/>
      <c r="B1010" s="65"/>
      <c r="C1010" s="58"/>
      <c r="D1010" s="65"/>
      <c r="E1010" s="58"/>
      <c r="F1010" s="67"/>
      <c r="G1010" s="60"/>
      <c r="H1010" s="68">
        <f>COUNTIFS(Minifigures!$C$22:$C$1137,D1010)</f>
        <v>0</v>
      </c>
      <c r="I1010" s="60"/>
      <c r="J1010" s="79"/>
      <c r="K1010" s="70"/>
      <c r="L1010" s="71"/>
      <c r="M1010" s="58"/>
      <c r="N1010" s="72"/>
      <c r="O1010" s="72"/>
      <c r="P1010" s="63">
        <f t="shared" si="10"/>
        <v>1899</v>
      </c>
      <c r="Q1010" s="1"/>
      <c r="R1010" s="1"/>
      <c r="S1010" s="1"/>
      <c r="T1010" s="1"/>
      <c r="U1010" s="1"/>
      <c r="V1010" s="1"/>
      <c r="W1010" s="1"/>
      <c r="X1010" s="1"/>
    </row>
    <row r="1011">
      <c r="A1011" s="1"/>
      <c r="B1011" s="65"/>
      <c r="C1011" s="58"/>
      <c r="D1011" s="65"/>
      <c r="E1011" s="58"/>
      <c r="F1011" s="67"/>
      <c r="G1011" s="60"/>
      <c r="H1011" s="68">
        <f>COUNTIFS(Minifigures!$C$22:$C$1137,D1011)</f>
        <v>0</v>
      </c>
      <c r="I1011" s="60"/>
      <c r="J1011" s="79"/>
      <c r="K1011" s="70"/>
      <c r="L1011" s="71"/>
      <c r="M1011" s="58"/>
      <c r="N1011" s="72"/>
      <c r="O1011" s="72"/>
      <c r="P1011" s="63">
        <f t="shared" si="10"/>
        <v>1899</v>
      </c>
      <c r="Q1011" s="1"/>
      <c r="R1011" s="1"/>
      <c r="S1011" s="1"/>
      <c r="T1011" s="1"/>
      <c r="U1011" s="1"/>
      <c r="V1011" s="1"/>
      <c r="W1011" s="1"/>
      <c r="X1011" s="1"/>
    </row>
    <row r="1012">
      <c r="A1012" s="1"/>
      <c r="B1012" s="65"/>
      <c r="C1012" s="58"/>
      <c r="D1012" s="65"/>
      <c r="E1012" s="58"/>
      <c r="F1012" s="67"/>
      <c r="G1012" s="60"/>
      <c r="H1012" s="68">
        <f>COUNTIFS(Minifigures!$C$22:$C$1137,D1012)</f>
        <v>0</v>
      </c>
      <c r="I1012" s="60"/>
      <c r="J1012" s="79"/>
      <c r="K1012" s="70"/>
      <c r="L1012" s="71"/>
      <c r="M1012" s="58"/>
      <c r="N1012" s="72"/>
      <c r="O1012" s="72"/>
      <c r="P1012" s="63">
        <f t="shared" si="10"/>
        <v>1899</v>
      </c>
      <c r="Q1012" s="1"/>
      <c r="R1012" s="1"/>
      <c r="S1012" s="1"/>
      <c r="T1012" s="1"/>
      <c r="U1012" s="1"/>
      <c r="V1012" s="1"/>
      <c r="W1012" s="1"/>
      <c r="X1012" s="1"/>
    </row>
    <row r="1013">
      <c r="A1013" s="1"/>
      <c r="B1013" s="65"/>
      <c r="C1013" s="58"/>
      <c r="D1013" s="65"/>
      <c r="E1013" s="58"/>
      <c r="F1013" s="67"/>
      <c r="G1013" s="60"/>
      <c r="H1013" s="68">
        <f>COUNTIFS(Minifigures!$C$22:$C$1137,D1013)</f>
        <v>0</v>
      </c>
      <c r="I1013" s="60"/>
      <c r="J1013" s="79"/>
      <c r="K1013" s="70"/>
      <c r="L1013" s="71"/>
      <c r="M1013" s="58"/>
      <c r="N1013" s="72"/>
      <c r="O1013" s="72"/>
      <c r="P1013" s="63">
        <f t="shared" si="10"/>
        <v>1899</v>
      </c>
      <c r="Q1013" s="1"/>
      <c r="R1013" s="1"/>
      <c r="S1013" s="1"/>
      <c r="T1013" s="1"/>
      <c r="U1013" s="1"/>
      <c r="V1013" s="1"/>
      <c r="W1013" s="1"/>
      <c r="X1013" s="1"/>
    </row>
    <row r="1014">
      <c r="A1014" s="1"/>
      <c r="B1014" s="65"/>
      <c r="C1014" s="58"/>
      <c r="D1014" s="65"/>
      <c r="E1014" s="58"/>
      <c r="F1014" s="67"/>
      <c r="G1014" s="60"/>
      <c r="H1014" s="68">
        <f>COUNTIFS(Minifigures!$C$22:$C$1137,D1014)</f>
        <v>0</v>
      </c>
      <c r="I1014" s="60"/>
      <c r="J1014" s="79"/>
      <c r="K1014" s="70"/>
      <c r="L1014" s="71"/>
      <c r="M1014" s="58"/>
      <c r="N1014" s="72"/>
      <c r="O1014" s="72"/>
      <c r="P1014" s="63">
        <f t="shared" si="10"/>
        <v>1899</v>
      </c>
      <c r="Q1014" s="1"/>
      <c r="R1014" s="1"/>
      <c r="S1014" s="1"/>
      <c r="T1014" s="1"/>
      <c r="U1014" s="1"/>
      <c r="V1014" s="1"/>
      <c r="W1014" s="1"/>
      <c r="X1014" s="1"/>
    </row>
    <row r="1015">
      <c r="A1015" s="1"/>
      <c r="B1015" s="65"/>
      <c r="C1015" s="58"/>
      <c r="D1015" s="65"/>
      <c r="E1015" s="58"/>
      <c r="F1015" s="67"/>
      <c r="G1015" s="60"/>
      <c r="H1015" s="68">
        <f>COUNTIFS(Minifigures!$C$22:$C$1137,D1015)</f>
        <v>0</v>
      </c>
      <c r="I1015" s="60"/>
      <c r="J1015" s="79"/>
      <c r="K1015" s="70"/>
      <c r="L1015" s="71"/>
      <c r="M1015" s="58"/>
      <c r="N1015" s="72"/>
      <c r="O1015" s="72"/>
      <c r="P1015" s="63">
        <f t="shared" si="10"/>
        <v>1899</v>
      </c>
      <c r="Q1015" s="1"/>
      <c r="R1015" s="1"/>
      <c r="S1015" s="1"/>
      <c r="T1015" s="1"/>
      <c r="U1015" s="1"/>
      <c r="V1015" s="1"/>
      <c r="W1015" s="1"/>
      <c r="X1015" s="1"/>
    </row>
    <row r="1016">
      <c r="A1016" s="1"/>
      <c r="B1016" s="65"/>
      <c r="C1016" s="58"/>
      <c r="D1016" s="65"/>
      <c r="E1016" s="58"/>
      <c r="F1016" s="67"/>
      <c r="G1016" s="60"/>
      <c r="H1016" s="68">
        <f>COUNTIFS(Minifigures!$C$22:$C$1137,D1016)</f>
        <v>0</v>
      </c>
      <c r="I1016" s="60"/>
      <c r="J1016" s="79"/>
      <c r="K1016" s="70"/>
      <c r="L1016" s="71"/>
      <c r="M1016" s="58"/>
      <c r="N1016" s="72"/>
      <c r="O1016" s="72"/>
      <c r="P1016" s="63">
        <f t="shared" si="10"/>
        <v>1899</v>
      </c>
      <c r="Q1016" s="1"/>
      <c r="R1016" s="1"/>
      <c r="S1016" s="1"/>
      <c r="T1016" s="1"/>
      <c r="U1016" s="1"/>
      <c r="V1016" s="1"/>
      <c r="W1016" s="1"/>
      <c r="X1016" s="1"/>
    </row>
    <row r="1017">
      <c r="A1017" s="1"/>
      <c r="B1017" s="65"/>
      <c r="C1017" s="58"/>
      <c r="D1017" s="65"/>
      <c r="E1017" s="58"/>
      <c r="F1017" s="67"/>
      <c r="G1017" s="60"/>
      <c r="H1017" s="68">
        <f>COUNTIFS(Minifigures!$C$22:$C$1137,D1017)</f>
        <v>0</v>
      </c>
      <c r="I1017" s="60"/>
      <c r="J1017" s="79"/>
      <c r="K1017" s="70"/>
      <c r="L1017" s="71"/>
      <c r="M1017" s="58"/>
      <c r="N1017" s="72"/>
      <c r="O1017" s="72"/>
      <c r="P1017" s="63">
        <f t="shared" si="10"/>
        <v>1899</v>
      </c>
      <c r="Q1017" s="1"/>
      <c r="R1017" s="1"/>
      <c r="S1017" s="1"/>
      <c r="T1017" s="1"/>
      <c r="U1017" s="1"/>
      <c r="V1017" s="1"/>
      <c r="W1017" s="1"/>
      <c r="X1017" s="1"/>
    </row>
    <row r="1018">
      <c r="A1018" s="1"/>
      <c r="B1018" s="65"/>
      <c r="C1018" s="58"/>
      <c r="D1018" s="65"/>
      <c r="E1018" s="58"/>
      <c r="F1018" s="67"/>
      <c r="G1018" s="60"/>
      <c r="H1018" s="68">
        <f>COUNTIFS(Minifigures!$C$22:$C$1137,D1018)</f>
        <v>0</v>
      </c>
      <c r="I1018" s="60"/>
      <c r="J1018" s="79"/>
      <c r="K1018" s="70"/>
      <c r="L1018" s="71"/>
      <c r="M1018" s="58"/>
      <c r="N1018" s="72"/>
      <c r="O1018" s="72"/>
      <c r="P1018" s="63">
        <f t="shared" si="10"/>
        <v>1899</v>
      </c>
      <c r="Q1018" s="1"/>
      <c r="R1018" s="1"/>
      <c r="S1018" s="1"/>
      <c r="T1018" s="1"/>
      <c r="U1018" s="1"/>
      <c r="V1018" s="1"/>
      <c r="W1018" s="1"/>
      <c r="X1018" s="1"/>
    </row>
    <row r="1019">
      <c r="A1019" s="1"/>
      <c r="B1019" s="65"/>
      <c r="C1019" s="58"/>
      <c r="D1019" s="65"/>
      <c r="E1019" s="58"/>
      <c r="F1019" s="67"/>
      <c r="G1019" s="60"/>
      <c r="H1019" s="68">
        <f>COUNTIFS(Minifigures!$C$22:$C$1137,D1019)</f>
        <v>0</v>
      </c>
      <c r="I1019" s="60"/>
      <c r="J1019" s="79"/>
      <c r="K1019" s="70"/>
      <c r="L1019" s="71"/>
      <c r="M1019" s="58"/>
      <c r="N1019" s="72"/>
      <c r="O1019" s="72"/>
      <c r="P1019" s="63">
        <f t="shared" si="10"/>
        <v>1899</v>
      </c>
      <c r="Q1019" s="1"/>
      <c r="R1019" s="1"/>
      <c r="S1019" s="1"/>
      <c r="T1019" s="1"/>
      <c r="U1019" s="1"/>
      <c r="V1019" s="1"/>
      <c r="W1019" s="1"/>
      <c r="X1019" s="1"/>
    </row>
    <row r="1020">
      <c r="A1020" s="1"/>
      <c r="B1020" s="65"/>
      <c r="C1020" s="58"/>
      <c r="D1020" s="65"/>
      <c r="E1020" s="58"/>
      <c r="F1020" s="67"/>
      <c r="G1020" s="60"/>
      <c r="H1020" s="68">
        <f>COUNTIFS(Minifigures!$C$22:$C$1137,D1020)</f>
        <v>0</v>
      </c>
      <c r="I1020" s="60"/>
      <c r="J1020" s="79"/>
      <c r="K1020" s="70"/>
      <c r="L1020" s="71"/>
      <c r="M1020" s="58"/>
      <c r="N1020" s="72"/>
      <c r="O1020" s="72"/>
      <c r="P1020" s="63">
        <f t="shared" si="10"/>
        <v>1899</v>
      </c>
      <c r="Q1020" s="1"/>
      <c r="R1020" s="1"/>
      <c r="S1020" s="1"/>
      <c r="T1020" s="1"/>
      <c r="U1020" s="1"/>
      <c r="V1020" s="1"/>
      <c r="W1020" s="1"/>
      <c r="X1020" s="1"/>
    </row>
    <row r="1021">
      <c r="A1021" s="1"/>
      <c r="B1021" s="65"/>
      <c r="C1021" s="58"/>
      <c r="D1021" s="65"/>
      <c r="E1021" s="58"/>
      <c r="F1021" s="67"/>
      <c r="G1021" s="60"/>
      <c r="H1021" s="68">
        <f>COUNTIFS(Minifigures!$C$22:$C$1137,D1021)</f>
        <v>0</v>
      </c>
      <c r="I1021" s="60"/>
      <c r="J1021" s="79"/>
      <c r="K1021" s="70"/>
      <c r="L1021" s="71"/>
      <c r="M1021" s="58"/>
      <c r="N1021" s="72"/>
      <c r="O1021" s="72"/>
      <c r="P1021" s="63">
        <f t="shared" si="10"/>
        <v>1899</v>
      </c>
      <c r="Q1021" s="1"/>
      <c r="R1021" s="1"/>
      <c r="S1021" s="1"/>
      <c r="T1021" s="1"/>
      <c r="U1021" s="1"/>
      <c r="V1021" s="1"/>
      <c r="W1021" s="1"/>
      <c r="X1021" s="1"/>
    </row>
    <row r="1022">
      <c r="A1022" s="1"/>
      <c r="B1022" s="65"/>
      <c r="C1022" s="58"/>
      <c r="D1022" s="65"/>
      <c r="E1022" s="58"/>
      <c r="F1022" s="67"/>
      <c r="G1022" s="60"/>
      <c r="H1022" s="68">
        <f>COUNTIFS(Minifigures!$C$22:$C$1137,D1022)</f>
        <v>0</v>
      </c>
      <c r="I1022" s="60"/>
      <c r="J1022" s="79"/>
      <c r="K1022" s="70"/>
      <c r="L1022" s="71"/>
      <c r="M1022" s="58"/>
      <c r="N1022" s="72"/>
      <c r="O1022" s="72"/>
      <c r="P1022" s="63">
        <f t="shared" si="10"/>
        <v>1899</v>
      </c>
      <c r="Q1022" s="1"/>
      <c r="R1022" s="1"/>
      <c r="S1022" s="1"/>
      <c r="T1022" s="1"/>
      <c r="U1022" s="1"/>
      <c r="V1022" s="1"/>
      <c r="W1022" s="1"/>
      <c r="X1022" s="1"/>
    </row>
    <row r="1023">
      <c r="A1023" s="1"/>
      <c r="B1023" s="65"/>
      <c r="C1023" s="58"/>
      <c r="D1023" s="65"/>
      <c r="E1023" s="58"/>
      <c r="F1023" s="67"/>
      <c r="G1023" s="60"/>
      <c r="H1023" s="68">
        <f>COUNTIFS(Minifigures!$C$22:$C$1137,D1023)</f>
        <v>0</v>
      </c>
      <c r="I1023" s="60"/>
      <c r="J1023" s="79"/>
      <c r="K1023" s="70"/>
      <c r="L1023" s="71"/>
      <c r="M1023" s="58"/>
      <c r="N1023" s="72"/>
      <c r="O1023" s="72"/>
      <c r="P1023" s="63">
        <f t="shared" si="10"/>
        <v>1899</v>
      </c>
      <c r="Q1023" s="1"/>
      <c r="R1023" s="1"/>
      <c r="S1023" s="1"/>
      <c r="T1023" s="1"/>
      <c r="U1023" s="1"/>
      <c r="V1023" s="1"/>
      <c r="W1023" s="1"/>
      <c r="X1023" s="1"/>
    </row>
    <row r="1024">
      <c r="A1024" s="1"/>
      <c r="B1024" s="65"/>
      <c r="C1024" s="58"/>
      <c r="D1024" s="65"/>
      <c r="E1024" s="58"/>
      <c r="F1024" s="67"/>
      <c r="G1024" s="60"/>
      <c r="H1024" s="68">
        <f>COUNTIFS(Minifigures!$C$22:$C$1137,D1024)</f>
        <v>0</v>
      </c>
      <c r="I1024" s="60"/>
      <c r="J1024" s="79"/>
      <c r="K1024" s="70"/>
      <c r="L1024" s="71"/>
      <c r="M1024" s="58"/>
      <c r="N1024" s="72"/>
      <c r="O1024" s="72"/>
      <c r="P1024" s="63">
        <f t="shared" si="10"/>
        <v>1899</v>
      </c>
      <c r="Q1024" s="1"/>
      <c r="R1024" s="1"/>
      <c r="S1024" s="1"/>
      <c r="T1024" s="1"/>
      <c r="U1024" s="1"/>
      <c r="V1024" s="1"/>
      <c r="W1024" s="1"/>
      <c r="X1024" s="1"/>
    </row>
    <row r="1025">
      <c r="A1025" s="1"/>
      <c r="B1025" s="65"/>
      <c r="C1025" s="58"/>
      <c r="D1025" s="65"/>
      <c r="E1025" s="58"/>
      <c r="F1025" s="67"/>
      <c r="G1025" s="60"/>
      <c r="H1025" s="68">
        <f>COUNTIFS(Minifigures!$C$22:$C$1137,D1025)</f>
        <v>0</v>
      </c>
      <c r="I1025" s="60"/>
      <c r="J1025" s="79"/>
      <c r="K1025" s="70"/>
      <c r="L1025" s="71"/>
      <c r="M1025" s="58"/>
      <c r="N1025" s="72"/>
      <c r="O1025" s="72"/>
      <c r="P1025" s="63">
        <f t="shared" si="10"/>
        <v>1899</v>
      </c>
      <c r="Q1025" s="1"/>
      <c r="R1025" s="1"/>
      <c r="S1025" s="1"/>
      <c r="T1025" s="1"/>
      <c r="U1025" s="1"/>
      <c r="V1025" s="1"/>
      <c r="W1025" s="1"/>
      <c r="X1025" s="1"/>
    </row>
    <row r="1026">
      <c r="A1026" s="1"/>
      <c r="B1026" s="65"/>
      <c r="C1026" s="58"/>
      <c r="D1026" s="65"/>
      <c r="E1026" s="58"/>
      <c r="F1026" s="67"/>
      <c r="G1026" s="60"/>
      <c r="H1026" s="68">
        <f>COUNTIFS(Minifigures!$C$22:$C$1137,D1026)</f>
        <v>0</v>
      </c>
      <c r="I1026" s="60"/>
      <c r="J1026" s="79"/>
      <c r="K1026" s="70"/>
      <c r="L1026" s="71"/>
      <c r="M1026" s="58"/>
      <c r="N1026" s="72"/>
      <c r="O1026" s="72"/>
      <c r="P1026" s="63">
        <f t="shared" si="10"/>
        <v>1899</v>
      </c>
      <c r="Q1026" s="1"/>
      <c r="R1026" s="1"/>
      <c r="S1026" s="1"/>
      <c r="T1026" s="1"/>
      <c r="U1026" s="1"/>
      <c r="V1026" s="1"/>
      <c r="W1026" s="1"/>
      <c r="X1026" s="1"/>
    </row>
    <row r="1027">
      <c r="A1027" s="1"/>
      <c r="B1027" s="65"/>
      <c r="C1027" s="58"/>
      <c r="D1027" s="65"/>
      <c r="E1027" s="58"/>
      <c r="F1027" s="67"/>
      <c r="G1027" s="60"/>
      <c r="H1027" s="68">
        <f>COUNTIFS(Minifigures!$C$22:$C$1137,D1027)</f>
        <v>0</v>
      </c>
      <c r="I1027" s="60"/>
      <c r="J1027" s="79"/>
      <c r="K1027" s="70"/>
      <c r="L1027" s="71"/>
      <c r="M1027" s="58"/>
      <c r="N1027" s="72"/>
      <c r="O1027" s="72"/>
      <c r="P1027" s="63">
        <f t="shared" si="10"/>
        <v>1899</v>
      </c>
      <c r="Q1027" s="1"/>
      <c r="R1027" s="1"/>
      <c r="S1027" s="1"/>
      <c r="T1027" s="1"/>
      <c r="U1027" s="1"/>
      <c r="V1027" s="1"/>
      <c r="W1027" s="1"/>
      <c r="X1027" s="1"/>
    </row>
    <row r="1028">
      <c r="A1028" s="1"/>
      <c r="B1028" s="65"/>
      <c r="C1028" s="58"/>
      <c r="D1028" s="65"/>
      <c r="E1028" s="58"/>
      <c r="F1028" s="67"/>
      <c r="G1028" s="60"/>
      <c r="H1028" s="68">
        <f>COUNTIFS(Minifigures!$C$22:$C$1137,D1028)</f>
        <v>0</v>
      </c>
      <c r="I1028" s="60"/>
      <c r="J1028" s="79"/>
      <c r="K1028" s="70"/>
      <c r="L1028" s="71"/>
      <c r="M1028" s="58"/>
      <c r="N1028" s="72"/>
      <c r="O1028" s="72"/>
      <c r="P1028" s="63">
        <f t="shared" si="10"/>
        <v>1899</v>
      </c>
      <c r="Q1028" s="1"/>
      <c r="R1028" s="1"/>
      <c r="S1028" s="1"/>
      <c r="T1028" s="1"/>
      <c r="U1028" s="1"/>
      <c r="V1028" s="1"/>
      <c r="W1028" s="1"/>
      <c r="X1028" s="1"/>
    </row>
    <row r="1029">
      <c r="A1029" s="1"/>
      <c r="B1029" s="65"/>
      <c r="C1029" s="58"/>
      <c r="D1029" s="65"/>
      <c r="E1029" s="58"/>
      <c r="F1029" s="67"/>
      <c r="G1029" s="60"/>
      <c r="H1029" s="68">
        <f>COUNTIFS(Minifigures!$C$22:$C$1137,D1029)</f>
        <v>0</v>
      </c>
      <c r="I1029" s="60"/>
      <c r="J1029" s="79"/>
      <c r="K1029" s="70"/>
      <c r="L1029" s="71"/>
      <c r="M1029" s="58"/>
      <c r="N1029" s="72"/>
      <c r="O1029" s="72"/>
      <c r="P1029" s="63">
        <f t="shared" si="10"/>
        <v>1899</v>
      </c>
      <c r="Q1029" s="1"/>
      <c r="R1029" s="1"/>
      <c r="S1029" s="1"/>
      <c r="T1029" s="1"/>
      <c r="U1029" s="1"/>
      <c r="V1029" s="1"/>
      <c r="W1029" s="1"/>
      <c r="X1029" s="1"/>
    </row>
    <row r="1030">
      <c r="A1030" s="1"/>
      <c r="B1030" s="65"/>
      <c r="C1030" s="58"/>
      <c r="D1030" s="65"/>
      <c r="E1030" s="58"/>
      <c r="F1030" s="67"/>
      <c r="G1030" s="60"/>
      <c r="H1030" s="68">
        <f>COUNTIFS(Minifigures!$C$22:$C$1137,D1030)</f>
        <v>0</v>
      </c>
      <c r="I1030" s="60"/>
      <c r="J1030" s="79"/>
      <c r="K1030" s="70"/>
      <c r="L1030" s="71"/>
      <c r="M1030" s="58"/>
      <c r="N1030" s="72"/>
      <c r="O1030" s="72"/>
      <c r="P1030" s="63">
        <f t="shared" si="10"/>
        <v>1899</v>
      </c>
      <c r="Q1030" s="1"/>
      <c r="R1030" s="1"/>
      <c r="S1030" s="1"/>
      <c r="T1030" s="1"/>
      <c r="U1030" s="1"/>
      <c r="V1030" s="1"/>
      <c r="W1030" s="1"/>
      <c r="X1030" s="1"/>
    </row>
    <row r="1031">
      <c r="A1031" s="1"/>
      <c r="B1031" s="65"/>
      <c r="C1031" s="58"/>
      <c r="D1031" s="65"/>
      <c r="E1031" s="58"/>
      <c r="F1031" s="67"/>
      <c r="G1031" s="60"/>
      <c r="H1031" s="68">
        <f>COUNTIFS(Minifigures!$C$22:$C$1137,D1031)</f>
        <v>0</v>
      </c>
      <c r="I1031" s="60"/>
      <c r="J1031" s="79"/>
      <c r="K1031" s="70"/>
      <c r="L1031" s="71"/>
      <c r="M1031" s="58"/>
      <c r="N1031" s="72"/>
      <c r="O1031" s="72"/>
      <c r="P1031" s="63">
        <f t="shared" si="10"/>
        <v>1899</v>
      </c>
      <c r="Q1031" s="1"/>
      <c r="R1031" s="1"/>
      <c r="S1031" s="1"/>
      <c r="T1031" s="1"/>
      <c r="U1031" s="1"/>
      <c r="V1031" s="1"/>
      <c r="W1031" s="1"/>
      <c r="X1031" s="1"/>
    </row>
    <row r="1032">
      <c r="A1032" s="1"/>
      <c r="B1032" s="65"/>
      <c r="C1032" s="58"/>
      <c r="D1032" s="65"/>
      <c r="E1032" s="58"/>
      <c r="F1032" s="67"/>
      <c r="G1032" s="60"/>
      <c r="H1032" s="68">
        <f>COUNTIFS(Minifigures!$C$22:$C$1137,D1032)</f>
        <v>0</v>
      </c>
      <c r="I1032" s="60"/>
      <c r="J1032" s="79"/>
      <c r="K1032" s="70"/>
      <c r="L1032" s="71"/>
      <c r="M1032" s="58"/>
      <c r="N1032" s="72"/>
      <c r="O1032" s="72"/>
      <c r="P1032" s="63">
        <f t="shared" si="10"/>
        <v>1899</v>
      </c>
      <c r="Q1032" s="1"/>
      <c r="R1032" s="1"/>
      <c r="S1032" s="1"/>
      <c r="T1032" s="1"/>
      <c r="U1032" s="1"/>
      <c r="V1032" s="1"/>
      <c r="W1032" s="1"/>
      <c r="X1032" s="1"/>
    </row>
    <row r="1033">
      <c r="A1033" s="1"/>
      <c r="B1033" s="65"/>
      <c r="C1033" s="58"/>
      <c r="D1033" s="65"/>
      <c r="E1033" s="58"/>
      <c r="F1033" s="67"/>
      <c r="G1033" s="60"/>
      <c r="H1033" s="68">
        <f>COUNTIFS(Minifigures!$C$22:$C$1137,D1033)</f>
        <v>0</v>
      </c>
      <c r="I1033" s="60"/>
      <c r="J1033" s="79"/>
      <c r="K1033" s="70"/>
      <c r="L1033" s="71"/>
      <c r="M1033" s="58"/>
      <c r="N1033" s="72"/>
      <c r="O1033" s="72"/>
      <c r="P1033" s="63">
        <f t="shared" si="10"/>
        <v>1899</v>
      </c>
      <c r="Q1033" s="1"/>
      <c r="R1033" s="1"/>
      <c r="S1033" s="1"/>
      <c r="T1033" s="1"/>
      <c r="U1033" s="1"/>
      <c r="V1033" s="1"/>
      <c r="W1033" s="1"/>
      <c r="X1033" s="1"/>
    </row>
    <row r="1034">
      <c r="A1034" s="1"/>
      <c r="B1034" s="65"/>
      <c r="C1034" s="58"/>
      <c r="D1034" s="65"/>
      <c r="E1034" s="58"/>
      <c r="F1034" s="67"/>
      <c r="G1034" s="60"/>
      <c r="H1034" s="68">
        <f>COUNTIFS(Minifigures!$C$22:$C$1137,D1034)</f>
        <v>0</v>
      </c>
      <c r="I1034" s="60"/>
      <c r="J1034" s="79"/>
      <c r="K1034" s="70"/>
      <c r="L1034" s="71"/>
      <c r="M1034" s="58"/>
      <c r="N1034" s="72"/>
      <c r="O1034" s="72"/>
      <c r="P1034" s="63">
        <f t="shared" si="10"/>
        <v>1899</v>
      </c>
      <c r="Q1034" s="1"/>
      <c r="R1034" s="1"/>
      <c r="S1034" s="1"/>
      <c r="T1034" s="1"/>
      <c r="U1034" s="1"/>
      <c r="V1034" s="1"/>
      <c r="W1034" s="1"/>
      <c r="X1034" s="1"/>
    </row>
    <row r="1035">
      <c r="A1035" s="1"/>
      <c r="B1035" s="65"/>
      <c r="C1035" s="58"/>
      <c r="D1035" s="65"/>
      <c r="E1035" s="58"/>
      <c r="F1035" s="67"/>
      <c r="G1035" s="60"/>
      <c r="H1035" s="68">
        <f>COUNTIFS(Minifigures!$C$22:$C$1137,D1035)</f>
        <v>0</v>
      </c>
      <c r="I1035" s="60"/>
      <c r="J1035" s="79"/>
      <c r="K1035" s="70"/>
      <c r="L1035" s="71"/>
      <c r="M1035" s="58"/>
      <c r="N1035" s="72"/>
      <c r="O1035" s="72"/>
      <c r="P1035" s="63">
        <f t="shared" si="10"/>
        <v>1899</v>
      </c>
      <c r="Q1035" s="1"/>
      <c r="R1035" s="1"/>
      <c r="S1035" s="1"/>
      <c r="T1035" s="1"/>
      <c r="U1035" s="1"/>
      <c r="V1035" s="1"/>
      <c r="W1035" s="1"/>
      <c r="X1035" s="1"/>
    </row>
    <row r="1036">
      <c r="A1036" s="1"/>
      <c r="B1036" s="65"/>
      <c r="C1036" s="58"/>
      <c r="D1036" s="65"/>
      <c r="E1036" s="58"/>
      <c r="F1036" s="67"/>
      <c r="G1036" s="60"/>
      <c r="H1036" s="68">
        <f>COUNTIFS(Minifigures!$C$22:$C$1137,D1036)</f>
        <v>0</v>
      </c>
      <c r="I1036" s="60"/>
      <c r="J1036" s="79"/>
      <c r="K1036" s="70"/>
      <c r="L1036" s="71"/>
      <c r="M1036" s="58"/>
      <c r="N1036" s="72"/>
      <c r="O1036" s="72"/>
      <c r="P1036" s="63">
        <f t="shared" si="10"/>
        <v>1899</v>
      </c>
      <c r="Q1036" s="1"/>
      <c r="R1036" s="1"/>
      <c r="S1036" s="1"/>
      <c r="T1036" s="1"/>
      <c r="U1036" s="1"/>
      <c r="V1036" s="1"/>
      <c r="W1036" s="1"/>
      <c r="X1036" s="1"/>
    </row>
    <row r="1037">
      <c r="A1037" s="1"/>
      <c r="B1037" s="65"/>
      <c r="C1037" s="58"/>
      <c r="D1037" s="65"/>
      <c r="E1037" s="58"/>
      <c r="F1037" s="67"/>
      <c r="G1037" s="60"/>
      <c r="H1037" s="68">
        <f>COUNTIFS(Minifigures!$C$22:$C$1137,D1037)</f>
        <v>0</v>
      </c>
      <c r="I1037" s="60"/>
      <c r="J1037" s="79"/>
      <c r="K1037" s="70"/>
      <c r="L1037" s="71"/>
      <c r="M1037" s="58"/>
      <c r="N1037" s="72"/>
      <c r="O1037" s="72"/>
      <c r="P1037" s="63">
        <f t="shared" si="10"/>
        <v>1899</v>
      </c>
      <c r="Q1037" s="1"/>
      <c r="R1037" s="1"/>
      <c r="S1037" s="1"/>
      <c r="T1037" s="1"/>
      <c r="U1037" s="1"/>
      <c r="V1037" s="1"/>
      <c r="W1037" s="1"/>
      <c r="X1037" s="1"/>
    </row>
    <row r="1038">
      <c r="A1038" s="1"/>
      <c r="B1038" s="65"/>
      <c r="C1038" s="58"/>
      <c r="D1038" s="65"/>
      <c r="E1038" s="58"/>
      <c r="F1038" s="67"/>
      <c r="G1038" s="60"/>
      <c r="H1038" s="68">
        <f>COUNTIFS(Minifigures!$C$22:$C$1137,D1038)</f>
        <v>0</v>
      </c>
      <c r="I1038" s="60"/>
      <c r="J1038" s="79"/>
      <c r="K1038" s="70"/>
      <c r="L1038" s="71"/>
      <c r="M1038" s="58"/>
      <c r="N1038" s="72"/>
      <c r="O1038" s="72"/>
      <c r="P1038" s="63">
        <f t="shared" si="10"/>
        <v>1899</v>
      </c>
      <c r="Q1038" s="1"/>
      <c r="R1038" s="1"/>
      <c r="S1038" s="1"/>
      <c r="T1038" s="1"/>
      <c r="U1038" s="1"/>
      <c r="V1038" s="1"/>
      <c r="W1038" s="1"/>
      <c r="X1038" s="1"/>
    </row>
    <row r="1039">
      <c r="A1039" s="1"/>
      <c r="B1039" s="65"/>
      <c r="C1039" s="58"/>
      <c r="D1039" s="65"/>
      <c r="E1039" s="58"/>
      <c r="F1039" s="67"/>
      <c r="G1039" s="60"/>
      <c r="H1039" s="68">
        <f>COUNTIFS(Minifigures!$C$22:$C$1137,D1039)</f>
        <v>0</v>
      </c>
      <c r="I1039" s="60"/>
      <c r="J1039" s="79"/>
      <c r="K1039" s="70"/>
      <c r="L1039" s="71"/>
      <c r="M1039" s="58"/>
      <c r="N1039" s="72"/>
      <c r="O1039" s="72"/>
      <c r="P1039" s="63">
        <f t="shared" si="10"/>
        <v>1899</v>
      </c>
      <c r="Q1039" s="1"/>
      <c r="R1039" s="1"/>
      <c r="S1039" s="1"/>
      <c r="T1039" s="1"/>
      <c r="U1039" s="1"/>
      <c r="V1039" s="1"/>
      <c r="W1039" s="1"/>
      <c r="X1039" s="1"/>
    </row>
    <row r="1040">
      <c r="A1040" s="1"/>
      <c r="B1040" s="65"/>
      <c r="C1040" s="58"/>
      <c r="D1040" s="65"/>
      <c r="E1040" s="58"/>
      <c r="F1040" s="67"/>
      <c r="G1040" s="60"/>
      <c r="H1040" s="68">
        <f>COUNTIFS(Minifigures!$C$22:$C$1137,D1040)</f>
        <v>0</v>
      </c>
      <c r="I1040" s="60"/>
      <c r="J1040" s="79"/>
      <c r="K1040" s="70"/>
      <c r="L1040" s="71"/>
      <c r="M1040" s="58"/>
      <c r="N1040" s="72"/>
      <c r="O1040" s="72"/>
      <c r="P1040" s="63">
        <f t="shared" si="10"/>
        <v>1899</v>
      </c>
      <c r="Q1040" s="1"/>
      <c r="R1040" s="1"/>
      <c r="S1040" s="1"/>
      <c r="T1040" s="1"/>
      <c r="U1040" s="1"/>
      <c r="V1040" s="1"/>
      <c r="W1040" s="1"/>
      <c r="X1040" s="1"/>
    </row>
    <row r="1041">
      <c r="A1041" s="1"/>
      <c r="B1041" s="65"/>
      <c r="C1041" s="58"/>
      <c r="D1041" s="65"/>
      <c r="E1041" s="58"/>
      <c r="F1041" s="67"/>
      <c r="G1041" s="60"/>
      <c r="H1041" s="68">
        <f>COUNTIFS(Minifigures!$C$22:$C$1137,D1041)</f>
        <v>0</v>
      </c>
      <c r="I1041" s="60"/>
      <c r="J1041" s="79"/>
      <c r="K1041" s="70"/>
      <c r="L1041" s="71"/>
      <c r="M1041" s="58"/>
      <c r="N1041" s="72"/>
      <c r="O1041" s="72"/>
      <c r="P1041" s="63">
        <f t="shared" si="10"/>
        <v>1899</v>
      </c>
      <c r="Q1041" s="1"/>
      <c r="R1041" s="1"/>
      <c r="S1041" s="1"/>
      <c r="T1041" s="1"/>
      <c r="U1041" s="1"/>
      <c r="V1041" s="1"/>
      <c r="W1041" s="1"/>
      <c r="X1041" s="1"/>
    </row>
    <row r="1042">
      <c r="A1042" s="1"/>
      <c r="B1042" s="65"/>
      <c r="C1042" s="58"/>
      <c r="D1042" s="65"/>
      <c r="E1042" s="58"/>
      <c r="F1042" s="67"/>
      <c r="G1042" s="60"/>
      <c r="H1042" s="68">
        <f>COUNTIFS(Minifigures!$C$22:$C$1137,D1042)</f>
        <v>0</v>
      </c>
      <c r="I1042" s="60"/>
      <c r="J1042" s="79"/>
      <c r="K1042" s="70"/>
      <c r="L1042" s="71"/>
      <c r="M1042" s="58"/>
      <c r="N1042" s="72"/>
      <c r="O1042" s="72"/>
      <c r="P1042" s="63">
        <f t="shared" si="10"/>
        <v>1899</v>
      </c>
      <c r="Q1042" s="1"/>
      <c r="R1042" s="1"/>
      <c r="S1042" s="1"/>
      <c r="T1042" s="1"/>
      <c r="U1042" s="1"/>
      <c r="V1042" s="1"/>
      <c r="W1042" s="1"/>
      <c r="X1042" s="1"/>
    </row>
    <row r="1043">
      <c r="A1043" s="1"/>
      <c r="B1043" s="65"/>
      <c r="C1043" s="58"/>
      <c r="D1043" s="65"/>
      <c r="E1043" s="58"/>
      <c r="F1043" s="67"/>
      <c r="G1043" s="60"/>
      <c r="H1043" s="68">
        <f>COUNTIFS(Minifigures!$C$22:$C$1137,D1043)</f>
        <v>0</v>
      </c>
      <c r="I1043" s="60"/>
      <c r="J1043" s="79"/>
      <c r="K1043" s="70"/>
      <c r="L1043" s="71"/>
      <c r="M1043" s="58"/>
      <c r="N1043" s="72"/>
      <c r="O1043" s="72"/>
      <c r="P1043" s="63">
        <f t="shared" si="10"/>
        <v>1899</v>
      </c>
      <c r="Q1043" s="1"/>
      <c r="R1043" s="1"/>
      <c r="S1043" s="1"/>
      <c r="T1043" s="1"/>
      <c r="U1043" s="1"/>
      <c r="V1043" s="1"/>
      <c r="W1043" s="1"/>
      <c r="X1043" s="1"/>
    </row>
    <row r="1044">
      <c r="A1044" s="1"/>
      <c r="B1044" s="65"/>
      <c r="C1044" s="58"/>
      <c r="D1044" s="65"/>
      <c r="E1044" s="58"/>
      <c r="F1044" s="67"/>
      <c r="G1044" s="60"/>
      <c r="H1044" s="68">
        <f>COUNTIFS(Minifigures!$C$22:$C$1137,D1044)</f>
        <v>0</v>
      </c>
      <c r="I1044" s="60"/>
      <c r="J1044" s="79"/>
      <c r="K1044" s="70"/>
      <c r="L1044" s="71"/>
      <c r="M1044" s="58"/>
      <c r="N1044" s="72"/>
      <c r="O1044" s="72"/>
      <c r="P1044" s="63">
        <f t="shared" si="10"/>
        <v>1899</v>
      </c>
      <c r="Q1044" s="1"/>
      <c r="R1044" s="1"/>
      <c r="S1044" s="1"/>
      <c r="T1044" s="1"/>
      <c r="U1044" s="1"/>
      <c r="V1044" s="1"/>
      <c r="W1044" s="1"/>
      <c r="X1044" s="1"/>
    </row>
    <row r="1045">
      <c r="A1045" s="1"/>
      <c r="B1045" s="65"/>
      <c r="C1045" s="58"/>
      <c r="D1045" s="65"/>
      <c r="E1045" s="58"/>
      <c r="F1045" s="67"/>
      <c r="G1045" s="60"/>
      <c r="H1045" s="68">
        <f>COUNTIFS(Minifigures!$C$22:$C$1137,D1045)</f>
        <v>0</v>
      </c>
      <c r="I1045" s="60"/>
      <c r="J1045" s="79"/>
      <c r="K1045" s="70"/>
      <c r="L1045" s="71"/>
      <c r="M1045" s="58"/>
      <c r="N1045" s="72"/>
      <c r="O1045" s="72"/>
      <c r="P1045" s="63">
        <f t="shared" si="10"/>
        <v>1899</v>
      </c>
      <c r="Q1045" s="1"/>
      <c r="R1045" s="1"/>
      <c r="S1045" s="1"/>
      <c r="T1045" s="1"/>
      <c r="U1045" s="1"/>
      <c r="V1045" s="1"/>
      <c r="W1045" s="1"/>
      <c r="X1045" s="1"/>
    </row>
    <row r="1046">
      <c r="A1046" s="1"/>
      <c r="B1046" s="65"/>
      <c r="C1046" s="58"/>
      <c r="D1046" s="65"/>
      <c r="E1046" s="58"/>
      <c r="F1046" s="67"/>
      <c r="G1046" s="60"/>
      <c r="H1046" s="68">
        <f>COUNTIFS(Minifigures!$C$22:$C$1137,D1046)</f>
        <v>0</v>
      </c>
      <c r="I1046" s="60"/>
      <c r="J1046" s="79"/>
      <c r="K1046" s="70"/>
      <c r="L1046" s="71"/>
      <c r="M1046" s="58"/>
      <c r="N1046" s="72"/>
      <c r="O1046" s="72"/>
      <c r="P1046" s="63">
        <f t="shared" si="10"/>
        <v>1899</v>
      </c>
      <c r="Q1046" s="1"/>
      <c r="R1046" s="1"/>
      <c r="S1046" s="1"/>
      <c r="T1046" s="1"/>
      <c r="U1046" s="1"/>
      <c r="V1046" s="1"/>
      <c r="W1046" s="1"/>
      <c r="X1046" s="1"/>
    </row>
    <row r="1047">
      <c r="A1047" s="1"/>
      <c r="B1047" s="65"/>
      <c r="C1047" s="58"/>
      <c r="D1047" s="65"/>
      <c r="E1047" s="58"/>
      <c r="F1047" s="67"/>
      <c r="G1047" s="60"/>
      <c r="H1047" s="68">
        <f>COUNTIFS(Minifigures!$C$22:$C$1137,D1047)</f>
        <v>0</v>
      </c>
      <c r="I1047" s="60"/>
      <c r="J1047" s="79"/>
      <c r="K1047" s="70"/>
      <c r="L1047" s="71"/>
      <c r="M1047" s="58"/>
      <c r="N1047" s="72"/>
      <c r="O1047" s="72"/>
      <c r="P1047" s="63">
        <f t="shared" si="10"/>
        <v>1899</v>
      </c>
      <c r="Q1047" s="1"/>
      <c r="R1047" s="1"/>
      <c r="S1047" s="1"/>
      <c r="T1047" s="1"/>
      <c r="U1047" s="1"/>
      <c r="V1047" s="1"/>
      <c r="W1047" s="1"/>
      <c r="X1047" s="1"/>
    </row>
    <row r="1048">
      <c r="A1048" s="1"/>
      <c r="B1048" s="65"/>
      <c r="C1048" s="58"/>
      <c r="D1048" s="65"/>
      <c r="E1048" s="58"/>
      <c r="F1048" s="67"/>
      <c r="G1048" s="60"/>
      <c r="H1048" s="68">
        <f>COUNTIFS(Minifigures!$C$22:$C$1137,D1048)</f>
        <v>0</v>
      </c>
      <c r="I1048" s="60"/>
      <c r="J1048" s="79"/>
      <c r="K1048" s="70"/>
      <c r="L1048" s="71"/>
      <c r="M1048" s="58"/>
      <c r="N1048" s="72"/>
      <c r="O1048" s="72"/>
      <c r="P1048" s="63">
        <f t="shared" si="10"/>
        <v>1899</v>
      </c>
      <c r="Q1048" s="1"/>
      <c r="R1048" s="1"/>
      <c r="S1048" s="1"/>
      <c r="T1048" s="1"/>
      <c r="U1048" s="1"/>
      <c r="V1048" s="1"/>
      <c r="W1048" s="1"/>
      <c r="X1048" s="1"/>
    </row>
    <row r="1049">
      <c r="A1049" s="1"/>
      <c r="B1049" s="65"/>
      <c r="C1049" s="58"/>
      <c r="D1049" s="65"/>
      <c r="E1049" s="58"/>
      <c r="F1049" s="67"/>
      <c r="G1049" s="60"/>
      <c r="H1049" s="68">
        <f>COUNTIFS(Minifigures!$C$22:$C$1137,D1049)</f>
        <v>0</v>
      </c>
      <c r="I1049" s="60"/>
      <c r="J1049" s="79"/>
      <c r="K1049" s="70"/>
      <c r="L1049" s="71"/>
      <c r="M1049" s="58"/>
      <c r="N1049" s="72"/>
      <c r="O1049" s="72"/>
      <c r="P1049" s="63">
        <f t="shared" si="10"/>
        <v>1899</v>
      </c>
      <c r="Q1049" s="1"/>
      <c r="R1049" s="1"/>
      <c r="S1049" s="1"/>
      <c r="T1049" s="1"/>
      <c r="U1049" s="1"/>
      <c r="V1049" s="1"/>
      <c r="W1049" s="1"/>
      <c r="X1049" s="1"/>
    </row>
    <row r="1050">
      <c r="A1050" s="1"/>
      <c r="B1050" s="65"/>
      <c r="C1050" s="58"/>
      <c r="D1050" s="65"/>
      <c r="E1050" s="58"/>
      <c r="F1050" s="67"/>
      <c r="G1050" s="60"/>
      <c r="H1050" s="68">
        <f>COUNTIFS(Minifigures!$C$22:$C$1137,D1050)</f>
        <v>0</v>
      </c>
      <c r="I1050" s="60"/>
      <c r="J1050" s="79"/>
      <c r="K1050" s="70"/>
      <c r="L1050" s="71"/>
      <c r="M1050" s="58"/>
      <c r="N1050" s="72"/>
      <c r="O1050" s="72"/>
      <c r="P1050" s="63">
        <f t="shared" si="10"/>
        <v>1899</v>
      </c>
      <c r="Q1050" s="1"/>
      <c r="R1050" s="1"/>
      <c r="S1050" s="1"/>
      <c r="T1050" s="1"/>
      <c r="U1050" s="1"/>
      <c r="V1050" s="1"/>
      <c r="W1050" s="1"/>
      <c r="X1050" s="1"/>
    </row>
    <row r="1051">
      <c r="A1051" s="1"/>
      <c r="B1051" s="65"/>
      <c r="C1051" s="58"/>
      <c r="D1051" s="65"/>
      <c r="E1051" s="58"/>
      <c r="F1051" s="67"/>
      <c r="G1051" s="60"/>
      <c r="H1051" s="68">
        <f>COUNTIFS(Minifigures!$C$22:$C$1137,D1051)</f>
        <v>0</v>
      </c>
      <c r="I1051" s="60"/>
      <c r="J1051" s="79"/>
      <c r="K1051" s="70"/>
      <c r="L1051" s="71"/>
      <c r="M1051" s="58"/>
      <c r="N1051" s="72"/>
      <c r="O1051" s="72"/>
      <c r="P1051" s="63">
        <f t="shared" si="10"/>
        <v>1899</v>
      </c>
      <c r="Q1051" s="1"/>
      <c r="R1051" s="1"/>
      <c r="S1051" s="1"/>
      <c r="T1051" s="1"/>
      <c r="U1051" s="1"/>
      <c r="V1051" s="1"/>
      <c r="W1051" s="1"/>
      <c r="X1051" s="1"/>
    </row>
    <row r="1052">
      <c r="A1052" s="1"/>
      <c r="B1052" s="65"/>
      <c r="C1052" s="58"/>
      <c r="D1052" s="65"/>
      <c r="E1052" s="58"/>
      <c r="F1052" s="67"/>
      <c r="G1052" s="60"/>
      <c r="H1052" s="68">
        <f>COUNTIFS(Minifigures!$C$22:$C$1137,D1052)</f>
        <v>0</v>
      </c>
      <c r="I1052" s="60"/>
      <c r="J1052" s="79"/>
      <c r="K1052" s="70"/>
      <c r="L1052" s="71"/>
      <c r="M1052" s="58"/>
      <c r="N1052" s="72"/>
      <c r="O1052" s="72"/>
      <c r="P1052" s="63">
        <f t="shared" si="10"/>
        <v>1899</v>
      </c>
      <c r="Q1052" s="1"/>
      <c r="R1052" s="1"/>
      <c r="S1052" s="1"/>
      <c r="T1052" s="1"/>
      <c r="U1052" s="1"/>
      <c r="V1052" s="1"/>
      <c r="W1052" s="1"/>
      <c r="X1052" s="1"/>
    </row>
    <row r="1053">
      <c r="A1053" s="1"/>
      <c r="B1053" s="65"/>
      <c r="C1053" s="58"/>
      <c r="D1053" s="65"/>
      <c r="E1053" s="58"/>
      <c r="F1053" s="67"/>
      <c r="G1053" s="60"/>
      <c r="H1053" s="68">
        <f>COUNTIFS(Minifigures!$C$22:$C$1137,D1053)</f>
        <v>0</v>
      </c>
      <c r="I1053" s="60"/>
      <c r="J1053" s="79"/>
      <c r="K1053" s="70"/>
      <c r="L1053" s="71"/>
      <c r="M1053" s="58"/>
      <c r="N1053" s="72"/>
      <c r="O1053" s="72"/>
      <c r="P1053" s="63">
        <f t="shared" si="10"/>
        <v>1899</v>
      </c>
      <c r="Q1053" s="1"/>
      <c r="R1053" s="1"/>
      <c r="S1053" s="1"/>
      <c r="T1053" s="1"/>
      <c r="U1053" s="1"/>
      <c r="V1053" s="1"/>
      <c r="W1053" s="1"/>
      <c r="X1053" s="1"/>
    </row>
    <row r="1054">
      <c r="A1054" s="1"/>
      <c r="B1054" s="65"/>
      <c r="C1054" s="58"/>
      <c r="D1054" s="65"/>
      <c r="E1054" s="58"/>
      <c r="F1054" s="67"/>
      <c r="G1054" s="60"/>
      <c r="H1054" s="68">
        <f>COUNTIFS(Minifigures!$C$22:$C$1137,D1054)</f>
        <v>0</v>
      </c>
      <c r="I1054" s="60"/>
      <c r="J1054" s="79"/>
      <c r="K1054" s="70"/>
      <c r="L1054" s="71"/>
      <c r="M1054" s="58"/>
      <c r="N1054" s="72"/>
      <c r="O1054" s="72"/>
      <c r="P1054" s="63">
        <f t="shared" si="10"/>
        <v>1899</v>
      </c>
      <c r="Q1054" s="1"/>
      <c r="R1054" s="1"/>
      <c r="S1054" s="1"/>
      <c r="T1054" s="1"/>
      <c r="U1054" s="1"/>
      <c r="V1054" s="1"/>
      <c r="W1054" s="1"/>
      <c r="X1054" s="1"/>
    </row>
    <row r="1055">
      <c r="A1055" s="1"/>
      <c r="B1055" s="65"/>
      <c r="C1055" s="58"/>
      <c r="D1055" s="65"/>
      <c r="E1055" s="58"/>
      <c r="F1055" s="67"/>
      <c r="G1055" s="60"/>
      <c r="H1055" s="68">
        <f>COUNTIFS(Minifigures!$C$22:$C$1137,D1055)</f>
        <v>0</v>
      </c>
      <c r="I1055" s="60"/>
      <c r="J1055" s="79"/>
      <c r="K1055" s="70"/>
      <c r="L1055" s="71"/>
      <c r="M1055" s="58"/>
      <c r="N1055" s="72"/>
      <c r="O1055" s="72"/>
      <c r="P1055" s="63">
        <f t="shared" si="10"/>
        <v>1899</v>
      </c>
      <c r="Q1055" s="1"/>
      <c r="R1055" s="1"/>
      <c r="S1055" s="1"/>
      <c r="T1055" s="1"/>
      <c r="U1055" s="1"/>
      <c r="V1055" s="1"/>
      <c r="W1055" s="1"/>
      <c r="X1055" s="1"/>
    </row>
    <row r="1056">
      <c r="A1056" s="1"/>
      <c r="B1056" s="65"/>
      <c r="C1056" s="58"/>
      <c r="D1056" s="65"/>
      <c r="E1056" s="58"/>
      <c r="F1056" s="67"/>
      <c r="G1056" s="60"/>
      <c r="H1056" s="68">
        <f>COUNTIFS(Minifigures!$C$22:$C$1137,D1056)</f>
        <v>0</v>
      </c>
      <c r="I1056" s="60"/>
      <c r="J1056" s="79"/>
      <c r="K1056" s="70"/>
      <c r="L1056" s="71"/>
      <c r="M1056" s="58"/>
      <c r="N1056" s="72"/>
      <c r="O1056" s="72"/>
      <c r="P1056" s="63">
        <f t="shared" si="10"/>
        <v>1899</v>
      </c>
      <c r="Q1056" s="1"/>
      <c r="R1056" s="1"/>
      <c r="S1056" s="1"/>
      <c r="T1056" s="1"/>
      <c r="U1056" s="1"/>
      <c r="V1056" s="1"/>
      <c r="W1056" s="1"/>
      <c r="X1056" s="1"/>
    </row>
    <row r="1057">
      <c r="A1057" s="1"/>
      <c r="B1057" s="65"/>
      <c r="C1057" s="58"/>
      <c r="D1057" s="65"/>
      <c r="E1057" s="58"/>
      <c r="F1057" s="67"/>
      <c r="G1057" s="60"/>
      <c r="H1057" s="68">
        <f>COUNTIFS(Minifigures!$C$22:$C$1137,D1057)</f>
        <v>0</v>
      </c>
      <c r="I1057" s="60"/>
      <c r="J1057" s="79"/>
      <c r="K1057" s="70"/>
      <c r="L1057" s="71"/>
      <c r="M1057" s="58"/>
      <c r="N1057" s="72"/>
      <c r="O1057" s="72"/>
      <c r="P1057" s="63">
        <f t="shared" si="10"/>
        <v>1899</v>
      </c>
      <c r="Q1057" s="1"/>
      <c r="R1057" s="1"/>
      <c r="S1057" s="1"/>
      <c r="T1057" s="1"/>
      <c r="U1057" s="1"/>
      <c r="V1057" s="1"/>
      <c r="W1057" s="1"/>
      <c r="X1057" s="1"/>
    </row>
    <row r="1058">
      <c r="A1058" s="1"/>
      <c r="B1058" s="65"/>
      <c r="C1058" s="58"/>
      <c r="D1058" s="65"/>
      <c r="E1058" s="58"/>
      <c r="F1058" s="67"/>
      <c r="G1058" s="60"/>
      <c r="H1058" s="68">
        <f>COUNTIFS(Minifigures!$C$22:$C$1137,D1058)</f>
        <v>0</v>
      </c>
      <c r="I1058" s="60"/>
      <c r="J1058" s="79"/>
      <c r="K1058" s="70"/>
      <c r="L1058" s="71"/>
      <c r="M1058" s="58"/>
      <c r="N1058" s="72"/>
      <c r="O1058" s="72"/>
      <c r="P1058" s="63">
        <f t="shared" si="10"/>
        <v>1899</v>
      </c>
      <c r="Q1058" s="1"/>
      <c r="R1058" s="1"/>
      <c r="S1058" s="1"/>
      <c r="T1058" s="1"/>
      <c r="U1058" s="1"/>
      <c r="V1058" s="1"/>
      <c r="W1058" s="1"/>
      <c r="X1058" s="1"/>
    </row>
    <row r="1059">
      <c r="A1059" s="1"/>
      <c r="B1059" s="65"/>
      <c r="C1059" s="58"/>
      <c r="D1059" s="65"/>
      <c r="E1059" s="58"/>
      <c r="F1059" s="67"/>
      <c r="G1059" s="60"/>
      <c r="H1059" s="68">
        <f>COUNTIFS(Minifigures!$C$22:$C$1137,D1059)</f>
        <v>0</v>
      </c>
      <c r="I1059" s="60"/>
      <c r="J1059" s="79"/>
      <c r="K1059" s="70"/>
      <c r="L1059" s="71"/>
      <c r="M1059" s="58"/>
      <c r="N1059" s="72"/>
      <c r="O1059" s="72"/>
      <c r="P1059" s="63">
        <f t="shared" si="10"/>
        <v>1899</v>
      </c>
      <c r="Q1059" s="1"/>
      <c r="R1059" s="1"/>
      <c r="S1059" s="1"/>
      <c r="T1059" s="1"/>
      <c r="U1059" s="1"/>
      <c r="V1059" s="1"/>
      <c r="W1059" s="1"/>
      <c r="X1059" s="1"/>
    </row>
    <row r="1060">
      <c r="A1060" s="1"/>
      <c r="B1060" s="65"/>
      <c r="C1060" s="58"/>
      <c r="D1060" s="65"/>
      <c r="E1060" s="58"/>
      <c r="F1060" s="67"/>
      <c r="G1060" s="60"/>
      <c r="H1060" s="68">
        <f>COUNTIFS(Minifigures!$C$22:$C$1137,D1060)</f>
        <v>0</v>
      </c>
      <c r="I1060" s="60"/>
      <c r="J1060" s="79"/>
      <c r="K1060" s="70"/>
      <c r="L1060" s="71"/>
      <c r="M1060" s="58"/>
      <c r="N1060" s="72"/>
      <c r="O1060" s="72"/>
      <c r="P1060" s="63">
        <f t="shared" si="10"/>
        <v>1899</v>
      </c>
      <c r="Q1060" s="1"/>
      <c r="R1060" s="1"/>
      <c r="S1060" s="1"/>
      <c r="T1060" s="1"/>
      <c r="U1060" s="1"/>
      <c r="V1060" s="1"/>
      <c r="W1060" s="1"/>
      <c r="X1060" s="1"/>
    </row>
    <row r="1061">
      <c r="A1061" s="1"/>
      <c r="B1061" s="65"/>
      <c r="C1061" s="58"/>
      <c r="D1061" s="65"/>
      <c r="E1061" s="58"/>
      <c r="F1061" s="67"/>
      <c r="G1061" s="60"/>
      <c r="H1061" s="68">
        <f>COUNTIFS(Minifigures!$C$22:$C$1137,D1061)</f>
        <v>0</v>
      </c>
      <c r="I1061" s="60"/>
      <c r="J1061" s="79"/>
      <c r="K1061" s="70"/>
      <c r="L1061" s="71"/>
      <c r="M1061" s="58"/>
      <c r="N1061" s="72"/>
      <c r="O1061" s="72"/>
      <c r="P1061" s="63">
        <f t="shared" si="10"/>
        <v>1899</v>
      </c>
      <c r="Q1061" s="1"/>
      <c r="R1061" s="1"/>
      <c r="S1061" s="1"/>
      <c r="T1061" s="1"/>
      <c r="U1061" s="1"/>
      <c r="V1061" s="1"/>
      <c r="W1061" s="1"/>
      <c r="X1061" s="1"/>
    </row>
    <row r="1062">
      <c r="A1062" s="1"/>
      <c r="B1062" s="65"/>
      <c r="C1062" s="58"/>
      <c r="D1062" s="65"/>
      <c r="E1062" s="58"/>
      <c r="F1062" s="67"/>
      <c r="G1062" s="60"/>
      <c r="H1062" s="68">
        <f>COUNTIFS(Minifigures!$C$22:$C$1137,D1062)</f>
        <v>0</v>
      </c>
      <c r="I1062" s="60"/>
      <c r="J1062" s="79"/>
      <c r="K1062" s="70"/>
      <c r="L1062" s="71"/>
      <c r="M1062" s="58"/>
      <c r="N1062" s="72"/>
      <c r="O1062" s="72"/>
      <c r="P1062" s="63">
        <f t="shared" si="10"/>
        <v>1899</v>
      </c>
      <c r="Q1062" s="1"/>
      <c r="R1062" s="1"/>
      <c r="S1062" s="1"/>
      <c r="T1062" s="1"/>
      <c r="U1062" s="1"/>
      <c r="V1062" s="1"/>
      <c r="W1062" s="1"/>
      <c r="X1062" s="1"/>
    </row>
    <row r="1063">
      <c r="A1063" s="1"/>
      <c r="B1063" s="65"/>
      <c r="C1063" s="58"/>
      <c r="D1063" s="65"/>
      <c r="E1063" s="58"/>
      <c r="F1063" s="67"/>
      <c r="G1063" s="60"/>
      <c r="H1063" s="68">
        <f>COUNTIFS(Minifigures!$C$22:$C$1137,D1063)</f>
        <v>0</v>
      </c>
      <c r="I1063" s="60"/>
      <c r="J1063" s="79"/>
      <c r="K1063" s="70"/>
      <c r="L1063" s="71"/>
      <c r="M1063" s="58"/>
      <c r="N1063" s="72"/>
      <c r="O1063" s="72"/>
      <c r="P1063" s="63">
        <f t="shared" si="10"/>
        <v>1899</v>
      </c>
      <c r="Q1063" s="1"/>
      <c r="R1063" s="1"/>
      <c r="S1063" s="1"/>
      <c r="T1063" s="1"/>
      <c r="U1063" s="1"/>
      <c r="V1063" s="1"/>
      <c r="W1063" s="1"/>
      <c r="X1063" s="1"/>
    </row>
    <row r="1064">
      <c r="A1064" s="1"/>
      <c r="B1064" s="65"/>
      <c r="C1064" s="58"/>
      <c r="D1064" s="65"/>
      <c r="E1064" s="58"/>
      <c r="F1064" s="67"/>
      <c r="G1064" s="60"/>
      <c r="H1064" s="68">
        <f>COUNTIFS(Minifigures!$C$22:$C$1137,D1064)</f>
        <v>0</v>
      </c>
      <c r="I1064" s="60"/>
      <c r="J1064" s="79"/>
      <c r="K1064" s="70"/>
      <c r="L1064" s="71"/>
      <c r="M1064" s="58"/>
      <c r="N1064" s="72"/>
      <c r="O1064" s="72"/>
      <c r="P1064" s="63">
        <f t="shared" si="10"/>
        <v>1899</v>
      </c>
      <c r="Q1064" s="1"/>
      <c r="R1064" s="1"/>
      <c r="S1064" s="1"/>
      <c r="T1064" s="1"/>
      <c r="U1064" s="1"/>
      <c r="V1064" s="1"/>
      <c r="W1064" s="1"/>
      <c r="X1064" s="1"/>
    </row>
    <row r="1065">
      <c r="A1065" s="1"/>
      <c r="B1065" s="65"/>
      <c r="C1065" s="58"/>
      <c r="D1065" s="65"/>
      <c r="E1065" s="58"/>
      <c r="F1065" s="67"/>
      <c r="G1065" s="60"/>
      <c r="H1065" s="68">
        <f>COUNTIFS(Minifigures!$C$22:$C$1137,D1065)</f>
        <v>0</v>
      </c>
      <c r="I1065" s="60"/>
      <c r="J1065" s="79"/>
      <c r="K1065" s="70"/>
      <c r="L1065" s="71"/>
      <c r="M1065" s="58"/>
      <c r="N1065" s="72"/>
      <c r="O1065" s="72"/>
      <c r="P1065" s="63">
        <f t="shared" si="10"/>
        <v>1899</v>
      </c>
      <c r="Q1065" s="1"/>
      <c r="R1065" s="1"/>
      <c r="S1065" s="1"/>
      <c r="T1065" s="1"/>
      <c r="U1065" s="1"/>
      <c r="V1065" s="1"/>
      <c r="W1065" s="1"/>
      <c r="X1065" s="1"/>
    </row>
    <row r="1066">
      <c r="A1066" s="1"/>
      <c r="B1066" s="65"/>
      <c r="C1066" s="58"/>
      <c r="D1066" s="65"/>
      <c r="E1066" s="58"/>
      <c r="F1066" s="67"/>
      <c r="G1066" s="60"/>
      <c r="H1066" s="68">
        <f>COUNTIFS(Minifigures!$C$22:$C$1137,D1066)</f>
        <v>0</v>
      </c>
      <c r="I1066" s="60"/>
      <c r="J1066" s="79"/>
      <c r="K1066" s="70"/>
      <c r="L1066" s="71"/>
      <c r="M1066" s="58"/>
      <c r="N1066" s="72"/>
      <c r="O1066" s="72"/>
      <c r="P1066" s="63">
        <f t="shared" si="10"/>
        <v>1899</v>
      </c>
      <c r="Q1066" s="1"/>
      <c r="R1066" s="1"/>
      <c r="S1066" s="1"/>
      <c r="T1066" s="1"/>
      <c r="U1066" s="1"/>
      <c r="V1066" s="1"/>
      <c r="W1066" s="1"/>
      <c r="X1066" s="1"/>
    </row>
    <row r="1067">
      <c r="A1067" s="1"/>
      <c r="B1067" s="65"/>
      <c r="C1067" s="58"/>
      <c r="D1067" s="65"/>
      <c r="E1067" s="58"/>
      <c r="F1067" s="67"/>
      <c r="G1067" s="60"/>
      <c r="H1067" s="68">
        <f>COUNTIFS(Minifigures!$C$22:$C$1137,D1067)</f>
        <v>0</v>
      </c>
      <c r="I1067" s="60"/>
      <c r="J1067" s="79"/>
      <c r="K1067" s="70"/>
      <c r="L1067" s="71"/>
      <c r="M1067" s="58"/>
      <c r="N1067" s="72"/>
      <c r="O1067" s="72"/>
      <c r="P1067" s="63">
        <f t="shared" si="10"/>
        <v>1899</v>
      </c>
      <c r="Q1067" s="1"/>
      <c r="R1067" s="1"/>
      <c r="S1067" s="1"/>
      <c r="T1067" s="1"/>
      <c r="U1067" s="1"/>
      <c r="V1067" s="1"/>
      <c r="W1067" s="1"/>
      <c r="X1067" s="1"/>
    </row>
    <row r="1068">
      <c r="A1068" s="1"/>
      <c r="B1068" s="65"/>
      <c r="C1068" s="58"/>
      <c r="D1068" s="65"/>
      <c r="E1068" s="58"/>
      <c r="F1068" s="67"/>
      <c r="G1068" s="60"/>
      <c r="H1068" s="68">
        <f>COUNTIFS(Minifigures!$C$22:$C$1137,D1068)</f>
        <v>0</v>
      </c>
      <c r="I1068" s="60"/>
      <c r="J1068" s="79"/>
      <c r="K1068" s="70"/>
      <c r="L1068" s="71"/>
      <c r="M1068" s="58"/>
      <c r="N1068" s="72"/>
      <c r="O1068" s="72"/>
      <c r="P1068" s="63">
        <f t="shared" si="10"/>
        <v>1899</v>
      </c>
      <c r="Q1068" s="1"/>
      <c r="R1068" s="1"/>
      <c r="S1068" s="1"/>
      <c r="T1068" s="1"/>
      <c r="U1068" s="1"/>
      <c r="V1068" s="1"/>
      <c r="W1068" s="1"/>
      <c r="X1068" s="1"/>
    </row>
    <row r="1069">
      <c r="A1069" s="1"/>
      <c r="B1069" s="65"/>
      <c r="C1069" s="58"/>
      <c r="D1069" s="65"/>
      <c r="E1069" s="58"/>
      <c r="F1069" s="67"/>
      <c r="G1069" s="60"/>
      <c r="H1069" s="68">
        <f>COUNTIFS(Minifigures!$C$22:$C$1137,D1069)</f>
        <v>0</v>
      </c>
      <c r="I1069" s="60"/>
      <c r="J1069" s="79"/>
      <c r="K1069" s="70"/>
      <c r="L1069" s="71"/>
      <c r="M1069" s="58"/>
      <c r="N1069" s="72"/>
      <c r="O1069" s="72"/>
      <c r="P1069" s="63">
        <f t="shared" si="10"/>
        <v>1899</v>
      </c>
      <c r="Q1069" s="1"/>
      <c r="R1069" s="1"/>
      <c r="S1069" s="1"/>
      <c r="T1069" s="1"/>
      <c r="U1069" s="1"/>
      <c r="V1069" s="1"/>
      <c r="W1069" s="1"/>
      <c r="X1069" s="1"/>
    </row>
    <row r="1070">
      <c r="A1070" s="1"/>
      <c r="B1070" s="65"/>
      <c r="C1070" s="58"/>
      <c r="D1070" s="65"/>
      <c r="E1070" s="58"/>
      <c r="F1070" s="67"/>
      <c r="G1070" s="60"/>
      <c r="H1070" s="68">
        <f>COUNTIFS(Minifigures!$C$22:$C$1137,D1070)</f>
        <v>0</v>
      </c>
      <c r="I1070" s="60"/>
      <c r="J1070" s="79"/>
      <c r="K1070" s="70"/>
      <c r="L1070" s="71"/>
      <c r="M1070" s="58"/>
      <c r="N1070" s="72"/>
      <c r="O1070" s="72"/>
      <c r="P1070" s="63">
        <f t="shared" si="10"/>
        <v>1899</v>
      </c>
      <c r="Q1070" s="1"/>
      <c r="R1070" s="1"/>
      <c r="S1070" s="1"/>
      <c r="T1070" s="1"/>
      <c r="U1070" s="1"/>
      <c r="V1070" s="1"/>
      <c r="W1070" s="1"/>
      <c r="X1070" s="1"/>
    </row>
    <row r="1071">
      <c r="A1071" s="1"/>
      <c r="B1071" s="65"/>
      <c r="C1071" s="58"/>
      <c r="D1071" s="65"/>
      <c r="E1071" s="58"/>
      <c r="F1071" s="67"/>
      <c r="G1071" s="60"/>
      <c r="H1071" s="68">
        <f>COUNTIFS(Minifigures!$C$22:$C$1137,D1071)</f>
        <v>0</v>
      </c>
      <c r="I1071" s="60"/>
      <c r="J1071" s="79"/>
      <c r="K1071" s="70"/>
      <c r="L1071" s="71"/>
      <c r="M1071" s="58"/>
      <c r="N1071" s="72"/>
      <c r="O1071" s="72"/>
      <c r="P1071" s="63">
        <f t="shared" si="10"/>
        <v>1899</v>
      </c>
      <c r="Q1071" s="1"/>
      <c r="R1071" s="1"/>
      <c r="S1071" s="1"/>
      <c r="T1071" s="1"/>
      <c r="U1071" s="1"/>
      <c r="V1071" s="1"/>
      <c r="W1071" s="1"/>
      <c r="X1071" s="1"/>
    </row>
    <row r="1072">
      <c r="A1072" s="1"/>
      <c r="B1072" s="65"/>
      <c r="C1072" s="58"/>
      <c r="D1072" s="65"/>
      <c r="E1072" s="58"/>
      <c r="F1072" s="67"/>
      <c r="G1072" s="60"/>
      <c r="H1072" s="68">
        <f>COUNTIFS(Minifigures!$C$22:$C$1137,D1072)</f>
        <v>0</v>
      </c>
      <c r="I1072" s="60"/>
      <c r="J1072" s="79"/>
      <c r="K1072" s="70"/>
      <c r="L1072" s="71"/>
      <c r="M1072" s="58"/>
      <c r="N1072" s="72"/>
      <c r="O1072" s="72"/>
      <c r="P1072" s="63">
        <f t="shared" si="10"/>
        <v>1899</v>
      </c>
      <c r="Q1072" s="1"/>
      <c r="R1072" s="1"/>
      <c r="S1072" s="1"/>
      <c r="T1072" s="1"/>
      <c r="U1072" s="1"/>
      <c r="V1072" s="1"/>
      <c r="W1072" s="1"/>
      <c r="X1072" s="1"/>
    </row>
    <row r="1073">
      <c r="A1073" s="1"/>
      <c r="B1073" s="65"/>
      <c r="C1073" s="58"/>
      <c r="D1073" s="65"/>
      <c r="E1073" s="58"/>
      <c r="F1073" s="67"/>
      <c r="G1073" s="60"/>
      <c r="H1073" s="68">
        <f>COUNTIFS(Minifigures!$C$22:$C$1137,D1073)</f>
        <v>0</v>
      </c>
      <c r="I1073" s="60"/>
      <c r="J1073" s="79"/>
      <c r="K1073" s="70"/>
      <c r="L1073" s="71"/>
      <c r="M1073" s="58"/>
      <c r="N1073" s="72"/>
      <c r="O1073" s="72"/>
      <c r="P1073" s="63">
        <f t="shared" si="10"/>
        <v>1899</v>
      </c>
      <c r="Q1073" s="1"/>
      <c r="R1073" s="1"/>
      <c r="S1073" s="1"/>
      <c r="T1073" s="1"/>
      <c r="U1073" s="1"/>
      <c r="V1073" s="1"/>
      <c r="W1073" s="1"/>
      <c r="X1073" s="1"/>
    </row>
  </sheetData>
  <autoFilter ref="$B$21:$P$1073">
    <sortState ref="B21:P1073">
      <sortCondition ref="B21:B1073"/>
      <sortCondition ref="D21:D1073"/>
      <sortCondition ref="C21:C1073"/>
      <sortCondition ref="L21:L1073"/>
      <sortCondition descending="1" ref="H21:H1073"/>
    </sortState>
  </autoFilter>
  <mergeCells count="5273">
    <mergeCell ref="B919:C919"/>
    <mergeCell ref="D919:E919"/>
    <mergeCell ref="F919:G919"/>
    <mergeCell ref="H919:I919"/>
    <mergeCell ref="D920:E920"/>
    <mergeCell ref="F920:G920"/>
    <mergeCell ref="H920:I920"/>
    <mergeCell ref="B920:C920"/>
    <mergeCell ref="B921:C921"/>
    <mergeCell ref="D921:E921"/>
    <mergeCell ref="F921:G921"/>
    <mergeCell ref="H921:I921"/>
    <mergeCell ref="B922:C922"/>
    <mergeCell ref="D922:E922"/>
    <mergeCell ref="B927:C927"/>
    <mergeCell ref="D927:E927"/>
    <mergeCell ref="F927:G927"/>
    <mergeCell ref="H927:I927"/>
    <mergeCell ref="D928:E928"/>
    <mergeCell ref="F928:G928"/>
    <mergeCell ref="H928:I928"/>
    <mergeCell ref="B928:C928"/>
    <mergeCell ref="B929:C929"/>
    <mergeCell ref="D929:E929"/>
    <mergeCell ref="F929:G929"/>
    <mergeCell ref="H929:I929"/>
    <mergeCell ref="B930:C930"/>
    <mergeCell ref="D930:E930"/>
    <mergeCell ref="D932:E932"/>
    <mergeCell ref="F932:G932"/>
    <mergeCell ref="F930:G930"/>
    <mergeCell ref="H930:I930"/>
    <mergeCell ref="B931:C931"/>
    <mergeCell ref="D931:E931"/>
    <mergeCell ref="F931:G931"/>
    <mergeCell ref="H931:I931"/>
    <mergeCell ref="H932:I932"/>
    <mergeCell ref="F934:G934"/>
    <mergeCell ref="H934:I934"/>
    <mergeCell ref="B932:C932"/>
    <mergeCell ref="B933:C933"/>
    <mergeCell ref="D933:E933"/>
    <mergeCell ref="F933:G933"/>
    <mergeCell ref="H933:I933"/>
    <mergeCell ref="B934:C934"/>
    <mergeCell ref="D934:E934"/>
    <mergeCell ref="B935:C935"/>
    <mergeCell ref="D935:E935"/>
    <mergeCell ref="F935:G935"/>
    <mergeCell ref="H935:I935"/>
    <mergeCell ref="D936:E936"/>
    <mergeCell ref="F936:G936"/>
    <mergeCell ref="H936:I936"/>
    <mergeCell ref="B936:C936"/>
    <mergeCell ref="B937:C937"/>
    <mergeCell ref="D937:E937"/>
    <mergeCell ref="F937:G937"/>
    <mergeCell ref="H937:I937"/>
    <mergeCell ref="B938:C938"/>
    <mergeCell ref="D938:E938"/>
    <mergeCell ref="D940:E940"/>
    <mergeCell ref="F940:G940"/>
    <mergeCell ref="F938:G938"/>
    <mergeCell ref="H938:I938"/>
    <mergeCell ref="B939:C939"/>
    <mergeCell ref="D939:E939"/>
    <mergeCell ref="F939:G939"/>
    <mergeCell ref="H939:I939"/>
    <mergeCell ref="H940:I940"/>
    <mergeCell ref="F942:G942"/>
    <mergeCell ref="H942:I942"/>
    <mergeCell ref="B940:C940"/>
    <mergeCell ref="B941:C941"/>
    <mergeCell ref="D941:E941"/>
    <mergeCell ref="F941:G941"/>
    <mergeCell ref="H941:I941"/>
    <mergeCell ref="B942:C942"/>
    <mergeCell ref="D942:E942"/>
    <mergeCell ref="B943:C943"/>
    <mergeCell ref="D943:E943"/>
    <mergeCell ref="F943:G943"/>
    <mergeCell ref="H943:I943"/>
    <mergeCell ref="D944:E944"/>
    <mergeCell ref="F944:G944"/>
    <mergeCell ref="H944:I944"/>
    <mergeCell ref="B944:C944"/>
    <mergeCell ref="B945:C945"/>
    <mergeCell ref="D945:E945"/>
    <mergeCell ref="F945:G945"/>
    <mergeCell ref="H945:I945"/>
    <mergeCell ref="B946:C946"/>
    <mergeCell ref="D946:E946"/>
    <mergeCell ref="D948:E948"/>
    <mergeCell ref="F948:G948"/>
    <mergeCell ref="F946:G946"/>
    <mergeCell ref="H946:I946"/>
    <mergeCell ref="B947:C947"/>
    <mergeCell ref="D947:E947"/>
    <mergeCell ref="F947:G947"/>
    <mergeCell ref="H947:I947"/>
    <mergeCell ref="H948:I948"/>
    <mergeCell ref="F950:G950"/>
    <mergeCell ref="H950:I950"/>
    <mergeCell ref="B948:C948"/>
    <mergeCell ref="B949:C949"/>
    <mergeCell ref="D949:E949"/>
    <mergeCell ref="F949:G949"/>
    <mergeCell ref="H949:I949"/>
    <mergeCell ref="B950:C950"/>
    <mergeCell ref="D950:E950"/>
    <mergeCell ref="B951:C951"/>
    <mergeCell ref="D951:E951"/>
    <mergeCell ref="F951:G951"/>
    <mergeCell ref="H951:I951"/>
    <mergeCell ref="D952:E952"/>
    <mergeCell ref="F952:G952"/>
    <mergeCell ref="H952:I952"/>
    <mergeCell ref="B952:C952"/>
    <mergeCell ref="B953:C953"/>
    <mergeCell ref="D953:E953"/>
    <mergeCell ref="F953:G953"/>
    <mergeCell ref="H953:I953"/>
    <mergeCell ref="B954:C954"/>
    <mergeCell ref="D954:E954"/>
    <mergeCell ref="D956:E956"/>
    <mergeCell ref="F956:G956"/>
    <mergeCell ref="F954:G954"/>
    <mergeCell ref="H954:I954"/>
    <mergeCell ref="B955:C955"/>
    <mergeCell ref="D955:E955"/>
    <mergeCell ref="F955:G955"/>
    <mergeCell ref="H955:I955"/>
    <mergeCell ref="H956:I956"/>
    <mergeCell ref="F958:G958"/>
    <mergeCell ref="H958:I958"/>
    <mergeCell ref="B956:C956"/>
    <mergeCell ref="B957:C957"/>
    <mergeCell ref="D957:E957"/>
    <mergeCell ref="F957:G957"/>
    <mergeCell ref="H957:I957"/>
    <mergeCell ref="B958:C958"/>
    <mergeCell ref="D958:E958"/>
    <mergeCell ref="D964:E964"/>
    <mergeCell ref="F964:G964"/>
    <mergeCell ref="F962:G962"/>
    <mergeCell ref="H962:I962"/>
    <mergeCell ref="B963:C963"/>
    <mergeCell ref="D963:E963"/>
    <mergeCell ref="F963:G963"/>
    <mergeCell ref="H963:I963"/>
    <mergeCell ref="H964:I964"/>
    <mergeCell ref="B959:C959"/>
    <mergeCell ref="D959:E959"/>
    <mergeCell ref="F959:G959"/>
    <mergeCell ref="H959:I959"/>
    <mergeCell ref="D960:E960"/>
    <mergeCell ref="F960:G960"/>
    <mergeCell ref="H960:I960"/>
    <mergeCell ref="B960:C960"/>
    <mergeCell ref="B961:C961"/>
    <mergeCell ref="D961:E961"/>
    <mergeCell ref="F961:G961"/>
    <mergeCell ref="H961:I961"/>
    <mergeCell ref="B962:C962"/>
    <mergeCell ref="D962:E962"/>
    <mergeCell ref="F966:G966"/>
    <mergeCell ref="H966:I966"/>
    <mergeCell ref="B964:C964"/>
    <mergeCell ref="B965:C965"/>
    <mergeCell ref="D965:E965"/>
    <mergeCell ref="F965:G965"/>
    <mergeCell ref="H965:I965"/>
    <mergeCell ref="B966:C966"/>
    <mergeCell ref="D966:E966"/>
    <mergeCell ref="B967:C967"/>
    <mergeCell ref="D967:E967"/>
    <mergeCell ref="F967:G967"/>
    <mergeCell ref="H967:I967"/>
    <mergeCell ref="D968:E968"/>
    <mergeCell ref="F968:G968"/>
    <mergeCell ref="H968:I968"/>
    <mergeCell ref="B968:C968"/>
    <mergeCell ref="B969:C969"/>
    <mergeCell ref="D969:E969"/>
    <mergeCell ref="F969:G969"/>
    <mergeCell ref="H969:I969"/>
    <mergeCell ref="B970:C970"/>
    <mergeCell ref="D970:E970"/>
    <mergeCell ref="D972:E972"/>
    <mergeCell ref="F972:G972"/>
    <mergeCell ref="F970:G970"/>
    <mergeCell ref="H970:I970"/>
    <mergeCell ref="B971:C971"/>
    <mergeCell ref="D971:E971"/>
    <mergeCell ref="F971:G971"/>
    <mergeCell ref="H971:I971"/>
    <mergeCell ref="H972:I972"/>
    <mergeCell ref="F974:G974"/>
    <mergeCell ref="H974:I974"/>
    <mergeCell ref="B972:C972"/>
    <mergeCell ref="B973:C973"/>
    <mergeCell ref="D973:E973"/>
    <mergeCell ref="F973:G973"/>
    <mergeCell ref="H973:I973"/>
    <mergeCell ref="B974:C974"/>
    <mergeCell ref="D974:E974"/>
    <mergeCell ref="D980:E980"/>
    <mergeCell ref="F980:G980"/>
    <mergeCell ref="F978:G978"/>
    <mergeCell ref="H978:I978"/>
    <mergeCell ref="B979:C979"/>
    <mergeCell ref="D979:E979"/>
    <mergeCell ref="F979:G979"/>
    <mergeCell ref="H979:I979"/>
    <mergeCell ref="H980:I980"/>
    <mergeCell ref="F982:G982"/>
    <mergeCell ref="H982:I982"/>
    <mergeCell ref="B980:C980"/>
    <mergeCell ref="B981:C981"/>
    <mergeCell ref="D981:E981"/>
    <mergeCell ref="F981:G981"/>
    <mergeCell ref="H981:I981"/>
    <mergeCell ref="B982:C982"/>
    <mergeCell ref="D982:E982"/>
    <mergeCell ref="B975:C975"/>
    <mergeCell ref="D975:E975"/>
    <mergeCell ref="F975:G975"/>
    <mergeCell ref="H975:I975"/>
    <mergeCell ref="D976:E976"/>
    <mergeCell ref="F976:G976"/>
    <mergeCell ref="H976:I976"/>
    <mergeCell ref="B976:C976"/>
    <mergeCell ref="B977:C977"/>
    <mergeCell ref="D977:E977"/>
    <mergeCell ref="F977:G977"/>
    <mergeCell ref="H977:I977"/>
    <mergeCell ref="B978:C978"/>
    <mergeCell ref="D978:E978"/>
    <mergeCell ref="B983:C983"/>
    <mergeCell ref="D983:E983"/>
    <mergeCell ref="F983:G983"/>
    <mergeCell ref="H983:I983"/>
    <mergeCell ref="D984:E984"/>
    <mergeCell ref="F984:G984"/>
    <mergeCell ref="H984:I984"/>
    <mergeCell ref="B984:C984"/>
    <mergeCell ref="B985:C985"/>
    <mergeCell ref="D985:E985"/>
    <mergeCell ref="F985:G985"/>
    <mergeCell ref="H985:I985"/>
    <mergeCell ref="B986:C986"/>
    <mergeCell ref="D986:E986"/>
    <mergeCell ref="D988:E988"/>
    <mergeCell ref="F988:G988"/>
    <mergeCell ref="F986:G986"/>
    <mergeCell ref="H986:I986"/>
    <mergeCell ref="B987:C987"/>
    <mergeCell ref="D987:E987"/>
    <mergeCell ref="F987:G987"/>
    <mergeCell ref="H987:I987"/>
    <mergeCell ref="H988:I988"/>
    <mergeCell ref="F990:G990"/>
    <mergeCell ref="H990:I990"/>
    <mergeCell ref="B988:C988"/>
    <mergeCell ref="B989:C989"/>
    <mergeCell ref="D989:E989"/>
    <mergeCell ref="F989:G989"/>
    <mergeCell ref="H989:I989"/>
    <mergeCell ref="B990:C990"/>
    <mergeCell ref="D990:E990"/>
    <mergeCell ref="B991:C991"/>
    <mergeCell ref="D991:E991"/>
    <mergeCell ref="F991:G991"/>
    <mergeCell ref="H991:I991"/>
    <mergeCell ref="D992:E992"/>
    <mergeCell ref="F992:G992"/>
    <mergeCell ref="H992:I992"/>
    <mergeCell ref="B992:C992"/>
    <mergeCell ref="B993:C993"/>
    <mergeCell ref="D993:E993"/>
    <mergeCell ref="F993:G993"/>
    <mergeCell ref="H993:I993"/>
    <mergeCell ref="B994:C994"/>
    <mergeCell ref="D994:E994"/>
    <mergeCell ref="D996:E996"/>
    <mergeCell ref="F996:G996"/>
    <mergeCell ref="F994:G994"/>
    <mergeCell ref="H994:I994"/>
    <mergeCell ref="B995:C995"/>
    <mergeCell ref="D995:E995"/>
    <mergeCell ref="F995:G995"/>
    <mergeCell ref="H995:I995"/>
    <mergeCell ref="H996:I996"/>
    <mergeCell ref="F998:G998"/>
    <mergeCell ref="H998:I998"/>
    <mergeCell ref="B996:C996"/>
    <mergeCell ref="B997:C997"/>
    <mergeCell ref="D997:E997"/>
    <mergeCell ref="F997:G997"/>
    <mergeCell ref="H997:I997"/>
    <mergeCell ref="B998:C998"/>
    <mergeCell ref="D998:E998"/>
    <mergeCell ref="B999:C999"/>
    <mergeCell ref="D999:E999"/>
    <mergeCell ref="F999:G999"/>
    <mergeCell ref="H999:I999"/>
    <mergeCell ref="D1000:E1000"/>
    <mergeCell ref="F1000:G1000"/>
    <mergeCell ref="H1000:I1000"/>
    <mergeCell ref="B1000:C1000"/>
    <mergeCell ref="B1001:C1001"/>
    <mergeCell ref="D1001:E1001"/>
    <mergeCell ref="F1001:G1001"/>
    <mergeCell ref="H1001:I1001"/>
    <mergeCell ref="B1002:C1002"/>
    <mergeCell ref="D1002:E1002"/>
    <mergeCell ref="D1004:E1004"/>
    <mergeCell ref="F1004:G1004"/>
    <mergeCell ref="F1002:G1002"/>
    <mergeCell ref="H1002:I1002"/>
    <mergeCell ref="B1003:C1003"/>
    <mergeCell ref="D1003:E1003"/>
    <mergeCell ref="F1003:G1003"/>
    <mergeCell ref="H1003:I1003"/>
    <mergeCell ref="H1004:I1004"/>
    <mergeCell ref="F1006:G1006"/>
    <mergeCell ref="H1006:I1006"/>
    <mergeCell ref="B1004:C1004"/>
    <mergeCell ref="B1005:C1005"/>
    <mergeCell ref="D1005:E1005"/>
    <mergeCell ref="F1005:G1005"/>
    <mergeCell ref="H1005:I1005"/>
    <mergeCell ref="B1006:C1006"/>
    <mergeCell ref="D1006:E1006"/>
    <mergeCell ref="B1007:C1007"/>
    <mergeCell ref="D1007:E1007"/>
    <mergeCell ref="F1007:G1007"/>
    <mergeCell ref="H1007:I1007"/>
    <mergeCell ref="D1008:E1008"/>
    <mergeCell ref="F1008:G1008"/>
    <mergeCell ref="H1008:I1008"/>
    <mergeCell ref="B1008:C1008"/>
    <mergeCell ref="B1009:C1009"/>
    <mergeCell ref="D1009:E1009"/>
    <mergeCell ref="F1009:G1009"/>
    <mergeCell ref="H1009:I1009"/>
    <mergeCell ref="B1010:C1010"/>
    <mergeCell ref="D1010:E1010"/>
    <mergeCell ref="D1012:E1012"/>
    <mergeCell ref="F1012:G1012"/>
    <mergeCell ref="F1010:G1010"/>
    <mergeCell ref="H1010:I1010"/>
    <mergeCell ref="B1011:C1011"/>
    <mergeCell ref="D1011:E1011"/>
    <mergeCell ref="F1011:G1011"/>
    <mergeCell ref="H1011:I1011"/>
    <mergeCell ref="H1012:I1012"/>
    <mergeCell ref="F1014:G1014"/>
    <mergeCell ref="H1014:I1014"/>
    <mergeCell ref="B1012:C1012"/>
    <mergeCell ref="B1013:C1013"/>
    <mergeCell ref="D1013:E1013"/>
    <mergeCell ref="F1013:G1013"/>
    <mergeCell ref="H1013:I1013"/>
    <mergeCell ref="B1014:C1014"/>
    <mergeCell ref="D1014:E1014"/>
    <mergeCell ref="D1020:E1020"/>
    <mergeCell ref="F1020:G1020"/>
    <mergeCell ref="F1018:G1018"/>
    <mergeCell ref="H1018:I1018"/>
    <mergeCell ref="B1019:C1019"/>
    <mergeCell ref="D1019:E1019"/>
    <mergeCell ref="F1019:G1019"/>
    <mergeCell ref="H1019:I1019"/>
    <mergeCell ref="H1020:I1020"/>
    <mergeCell ref="B1015:C1015"/>
    <mergeCell ref="D1015:E1015"/>
    <mergeCell ref="F1015:G1015"/>
    <mergeCell ref="H1015:I1015"/>
    <mergeCell ref="D1016:E1016"/>
    <mergeCell ref="F1016:G1016"/>
    <mergeCell ref="H1016:I1016"/>
    <mergeCell ref="B1016:C1016"/>
    <mergeCell ref="B1017:C1017"/>
    <mergeCell ref="D1017:E1017"/>
    <mergeCell ref="F1017:G1017"/>
    <mergeCell ref="H1017:I1017"/>
    <mergeCell ref="B1018:C1018"/>
    <mergeCell ref="D1018:E1018"/>
    <mergeCell ref="F1022:G1022"/>
    <mergeCell ref="H1022:I1022"/>
    <mergeCell ref="B1020:C1020"/>
    <mergeCell ref="B1021:C1021"/>
    <mergeCell ref="D1021:E1021"/>
    <mergeCell ref="F1021:G1021"/>
    <mergeCell ref="H1021:I1021"/>
    <mergeCell ref="B1022:C1022"/>
    <mergeCell ref="D1022:E1022"/>
    <mergeCell ref="B1023:C1023"/>
    <mergeCell ref="D1023:E1023"/>
    <mergeCell ref="F1023:G1023"/>
    <mergeCell ref="H1023:I1023"/>
    <mergeCell ref="D1024:E1024"/>
    <mergeCell ref="F1024:G1024"/>
    <mergeCell ref="H1024:I1024"/>
    <mergeCell ref="B1024:C1024"/>
    <mergeCell ref="B1025:C1025"/>
    <mergeCell ref="D1025:E1025"/>
    <mergeCell ref="F1025:G1025"/>
    <mergeCell ref="H1025:I1025"/>
    <mergeCell ref="B1026:C1026"/>
    <mergeCell ref="D1026:E1026"/>
    <mergeCell ref="D1028:E1028"/>
    <mergeCell ref="F1028:G1028"/>
    <mergeCell ref="F1026:G1026"/>
    <mergeCell ref="H1026:I1026"/>
    <mergeCell ref="B1027:C1027"/>
    <mergeCell ref="D1027:E1027"/>
    <mergeCell ref="F1027:G1027"/>
    <mergeCell ref="H1027:I1027"/>
    <mergeCell ref="H1028:I1028"/>
    <mergeCell ref="F1030:G1030"/>
    <mergeCell ref="H1030:I1030"/>
    <mergeCell ref="B1028:C1028"/>
    <mergeCell ref="B1029:C1029"/>
    <mergeCell ref="D1029:E1029"/>
    <mergeCell ref="F1029:G1029"/>
    <mergeCell ref="H1029:I1029"/>
    <mergeCell ref="B1030:C1030"/>
    <mergeCell ref="D1030:E1030"/>
    <mergeCell ref="D1036:E1036"/>
    <mergeCell ref="F1036:G1036"/>
    <mergeCell ref="F1034:G1034"/>
    <mergeCell ref="H1034:I1034"/>
    <mergeCell ref="B1035:C1035"/>
    <mergeCell ref="D1035:E1035"/>
    <mergeCell ref="F1035:G1035"/>
    <mergeCell ref="H1035:I1035"/>
    <mergeCell ref="H1036:I1036"/>
    <mergeCell ref="F1038:G1038"/>
    <mergeCell ref="H1038:I1038"/>
    <mergeCell ref="B1036:C1036"/>
    <mergeCell ref="B1037:C1037"/>
    <mergeCell ref="D1037:E1037"/>
    <mergeCell ref="F1037:G1037"/>
    <mergeCell ref="H1037:I1037"/>
    <mergeCell ref="B1038:C1038"/>
    <mergeCell ref="D1038:E1038"/>
    <mergeCell ref="B1055:C1055"/>
    <mergeCell ref="D1055:E1055"/>
    <mergeCell ref="F1055:G1055"/>
    <mergeCell ref="H1055:I1055"/>
    <mergeCell ref="D1056:E1056"/>
    <mergeCell ref="F1056:G1056"/>
    <mergeCell ref="H1056:I1056"/>
    <mergeCell ref="B1056:C1056"/>
    <mergeCell ref="B1057:C1057"/>
    <mergeCell ref="D1057:E1057"/>
    <mergeCell ref="F1057:G1057"/>
    <mergeCell ref="H1057:I1057"/>
    <mergeCell ref="B1058:C1058"/>
    <mergeCell ref="D1058:E1058"/>
    <mergeCell ref="D1060:E1060"/>
    <mergeCell ref="F1060:G1060"/>
    <mergeCell ref="F1058:G1058"/>
    <mergeCell ref="H1058:I1058"/>
    <mergeCell ref="B1059:C1059"/>
    <mergeCell ref="D1059:E1059"/>
    <mergeCell ref="F1059:G1059"/>
    <mergeCell ref="H1059:I1059"/>
    <mergeCell ref="H1060:I1060"/>
    <mergeCell ref="F1062:G1062"/>
    <mergeCell ref="H1062:I1062"/>
    <mergeCell ref="B1060:C1060"/>
    <mergeCell ref="B1061:C1061"/>
    <mergeCell ref="D1061:E1061"/>
    <mergeCell ref="F1061:G1061"/>
    <mergeCell ref="H1061:I1061"/>
    <mergeCell ref="B1062:C1062"/>
    <mergeCell ref="D1062:E1062"/>
    <mergeCell ref="B1063:C1063"/>
    <mergeCell ref="D1063:E1063"/>
    <mergeCell ref="F1063:G1063"/>
    <mergeCell ref="H1063:I1063"/>
    <mergeCell ref="D1064:E1064"/>
    <mergeCell ref="F1064:G1064"/>
    <mergeCell ref="H1064:I1064"/>
    <mergeCell ref="B1064:C1064"/>
    <mergeCell ref="B1065:C1065"/>
    <mergeCell ref="D1065:E1065"/>
    <mergeCell ref="F1065:G1065"/>
    <mergeCell ref="H1065:I1065"/>
    <mergeCell ref="B1066:C1066"/>
    <mergeCell ref="D1066:E1066"/>
    <mergeCell ref="D1068:E1068"/>
    <mergeCell ref="F1068:G1068"/>
    <mergeCell ref="F1066:G1066"/>
    <mergeCell ref="H1066:I1066"/>
    <mergeCell ref="B1067:C1067"/>
    <mergeCell ref="D1067:E1067"/>
    <mergeCell ref="F1067:G1067"/>
    <mergeCell ref="H1067:I1067"/>
    <mergeCell ref="H1068:I1068"/>
    <mergeCell ref="F1070:G1070"/>
    <mergeCell ref="H1070:I1070"/>
    <mergeCell ref="B1068:C1068"/>
    <mergeCell ref="B1069:C1069"/>
    <mergeCell ref="D1069:E1069"/>
    <mergeCell ref="F1069:G1069"/>
    <mergeCell ref="H1069:I1069"/>
    <mergeCell ref="B1070:C1070"/>
    <mergeCell ref="D1070:E1070"/>
    <mergeCell ref="B27:C27"/>
    <mergeCell ref="D27:E27"/>
    <mergeCell ref="F27:G27"/>
    <mergeCell ref="H27:I27"/>
    <mergeCell ref="D28:E28"/>
    <mergeCell ref="F28:G28"/>
    <mergeCell ref="H28:I28"/>
    <mergeCell ref="B28:C28"/>
    <mergeCell ref="B29:C29"/>
    <mergeCell ref="D29:E29"/>
    <mergeCell ref="F29:G29"/>
    <mergeCell ref="H29:I29"/>
    <mergeCell ref="B30:C30"/>
    <mergeCell ref="D30:E30"/>
    <mergeCell ref="B31:C31"/>
    <mergeCell ref="D31:E31"/>
    <mergeCell ref="F31:G31"/>
    <mergeCell ref="H31:I31"/>
    <mergeCell ref="D32:E32"/>
    <mergeCell ref="F32:G32"/>
    <mergeCell ref="H32:I32"/>
    <mergeCell ref="F34:G34"/>
    <mergeCell ref="H34:I34"/>
    <mergeCell ref="B32:C32"/>
    <mergeCell ref="B33:C33"/>
    <mergeCell ref="D33:E33"/>
    <mergeCell ref="F33:G33"/>
    <mergeCell ref="H33:I33"/>
    <mergeCell ref="B34:C34"/>
    <mergeCell ref="D34:E34"/>
    <mergeCell ref="F38:G38"/>
    <mergeCell ref="H38:I38"/>
    <mergeCell ref="B1072:C1072"/>
    <mergeCell ref="B1073:C1073"/>
    <mergeCell ref="D1073:E1073"/>
    <mergeCell ref="F1073:G1073"/>
    <mergeCell ref="H1073:I1073"/>
    <mergeCell ref="B1071:C1071"/>
    <mergeCell ref="D1071:E1071"/>
    <mergeCell ref="F1071:G1071"/>
    <mergeCell ref="H1071:I1071"/>
    <mergeCell ref="D1072:E1072"/>
    <mergeCell ref="F1072:G1072"/>
    <mergeCell ref="H1072:I1072"/>
    <mergeCell ref="B1031:C1031"/>
    <mergeCell ref="D1031:E1031"/>
    <mergeCell ref="F1031:G1031"/>
    <mergeCell ref="H1031:I1031"/>
    <mergeCell ref="D1032:E1032"/>
    <mergeCell ref="F1032:G1032"/>
    <mergeCell ref="H1032:I1032"/>
    <mergeCell ref="B1032:C1032"/>
    <mergeCell ref="B1033:C1033"/>
    <mergeCell ref="D1033:E1033"/>
    <mergeCell ref="F1033:G1033"/>
    <mergeCell ref="H1033:I1033"/>
    <mergeCell ref="B1034:C1034"/>
    <mergeCell ref="D1034:E1034"/>
    <mergeCell ref="B1039:C1039"/>
    <mergeCell ref="D1039:E1039"/>
    <mergeCell ref="F1039:G1039"/>
    <mergeCell ref="H1039:I1039"/>
    <mergeCell ref="D1040:E1040"/>
    <mergeCell ref="F1040:G1040"/>
    <mergeCell ref="H1040:I1040"/>
    <mergeCell ref="B1040:C1040"/>
    <mergeCell ref="B1041:C1041"/>
    <mergeCell ref="D1041:E1041"/>
    <mergeCell ref="F1041:G1041"/>
    <mergeCell ref="H1041:I1041"/>
    <mergeCell ref="B1042:C1042"/>
    <mergeCell ref="D1042:E1042"/>
    <mergeCell ref="D1044:E1044"/>
    <mergeCell ref="F1044:G1044"/>
    <mergeCell ref="F1042:G1042"/>
    <mergeCell ref="H1042:I1042"/>
    <mergeCell ref="B1043:C1043"/>
    <mergeCell ref="D1043:E1043"/>
    <mergeCell ref="F1043:G1043"/>
    <mergeCell ref="H1043:I1043"/>
    <mergeCell ref="H1044:I1044"/>
    <mergeCell ref="F1046:G1046"/>
    <mergeCell ref="H1046:I1046"/>
    <mergeCell ref="B1044:C1044"/>
    <mergeCell ref="B1045:C1045"/>
    <mergeCell ref="D1045:E1045"/>
    <mergeCell ref="F1045:G1045"/>
    <mergeCell ref="H1045:I1045"/>
    <mergeCell ref="B1046:C1046"/>
    <mergeCell ref="D1046:E1046"/>
    <mergeCell ref="B1047:C1047"/>
    <mergeCell ref="D1047:E1047"/>
    <mergeCell ref="F1047:G1047"/>
    <mergeCell ref="H1047:I1047"/>
    <mergeCell ref="D1048:E1048"/>
    <mergeCell ref="F1048:G1048"/>
    <mergeCell ref="H1048:I1048"/>
    <mergeCell ref="B1048:C1048"/>
    <mergeCell ref="B1049:C1049"/>
    <mergeCell ref="D1049:E1049"/>
    <mergeCell ref="F1049:G1049"/>
    <mergeCell ref="H1049:I1049"/>
    <mergeCell ref="B1050:C1050"/>
    <mergeCell ref="D1050:E1050"/>
    <mergeCell ref="D1052:E1052"/>
    <mergeCell ref="F1052:G1052"/>
    <mergeCell ref="F1050:G1050"/>
    <mergeCell ref="H1050:I1050"/>
    <mergeCell ref="B1051:C1051"/>
    <mergeCell ref="D1051:E1051"/>
    <mergeCell ref="F1051:G1051"/>
    <mergeCell ref="H1051:I1051"/>
    <mergeCell ref="H1052:I1052"/>
    <mergeCell ref="F1054:G1054"/>
    <mergeCell ref="H1054:I1054"/>
    <mergeCell ref="B1052:C1052"/>
    <mergeCell ref="B1053:C1053"/>
    <mergeCell ref="D1053:E1053"/>
    <mergeCell ref="F1053:G1053"/>
    <mergeCell ref="H1053:I1053"/>
    <mergeCell ref="B1054:C1054"/>
    <mergeCell ref="D1054:E1054"/>
    <mergeCell ref="B791:C791"/>
    <mergeCell ref="D791:E791"/>
    <mergeCell ref="F791:G791"/>
    <mergeCell ref="H791:I791"/>
    <mergeCell ref="D792:E792"/>
    <mergeCell ref="F792:G792"/>
    <mergeCell ref="H792:I792"/>
    <mergeCell ref="B792:C792"/>
    <mergeCell ref="B793:C793"/>
    <mergeCell ref="D793:E793"/>
    <mergeCell ref="F793:G793"/>
    <mergeCell ref="H793:I793"/>
    <mergeCell ref="B794:C794"/>
    <mergeCell ref="D794:E794"/>
    <mergeCell ref="F798:G798"/>
    <mergeCell ref="H798:I798"/>
    <mergeCell ref="B796:C796"/>
    <mergeCell ref="B797:C797"/>
    <mergeCell ref="D797:E797"/>
    <mergeCell ref="F797:G797"/>
    <mergeCell ref="H797:I797"/>
    <mergeCell ref="B798:C798"/>
    <mergeCell ref="D798:E798"/>
    <mergeCell ref="B799:C799"/>
    <mergeCell ref="D799:E799"/>
    <mergeCell ref="F799:G799"/>
    <mergeCell ref="H799:I799"/>
    <mergeCell ref="D800:E800"/>
    <mergeCell ref="F800:G800"/>
    <mergeCell ref="H800:I800"/>
    <mergeCell ref="B800:C800"/>
    <mergeCell ref="B801:C801"/>
    <mergeCell ref="D801:E801"/>
    <mergeCell ref="F801:G801"/>
    <mergeCell ref="H801:I801"/>
    <mergeCell ref="B802:C802"/>
    <mergeCell ref="D802:E802"/>
    <mergeCell ref="D804:E804"/>
    <mergeCell ref="F804:G804"/>
    <mergeCell ref="F802:G802"/>
    <mergeCell ref="H802:I802"/>
    <mergeCell ref="B803:C803"/>
    <mergeCell ref="D803:E803"/>
    <mergeCell ref="F803:G803"/>
    <mergeCell ref="H803:I803"/>
    <mergeCell ref="H804:I804"/>
    <mergeCell ref="F806:G806"/>
    <mergeCell ref="H806:I806"/>
    <mergeCell ref="B804:C804"/>
    <mergeCell ref="B805:C805"/>
    <mergeCell ref="D805:E805"/>
    <mergeCell ref="F805:G805"/>
    <mergeCell ref="H805:I805"/>
    <mergeCell ref="B806:C806"/>
    <mergeCell ref="D806:E806"/>
    <mergeCell ref="D812:E812"/>
    <mergeCell ref="F812:G812"/>
    <mergeCell ref="F810:G810"/>
    <mergeCell ref="H810:I810"/>
    <mergeCell ref="B811:C811"/>
    <mergeCell ref="D811:E811"/>
    <mergeCell ref="F811:G811"/>
    <mergeCell ref="H811:I811"/>
    <mergeCell ref="H812:I812"/>
    <mergeCell ref="F814:G814"/>
    <mergeCell ref="H814:I814"/>
    <mergeCell ref="B812:C812"/>
    <mergeCell ref="B813:C813"/>
    <mergeCell ref="D813:E813"/>
    <mergeCell ref="F813:G813"/>
    <mergeCell ref="H813:I813"/>
    <mergeCell ref="B814:C814"/>
    <mergeCell ref="D814:E814"/>
    <mergeCell ref="B807:C807"/>
    <mergeCell ref="D807:E807"/>
    <mergeCell ref="F807:G807"/>
    <mergeCell ref="H807:I807"/>
    <mergeCell ref="D808:E808"/>
    <mergeCell ref="F808:G808"/>
    <mergeCell ref="H808:I808"/>
    <mergeCell ref="B808:C808"/>
    <mergeCell ref="B809:C809"/>
    <mergeCell ref="D809:E809"/>
    <mergeCell ref="F809:G809"/>
    <mergeCell ref="H809:I809"/>
    <mergeCell ref="B810:C810"/>
    <mergeCell ref="D810:E810"/>
    <mergeCell ref="B815:C815"/>
    <mergeCell ref="D815:E815"/>
    <mergeCell ref="F815:G815"/>
    <mergeCell ref="H815:I815"/>
    <mergeCell ref="D816:E816"/>
    <mergeCell ref="F816:G816"/>
    <mergeCell ref="H816:I816"/>
    <mergeCell ref="B816:C816"/>
    <mergeCell ref="B817:C817"/>
    <mergeCell ref="D817:E817"/>
    <mergeCell ref="F817:G817"/>
    <mergeCell ref="H817:I817"/>
    <mergeCell ref="B818:C818"/>
    <mergeCell ref="D818:E818"/>
    <mergeCell ref="D820:E820"/>
    <mergeCell ref="F820:G820"/>
    <mergeCell ref="F818:G818"/>
    <mergeCell ref="H818:I818"/>
    <mergeCell ref="B819:C819"/>
    <mergeCell ref="D819:E819"/>
    <mergeCell ref="F819:G819"/>
    <mergeCell ref="H819:I819"/>
    <mergeCell ref="H820:I820"/>
    <mergeCell ref="F822:G822"/>
    <mergeCell ref="H822:I822"/>
    <mergeCell ref="B820:C820"/>
    <mergeCell ref="B821:C821"/>
    <mergeCell ref="D821:E821"/>
    <mergeCell ref="F821:G821"/>
    <mergeCell ref="H821:I821"/>
    <mergeCell ref="B822:C822"/>
    <mergeCell ref="D822:E822"/>
    <mergeCell ref="B823:C823"/>
    <mergeCell ref="D823:E823"/>
    <mergeCell ref="F823:G823"/>
    <mergeCell ref="H823:I823"/>
    <mergeCell ref="D824:E824"/>
    <mergeCell ref="F824:G824"/>
    <mergeCell ref="H824:I824"/>
    <mergeCell ref="B824:C824"/>
    <mergeCell ref="B825:C825"/>
    <mergeCell ref="D825:E825"/>
    <mergeCell ref="F825:G825"/>
    <mergeCell ref="H825:I825"/>
    <mergeCell ref="B826:C826"/>
    <mergeCell ref="D826:E826"/>
    <mergeCell ref="D828:E828"/>
    <mergeCell ref="F828:G828"/>
    <mergeCell ref="F826:G826"/>
    <mergeCell ref="H826:I826"/>
    <mergeCell ref="B827:C827"/>
    <mergeCell ref="D827:E827"/>
    <mergeCell ref="F827:G827"/>
    <mergeCell ref="H827:I827"/>
    <mergeCell ref="H828:I828"/>
    <mergeCell ref="F830:G830"/>
    <mergeCell ref="H830:I830"/>
    <mergeCell ref="B828:C828"/>
    <mergeCell ref="B829:C829"/>
    <mergeCell ref="D829:E829"/>
    <mergeCell ref="F829:G829"/>
    <mergeCell ref="H829:I829"/>
    <mergeCell ref="B830:C830"/>
    <mergeCell ref="D830:E830"/>
    <mergeCell ref="B831:C831"/>
    <mergeCell ref="D831:E831"/>
    <mergeCell ref="F831:G831"/>
    <mergeCell ref="H831:I831"/>
    <mergeCell ref="D832:E832"/>
    <mergeCell ref="F832:G832"/>
    <mergeCell ref="H832:I832"/>
    <mergeCell ref="B832:C832"/>
    <mergeCell ref="B833:C833"/>
    <mergeCell ref="D833:E833"/>
    <mergeCell ref="F833:G833"/>
    <mergeCell ref="H833:I833"/>
    <mergeCell ref="B834:C834"/>
    <mergeCell ref="D834:E834"/>
    <mergeCell ref="D836:E836"/>
    <mergeCell ref="F836:G836"/>
    <mergeCell ref="F834:G834"/>
    <mergeCell ref="H834:I834"/>
    <mergeCell ref="B835:C835"/>
    <mergeCell ref="D835:E835"/>
    <mergeCell ref="F835:G835"/>
    <mergeCell ref="H835:I835"/>
    <mergeCell ref="H836:I836"/>
    <mergeCell ref="F838:G838"/>
    <mergeCell ref="H838:I838"/>
    <mergeCell ref="B836:C836"/>
    <mergeCell ref="B837:C837"/>
    <mergeCell ref="D837:E837"/>
    <mergeCell ref="F837:G837"/>
    <mergeCell ref="H837:I837"/>
    <mergeCell ref="B838:C838"/>
    <mergeCell ref="D838:E838"/>
    <mergeCell ref="B839:C839"/>
    <mergeCell ref="D839:E839"/>
    <mergeCell ref="F839:G839"/>
    <mergeCell ref="H839:I839"/>
    <mergeCell ref="D840:E840"/>
    <mergeCell ref="F840:G840"/>
    <mergeCell ref="H840:I840"/>
    <mergeCell ref="B840:C840"/>
    <mergeCell ref="B841:C841"/>
    <mergeCell ref="D841:E841"/>
    <mergeCell ref="F841:G841"/>
    <mergeCell ref="H841:I841"/>
    <mergeCell ref="B842:C842"/>
    <mergeCell ref="D842:E842"/>
    <mergeCell ref="D844:E844"/>
    <mergeCell ref="F844:G844"/>
    <mergeCell ref="F842:G842"/>
    <mergeCell ref="H842:I842"/>
    <mergeCell ref="B843:C843"/>
    <mergeCell ref="D843:E843"/>
    <mergeCell ref="F843:G843"/>
    <mergeCell ref="H843:I843"/>
    <mergeCell ref="H844:I844"/>
    <mergeCell ref="F846:G846"/>
    <mergeCell ref="H846:I846"/>
    <mergeCell ref="B844:C844"/>
    <mergeCell ref="B845:C845"/>
    <mergeCell ref="D845:E845"/>
    <mergeCell ref="F845:G845"/>
    <mergeCell ref="H845:I845"/>
    <mergeCell ref="B846:C846"/>
    <mergeCell ref="D846:E846"/>
    <mergeCell ref="D852:E852"/>
    <mergeCell ref="F852:G852"/>
    <mergeCell ref="F850:G850"/>
    <mergeCell ref="H850:I850"/>
    <mergeCell ref="B851:C851"/>
    <mergeCell ref="D851:E851"/>
    <mergeCell ref="F851:G851"/>
    <mergeCell ref="H851:I851"/>
    <mergeCell ref="H852:I852"/>
    <mergeCell ref="B847:C847"/>
    <mergeCell ref="D847:E847"/>
    <mergeCell ref="F847:G847"/>
    <mergeCell ref="H847:I847"/>
    <mergeCell ref="D848:E848"/>
    <mergeCell ref="F848:G848"/>
    <mergeCell ref="H848:I848"/>
    <mergeCell ref="B848:C848"/>
    <mergeCell ref="B849:C849"/>
    <mergeCell ref="D849:E849"/>
    <mergeCell ref="F849:G849"/>
    <mergeCell ref="H849:I849"/>
    <mergeCell ref="B850:C850"/>
    <mergeCell ref="D850:E850"/>
    <mergeCell ref="F854:G854"/>
    <mergeCell ref="H854:I854"/>
    <mergeCell ref="B852:C852"/>
    <mergeCell ref="B853:C853"/>
    <mergeCell ref="D853:E853"/>
    <mergeCell ref="F853:G853"/>
    <mergeCell ref="H853:I853"/>
    <mergeCell ref="B854:C854"/>
    <mergeCell ref="D854:E854"/>
    <mergeCell ref="B855:C855"/>
    <mergeCell ref="D855:E855"/>
    <mergeCell ref="F855:G855"/>
    <mergeCell ref="H855:I855"/>
    <mergeCell ref="D856:E856"/>
    <mergeCell ref="F856:G856"/>
    <mergeCell ref="H856:I856"/>
    <mergeCell ref="B856:C856"/>
    <mergeCell ref="B857:C857"/>
    <mergeCell ref="D857:E857"/>
    <mergeCell ref="F857:G857"/>
    <mergeCell ref="H857:I857"/>
    <mergeCell ref="B858:C858"/>
    <mergeCell ref="D858:E858"/>
    <mergeCell ref="D860:E860"/>
    <mergeCell ref="F860:G860"/>
    <mergeCell ref="F858:G858"/>
    <mergeCell ref="H858:I858"/>
    <mergeCell ref="B859:C859"/>
    <mergeCell ref="D859:E859"/>
    <mergeCell ref="F859:G859"/>
    <mergeCell ref="H859:I859"/>
    <mergeCell ref="H860:I860"/>
    <mergeCell ref="F862:G862"/>
    <mergeCell ref="H862:I862"/>
    <mergeCell ref="B860:C860"/>
    <mergeCell ref="B861:C861"/>
    <mergeCell ref="D861:E861"/>
    <mergeCell ref="F861:G861"/>
    <mergeCell ref="H861:I861"/>
    <mergeCell ref="B862:C862"/>
    <mergeCell ref="D862:E862"/>
    <mergeCell ref="D868:E868"/>
    <mergeCell ref="F868:G868"/>
    <mergeCell ref="F866:G866"/>
    <mergeCell ref="H866:I866"/>
    <mergeCell ref="B867:C867"/>
    <mergeCell ref="D867:E867"/>
    <mergeCell ref="F867:G867"/>
    <mergeCell ref="H867:I867"/>
    <mergeCell ref="H868:I868"/>
    <mergeCell ref="F870:G870"/>
    <mergeCell ref="H870:I870"/>
    <mergeCell ref="B868:C868"/>
    <mergeCell ref="B869:C869"/>
    <mergeCell ref="D869:E869"/>
    <mergeCell ref="F869:G869"/>
    <mergeCell ref="H869:I869"/>
    <mergeCell ref="B870:C870"/>
    <mergeCell ref="D870:E870"/>
    <mergeCell ref="B863:C863"/>
    <mergeCell ref="D863:E863"/>
    <mergeCell ref="F863:G863"/>
    <mergeCell ref="H863:I863"/>
    <mergeCell ref="D864:E864"/>
    <mergeCell ref="F864:G864"/>
    <mergeCell ref="H864:I864"/>
    <mergeCell ref="B864:C864"/>
    <mergeCell ref="B865:C865"/>
    <mergeCell ref="D865:E865"/>
    <mergeCell ref="F865:G865"/>
    <mergeCell ref="H865:I865"/>
    <mergeCell ref="B866:C866"/>
    <mergeCell ref="D866:E866"/>
    <mergeCell ref="B871:C871"/>
    <mergeCell ref="D871:E871"/>
    <mergeCell ref="F871:G871"/>
    <mergeCell ref="H871:I871"/>
    <mergeCell ref="D872:E872"/>
    <mergeCell ref="F872:G872"/>
    <mergeCell ref="H872:I872"/>
    <mergeCell ref="B872:C872"/>
    <mergeCell ref="B873:C873"/>
    <mergeCell ref="D873:E873"/>
    <mergeCell ref="F873:G873"/>
    <mergeCell ref="H873:I873"/>
    <mergeCell ref="B874:C874"/>
    <mergeCell ref="D874:E874"/>
    <mergeCell ref="D876:E876"/>
    <mergeCell ref="F876:G876"/>
    <mergeCell ref="F874:G874"/>
    <mergeCell ref="H874:I874"/>
    <mergeCell ref="B875:C875"/>
    <mergeCell ref="D875:E875"/>
    <mergeCell ref="F875:G875"/>
    <mergeCell ref="H875:I875"/>
    <mergeCell ref="H876:I876"/>
    <mergeCell ref="F878:G878"/>
    <mergeCell ref="H878:I878"/>
    <mergeCell ref="B876:C876"/>
    <mergeCell ref="B877:C877"/>
    <mergeCell ref="D877:E877"/>
    <mergeCell ref="F877:G877"/>
    <mergeCell ref="H877:I877"/>
    <mergeCell ref="B878:C878"/>
    <mergeCell ref="D878:E878"/>
    <mergeCell ref="B879:C879"/>
    <mergeCell ref="D879:E879"/>
    <mergeCell ref="F879:G879"/>
    <mergeCell ref="H879:I879"/>
    <mergeCell ref="D880:E880"/>
    <mergeCell ref="F880:G880"/>
    <mergeCell ref="H880:I880"/>
    <mergeCell ref="B880:C880"/>
    <mergeCell ref="B881:C881"/>
    <mergeCell ref="D881:E881"/>
    <mergeCell ref="F881:G881"/>
    <mergeCell ref="H881:I881"/>
    <mergeCell ref="B882:C882"/>
    <mergeCell ref="D882:E882"/>
    <mergeCell ref="D884:E884"/>
    <mergeCell ref="F884:G884"/>
    <mergeCell ref="F882:G882"/>
    <mergeCell ref="H882:I882"/>
    <mergeCell ref="B883:C883"/>
    <mergeCell ref="D883:E883"/>
    <mergeCell ref="F883:G883"/>
    <mergeCell ref="H883:I883"/>
    <mergeCell ref="H884:I884"/>
    <mergeCell ref="F886:G886"/>
    <mergeCell ref="H886:I886"/>
    <mergeCell ref="B884:C884"/>
    <mergeCell ref="B885:C885"/>
    <mergeCell ref="D885:E885"/>
    <mergeCell ref="F885:G885"/>
    <mergeCell ref="H885:I885"/>
    <mergeCell ref="B886:C886"/>
    <mergeCell ref="D886:E886"/>
    <mergeCell ref="B887:C887"/>
    <mergeCell ref="D887:E887"/>
    <mergeCell ref="F887:G887"/>
    <mergeCell ref="H887:I887"/>
    <mergeCell ref="D888:E888"/>
    <mergeCell ref="F888:G888"/>
    <mergeCell ref="H888:I888"/>
    <mergeCell ref="B888:C888"/>
    <mergeCell ref="B889:C889"/>
    <mergeCell ref="D889:E889"/>
    <mergeCell ref="F889:G889"/>
    <mergeCell ref="H889:I889"/>
    <mergeCell ref="B890:C890"/>
    <mergeCell ref="D890:E890"/>
    <mergeCell ref="D892:E892"/>
    <mergeCell ref="F892:G892"/>
    <mergeCell ref="F890:G890"/>
    <mergeCell ref="H890:I890"/>
    <mergeCell ref="B891:C891"/>
    <mergeCell ref="D891:E891"/>
    <mergeCell ref="F891:G891"/>
    <mergeCell ref="H891:I891"/>
    <mergeCell ref="H892:I892"/>
    <mergeCell ref="F894:G894"/>
    <mergeCell ref="H894:I894"/>
    <mergeCell ref="B892:C892"/>
    <mergeCell ref="B893:C893"/>
    <mergeCell ref="D893:E893"/>
    <mergeCell ref="F893:G893"/>
    <mergeCell ref="H893:I893"/>
    <mergeCell ref="B894:C894"/>
    <mergeCell ref="D894:E894"/>
    <mergeCell ref="B895:C895"/>
    <mergeCell ref="D895:E895"/>
    <mergeCell ref="F895:G895"/>
    <mergeCell ref="H895:I895"/>
    <mergeCell ref="D896:E896"/>
    <mergeCell ref="F896:G896"/>
    <mergeCell ref="H896:I896"/>
    <mergeCell ref="B896:C896"/>
    <mergeCell ref="B897:C897"/>
    <mergeCell ref="D897:E897"/>
    <mergeCell ref="F897:G897"/>
    <mergeCell ref="H897:I897"/>
    <mergeCell ref="B898:C898"/>
    <mergeCell ref="D898:E898"/>
    <mergeCell ref="D900:E900"/>
    <mergeCell ref="F900:G900"/>
    <mergeCell ref="F898:G898"/>
    <mergeCell ref="H898:I898"/>
    <mergeCell ref="B899:C899"/>
    <mergeCell ref="D899:E899"/>
    <mergeCell ref="F899:G899"/>
    <mergeCell ref="H899:I899"/>
    <mergeCell ref="H900:I900"/>
    <mergeCell ref="F902:G902"/>
    <mergeCell ref="H902:I902"/>
    <mergeCell ref="B900:C900"/>
    <mergeCell ref="B901:C901"/>
    <mergeCell ref="D901:E901"/>
    <mergeCell ref="F901:G901"/>
    <mergeCell ref="H901:I901"/>
    <mergeCell ref="B902:C902"/>
    <mergeCell ref="D902:E902"/>
    <mergeCell ref="D908:E908"/>
    <mergeCell ref="F908:G908"/>
    <mergeCell ref="F906:G906"/>
    <mergeCell ref="H906:I906"/>
    <mergeCell ref="B907:C907"/>
    <mergeCell ref="D907:E907"/>
    <mergeCell ref="F907:G907"/>
    <mergeCell ref="H907:I907"/>
    <mergeCell ref="H908:I908"/>
    <mergeCell ref="B903:C903"/>
    <mergeCell ref="D903:E903"/>
    <mergeCell ref="F903:G903"/>
    <mergeCell ref="H903:I903"/>
    <mergeCell ref="D904:E904"/>
    <mergeCell ref="F904:G904"/>
    <mergeCell ref="H904:I904"/>
    <mergeCell ref="B904:C904"/>
    <mergeCell ref="B905:C905"/>
    <mergeCell ref="D905:E905"/>
    <mergeCell ref="F905:G905"/>
    <mergeCell ref="H905:I905"/>
    <mergeCell ref="B906:C906"/>
    <mergeCell ref="D906:E906"/>
    <mergeCell ref="F910:G910"/>
    <mergeCell ref="H910:I910"/>
    <mergeCell ref="B908:C908"/>
    <mergeCell ref="B909:C909"/>
    <mergeCell ref="D909:E909"/>
    <mergeCell ref="F909:G909"/>
    <mergeCell ref="H909:I909"/>
    <mergeCell ref="B910:C910"/>
    <mergeCell ref="D910:E910"/>
    <mergeCell ref="B911:C911"/>
    <mergeCell ref="D911:E911"/>
    <mergeCell ref="F911:G911"/>
    <mergeCell ref="H911:I911"/>
    <mergeCell ref="D912:E912"/>
    <mergeCell ref="F912:G912"/>
    <mergeCell ref="H912:I912"/>
    <mergeCell ref="B912:C912"/>
    <mergeCell ref="B913:C913"/>
    <mergeCell ref="D913:E913"/>
    <mergeCell ref="F913:G913"/>
    <mergeCell ref="H913:I913"/>
    <mergeCell ref="B914:C914"/>
    <mergeCell ref="D914:E914"/>
    <mergeCell ref="D916:E916"/>
    <mergeCell ref="F916:G916"/>
    <mergeCell ref="F914:G914"/>
    <mergeCell ref="H914:I914"/>
    <mergeCell ref="B915:C915"/>
    <mergeCell ref="D915:E915"/>
    <mergeCell ref="F915:G915"/>
    <mergeCell ref="H915:I915"/>
    <mergeCell ref="H916:I916"/>
    <mergeCell ref="F918:G918"/>
    <mergeCell ref="H918:I918"/>
    <mergeCell ref="B916:C916"/>
    <mergeCell ref="B917:C917"/>
    <mergeCell ref="D917:E917"/>
    <mergeCell ref="F917:G917"/>
    <mergeCell ref="H917:I917"/>
    <mergeCell ref="B918:C918"/>
    <mergeCell ref="D918:E918"/>
    <mergeCell ref="D924:E924"/>
    <mergeCell ref="F924:G924"/>
    <mergeCell ref="F922:G922"/>
    <mergeCell ref="H922:I922"/>
    <mergeCell ref="B923:C923"/>
    <mergeCell ref="D923:E923"/>
    <mergeCell ref="F923:G923"/>
    <mergeCell ref="H923:I923"/>
    <mergeCell ref="H924:I924"/>
    <mergeCell ref="F926:G926"/>
    <mergeCell ref="H926:I926"/>
    <mergeCell ref="B924:C924"/>
    <mergeCell ref="B925:C925"/>
    <mergeCell ref="D925:E925"/>
    <mergeCell ref="F925:G925"/>
    <mergeCell ref="H925:I925"/>
    <mergeCell ref="B926:C926"/>
    <mergeCell ref="D926:E926"/>
    <mergeCell ref="B135:C135"/>
    <mergeCell ref="D135:E135"/>
    <mergeCell ref="F135:G135"/>
    <mergeCell ref="H135:I135"/>
    <mergeCell ref="D136:E136"/>
    <mergeCell ref="F136:G136"/>
    <mergeCell ref="H136:I136"/>
    <mergeCell ref="B136:C136"/>
    <mergeCell ref="B137:C137"/>
    <mergeCell ref="D137:E137"/>
    <mergeCell ref="F137:G137"/>
    <mergeCell ref="H137:I137"/>
    <mergeCell ref="B138:C138"/>
    <mergeCell ref="D138:E138"/>
    <mergeCell ref="B143:C143"/>
    <mergeCell ref="D143:E143"/>
    <mergeCell ref="F143:G143"/>
    <mergeCell ref="H143:I143"/>
    <mergeCell ref="D144:E144"/>
    <mergeCell ref="F144:G144"/>
    <mergeCell ref="H144:I144"/>
    <mergeCell ref="B144:C144"/>
    <mergeCell ref="B145:C145"/>
    <mergeCell ref="D145:E145"/>
    <mergeCell ref="F145:G145"/>
    <mergeCell ref="H145:I145"/>
    <mergeCell ref="B146:C146"/>
    <mergeCell ref="D146:E146"/>
    <mergeCell ref="D148:E148"/>
    <mergeCell ref="F148:G148"/>
    <mergeCell ref="F146:G146"/>
    <mergeCell ref="H146:I146"/>
    <mergeCell ref="B147:C147"/>
    <mergeCell ref="D147:E147"/>
    <mergeCell ref="F147:G147"/>
    <mergeCell ref="H147:I147"/>
    <mergeCell ref="H148:I148"/>
    <mergeCell ref="F150:G150"/>
    <mergeCell ref="H150:I150"/>
    <mergeCell ref="B148:C148"/>
    <mergeCell ref="B149:C149"/>
    <mergeCell ref="D149:E149"/>
    <mergeCell ref="F149:G149"/>
    <mergeCell ref="H149:I149"/>
    <mergeCell ref="B150:C150"/>
    <mergeCell ref="D150:E150"/>
    <mergeCell ref="B151:C151"/>
    <mergeCell ref="D151:E151"/>
    <mergeCell ref="F151:G151"/>
    <mergeCell ref="H151:I151"/>
    <mergeCell ref="D152:E152"/>
    <mergeCell ref="F152:G152"/>
    <mergeCell ref="H152:I152"/>
    <mergeCell ref="B152:C152"/>
    <mergeCell ref="B153:C153"/>
    <mergeCell ref="D153:E153"/>
    <mergeCell ref="F153:G153"/>
    <mergeCell ref="H153:I153"/>
    <mergeCell ref="B154:C154"/>
    <mergeCell ref="D154:E154"/>
    <mergeCell ref="D156:E156"/>
    <mergeCell ref="F156:G156"/>
    <mergeCell ref="F154:G154"/>
    <mergeCell ref="H154:I154"/>
    <mergeCell ref="B155:C155"/>
    <mergeCell ref="D155:E155"/>
    <mergeCell ref="F155:G155"/>
    <mergeCell ref="H155:I155"/>
    <mergeCell ref="H156:I156"/>
    <mergeCell ref="F158:G158"/>
    <mergeCell ref="H158:I158"/>
    <mergeCell ref="B156:C156"/>
    <mergeCell ref="B157:C157"/>
    <mergeCell ref="D157:E157"/>
    <mergeCell ref="F157:G157"/>
    <mergeCell ref="H157:I157"/>
    <mergeCell ref="B158:C158"/>
    <mergeCell ref="D158:E158"/>
    <mergeCell ref="B159:C159"/>
    <mergeCell ref="D159:E159"/>
    <mergeCell ref="F159:G159"/>
    <mergeCell ref="H159:I159"/>
    <mergeCell ref="D160:E160"/>
    <mergeCell ref="F160:G160"/>
    <mergeCell ref="H160:I160"/>
    <mergeCell ref="B160:C160"/>
    <mergeCell ref="B161:C161"/>
    <mergeCell ref="D161:E161"/>
    <mergeCell ref="F161:G161"/>
    <mergeCell ref="H161:I161"/>
    <mergeCell ref="B162:C162"/>
    <mergeCell ref="D162:E162"/>
    <mergeCell ref="D164:E164"/>
    <mergeCell ref="F164:G164"/>
    <mergeCell ref="F162:G162"/>
    <mergeCell ref="H162:I162"/>
    <mergeCell ref="B163:C163"/>
    <mergeCell ref="D163:E163"/>
    <mergeCell ref="F163:G163"/>
    <mergeCell ref="H163:I163"/>
    <mergeCell ref="H164:I164"/>
    <mergeCell ref="F166:G166"/>
    <mergeCell ref="H166:I166"/>
    <mergeCell ref="B164:C164"/>
    <mergeCell ref="B165:C165"/>
    <mergeCell ref="D165:E165"/>
    <mergeCell ref="F165:G165"/>
    <mergeCell ref="H165:I165"/>
    <mergeCell ref="B166:C166"/>
    <mergeCell ref="D166:E166"/>
    <mergeCell ref="B167:C167"/>
    <mergeCell ref="D167:E167"/>
    <mergeCell ref="F167:G167"/>
    <mergeCell ref="H167:I167"/>
    <mergeCell ref="D168:E168"/>
    <mergeCell ref="F168:G168"/>
    <mergeCell ref="H168:I168"/>
    <mergeCell ref="B168:C168"/>
    <mergeCell ref="B169:C169"/>
    <mergeCell ref="D169:E169"/>
    <mergeCell ref="F169:G169"/>
    <mergeCell ref="H169:I169"/>
    <mergeCell ref="B170:C170"/>
    <mergeCell ref="D170:E170"/>
    <mergeCell ref="D172:E172"/>
    <mergeCell ref="F172:G172"/>
    <mergeCell ref="F170:G170"/>
    <mergeCell ref="H170:I170"/>
    <mergeCell ref="B171:C171"/>
    <mergeCell ref="D171:E171"/>
    <mergeCell ref="F171:G171"/>
    <mergeCell ref="H171:I171"/>
    <mergeCell ref="H172:I172"/>
    <mergeCell ref="F174:G174"/>
    <mergeCell ref="H174:I174"/>
    <mergeCell ref="B172:C172"/>
    <mergeCell ref="B173:C173"/>
    <mergeCell ref="D173:E173"/>
    <mergeCell ref="F173:G173"/>
    <mergeCell ref="H173:I173"/>
    <mergeCell ref="B174:C174"/>
    <mergeCell ref="D174:E174"/>
    <mergeCell ref="D180:E180"/>
    <mergeCell ref="F180:G180"/>
    <mergeCell ref="F178:G178"/>
    <mergeCell ref="H178:I178"/>
    <mergeCell ref="B179:C179"/>
    <mergeCell ref="D179:E179"/>
    <mergeCell ref="F179:G179"/>
    <mergeCell ref="H179:I179"/>
    <mergeCell ref="H180:I180"/>
    <mergeCell ref="B175:C175"/>
    <mergeCell ref="D175:E175"/>
    <mergeCell ref="F175:G175"/>
    <mergeCell ref="H175:I175"/>
    <mergeCell ref="D176:E176"/>
    <mergeCell ref="F176:G176"/>
    <mergeCell ref="H176:I176"/>
    <mergeCell ref="B176:C176"/>
    <mergeCell ref="B177:C177"/>
    <mergeCell ref="D177:E177"/>
    <mergeCell ref="F177:G177"/>
    <mergeCell ref="H177:I177"/>
    <mergeCell ref="B178:C178"/>
    <mergeCell ref="D178:E178"/>
    <mergeCell ref="F182:G182"/>
    <mergeCell ref="H182:I182"/>
    <mergeCell ref="B180:C180"/>
    <mergeCell ref="B181:C181"/>
    <mergeCell ref="D181:E181"/>
    <mergeCell ref="F181:G181"/>
    <mergeCell ref="H181:I181"/>
    <mergeCell ref="B182:C182"/>
    <mergeCell ref="D182:E182"/>
    <mergeCell ref="B183:C183"/>
    <mergeCell ref="D183:E183"/>
    <mergeCell ref="F183:G183"/>
    <mergeCell ref="H183:I183"/>
    <mergeCell ref="D184:E184"/>
    <mergeCell ref="F184:G184"/>
    <mergeCell ref="H184:I184"/>
    <mergeCell ref="B184:C184"/>
    <mergeCell ref="B185:C185"/>
    <mergeCell ref="D185:E185"/>
    <mergeCell ref="F185:G185"/>
    <mergeCell ref="H185:I185"/>
    <mergeCell ref="B186:C186"/>
    <mergeCell ref="D186:E186"/>
    <mergeCell ref="D188:E188"/>
    <mergeCell ref="F188:G188"/>
    <mergeCell ref="F186:G186"/>
    <mergeCell ref="H186:I186"/>
    <mergeCell ref="B187:C187"/>
    <mergeCell ref="D187:E187"/>
    <mergeCell ref="F187:G187"/>
    <mergeCell ref="H187:I187"/>
    <mergeCell ref="H188:I188"/>
    <mergeCell ref="F190:G190"/>
    <mergeCell ref="H190:I190"/>
    <mergeCell ref="B188:C188"/>
    <mergeCell ref="B189:C189"/>
    <mergeCell ref="D189:E189"/>
    <mergeCell ref="F189:G189"/>
    <mergeCell ref="H189:I189"/>
    <mergeCell ref="B190:C190"/>
    <mergeCell ref="D190:E190"/>
    <mergeCell ref="D196:E196"/>
    <mergeCell ref="F196:G196"/>
    <mergeCell ref="F194:G194"/>
    <mergeCell ref="H194:I194"/>
    <mergeCell ref="B195:C195"/>
    <mergeCell ref="D195:E195"/>
    <mergeCell ref="F195:G195"/>
    <mergeCell ref="H195:I195"/>
    <mergeCell ref="H196:I196"/>
    <mergeCell ref="F198:G198"/>
    <mergeCell ref="H198:I198"/>
    <mergeCell ref="B196:C196"/>
    <mergeCell ref="B197:C197"/>
    <mergeCell ref="D197:E197"/>
    <mergeCell ref="F197:G197"/>
    <mergeCell ref="H197:I197"/>
    <mergeCell ref="B198:C198"/>
    <mergeCell ref="D198:E198"/>
    <mergeCell ref="B191:C191"/>
    <mergeCell ref="D191:E191"/>
    <mergeCell ref="F191:G191"/>
    <mergeCell ref="H191:I191"/>
    <mergeCell ref="D192:E192"/>
    <mergeCell ref="F192:G192"/>
    <mergeCell ref="H192:I192"/>
    <mergeCell ref="B192:C192"/>
    <mergeCell ref="B193:C193"/>
    <mergeCell ref="D193:E193"/>
    <mergeCell ref="F193:G193"/>
    <mergeCell ref="H193:I193"/>
    <mergeCell ref="B194:C194"/>
    <mergeCell ref="D194:E194"/>
    <mergeCell ref="B199:C199"/>
    <mergeCell ref="D199:E199"/>
    <mergeCell ref="F199:G199"/>
    <mergeCell ref="H199:I199"/>
    <mergeCell ref="D200:E200"/>
    <mergeCell ref="F200:G200"/>
    <mergeCell ref="H200:I200"/>
    <mergeCell ref="B200:C200"/>
    <mergeCell ref="B201:C201"/>
    <mergeCell ref="D201:E201"/>
    <mergeCell ref="F201:G201"/>
    <mergeCell ref="H201:I201"/>
    <mergeCell ref="B202:C202"/>
    <mergeCell ref="D202:E202"/>
    <mergeCell ref="D204:E204"/>
    <mergeCell ref="F204:G204"/>
    <mergeCell ref="F202:G202"/>
    <mergeCell ref="H202:I202"/>
    <mergeCell ref="B203:C203"/>
    <mergeCell ref="D203:E203"/>
    <mergeCell ref="F203:G203"/>
    <mergeCell ref="H203:I203"/>
    <mergeCell ref="H204:I204"/>
    <mergeCell ref="F206:G206"/>
    <mergeCell ref="H206:I206"/>
    <mergeCell ref="B204:C204"/>
    <mergeCell ref="B205:C205"/>
    <mergeCell ref="D205:E205"/>
    <mergeCell ref="F205:G205"/>
    <mergeCell ref="H205:I205"/>
    <mergeCell ref="B206:C206"/>
    <mergeCell ref="D206:E206"/>
    <mergeCell ref="B207:C207"/>
    <mergeCell ref="D207:E207"/>
    <mergeCell ref="F207:G207"/>
    <mergeCell ref="H207:I207"/>
    <mergeCell ref="D208:E208"/>
    <mergeCell ref="F208:G208"/>
    <mergeCell ref="H208:I208"/>
    <mergeCell ref="B208:C208"/>
    <mergeCell ref="B209:C209"/>
    <mergeCell ref="D209:E209"/>
    <mergeCell ref="F209:G209"/>
    <mergeCell ref="H209:I209"/>
    <mergeCell ref="B210:C210"/>
    <mergeCell ref="D210:E210"/>
    <mergeCell ref="D212:E212"/>
    <mergeCell ref="F212:G212"/>
    <mergeCell ref="F210:G210"/>
    <mergeCell ref="H210:I210"/>
    <mergeCell ref="B211:C211"/>
    <mergeCell ref="D211:E211"/>
    <mergeCell ref="F211:G211"/>
    <mergeCell ref="H211:I211"/>
    <mergeCell ref="H212:I212"/>
    <mergeCell ref="F214:G214"/>
    <mergeCell ref="H214:I214"/>
    <mergeCell ref="B212:C212"/>
    <mergeCell ref="B213:C213"/>
    <mergeCell ref="D213:E213"/>
    <mergeCell ref="F213:G213"/>
    <mergeCell ref="H213:I213"/>
    <mergeCell ref="B214:C214"/>
    <mergeCell ref="D214:E214"/>
    <mergeCell ref="B215:C215"/>
    <mergeCell ref="D215:E215"/>
    <mergeCell ref="F215:G215"/>
    <mergeCell ref="H215:I215"/>
    <mergeCell ref="D216:E216"/>
    <mergeCell ref="F216:G216"/>
    <mergeCell ref="H216:I216"/>
    <mergeCell ref="B216:C216"/>
    <mergeCell ref="B217:C217"/>
    <mergeCell ref="D217:E217"/>
    <mergeCell ref="F217:G217"/>
    <mergeCell ref="H217:I217"/>
    <mergeCell ref="B218:C218"/>
    <mergeCell ref="D218:E218"/>
    <mergeCell ref="D220:E220"/>
    <mergeCell ref="F220:G220"/>
    <mergeCell ref="F218:G218"/>
    <mergeCell ref="H218:I218"/>
    <mergeCell ref="B219:C219"/>
    <mergeCell ref="D219:E219"/>
    <mergeCell ref="F219:G219"/>
    <mergeCell ref="H219:I219"/>
    <mergeCell ref="H220:I220"/>
    <mergeCell ref="F222:G222"/>
    <mergeCell ref="H222:I222"/>
    <mergeCell ref="B220:C220"/>
    <mergeCell ref="B221:C221"/>
    <mergeCell ref="D221:E221"/>
    <mergeCell ref="F221:G221"/>
    <mergeCell ref="H221:I221"/>
    <mergeCell ref="B222:C222"/>
    <mergeCell ref="D222:E222"/>
    <mergeCell ref="B223:C223"/>
    <mergeCell ref="D223:E223"/>
    <mergeCell ref="F223:G223"/>
    <mergeCell ref="H223:I223"/>
    <mergeCell ref="D224:E224"/>
    <mergeCell ref="F224:G224"/>
    <mergeCell ref="H224:I224"/>
    <mergeCell ref="B224:C224"/>
    <mergeCell ref="B225:C225"/>
    <mergeCell ref="D225:E225"/>
    <mergeCell ref="F225:G225"/>
    <mergeCell ref="H225:I225"/>
    <mergeCell ref="B226:C226"/>
    <mergeCell ref="D226:E226"/>
    <mergeCell ref="D228:E228"/>
    <mergeCell ref="F228:G228"/>
    <mergeCell ref="F226:G226"/>
    <mergeCell ref="H226:I226"/>
    <mergeCell ref="B227:C227"/>
    <mergeCell ref="D227:E227"/>
    <mergeCell ref="F227:G227"/>
    <mergeCell ref="H227:I227"/>
    <mergeCell ref="H228:I228"/>
    <mergeCell ref="F230:G230"/>
    <mergeCell ref="H230:I230"/>
    <mergeCell ref="B228:C228"/>
    <mergeCell ref="B229:C229"/>
    <mergeCell ref="D229:E229"/>
    <mergeCell ref="F229:G229"/>
    <mergeCell ref="H229:I229"/>
    <mergeCell ref="B230:C230"/>
    <mergeCell ref="D230:E230"/>
    <mergeCell ref="D236:E236"/>
    <mergeCell ref="F236:G236"/>
    <mergeCell ref="F234:G234"/>
    <mergeCell ref="H234:I234"/>
    <mergeCell ref="B235:C235"/>
    <mergeCell ref="D235:E235"/>
    <mergeCell ref="F235:G235"/>
    <mergeCell ref="H235:I235"/>
    <mergeCell ref="H236:I236"/>
    <mergeCell ref="B231:C231"/>
    <mergeCell ref="D231:E231"/>
    <mergeCell ref="F231:G231"/>
    <mergeCell ref="H231:I231"/>
    <mergeCell ref="D232:E232"/>
    <mergeCell ref="F232:G232"/>
    <mergeCell ref="H232:I232"/>
    <mergeCell ref="B232:C232"/>
    <mergeCell ref="B233:C233"/>
    <mergeCell ref="D233:E233"/>
    <mergeCell ref="F233:G233"/>
    <mergeCell ref="H233:I233"/>
    <mergeCell ref="B234:C234"/>
    <mergeCell ref="D234:E234"/>
    <mergeCell ref="F238:G238"/>
    <mergeCell ref="H238:I238"/>
    <mergeCell ref="B236:C236"/>
    <mergeCell ref="B237:C237"/>
    <mergeCell ref="D237:E237"/>
    <mergeCell ref="F237:G237"/>
    <mergeCell ref="H237:I237"/>
    <mergeCell ref="B238:C238"/>
    <mergeCell ref="D238:E238"/>
    <mergeCell ref="B239:C239"/>
    <mergeCell ref="D239:E239"/>
    <mergeCell ref="F239:G239"/>
    <mergeCell ref="H239:I239"/>
    <mergeCell ref="D240:E240"/>
    <mergeCell ref="F240:G240"/>
    <mergeCell ref="H240:I240"/>
    <mergeCell ref="B240:C240"/>
    <mergeCell ref="B241:C241"/>
    <mergeCell ref="D241:E241"/>
    <mergeCell ref="F241:G241"/>
    <mergeCell ref="H241:I241"/>
    <mergeCell ref="B242:C242"/>
    <mergeCell ref="D242:E242"/>
    <mergeCell ref="D244:E244"/>
    <mergeCell ref="F244:G244"/>
    <mergeCell ref="F242:G242"/>
    <mergeCell ref="H242:I242"/>
    <mergeCell ref="B243:C243"/>
    <mergeCell ref="D243:E243"/>
    <mergeCell ref="F243:G243"/>
    <mergeCell ref="H243:I243"/>
    <mergeCell ref="H244:I244"/>
    <mergeCell ref="F246:G246"/>
    <mergeCell ref="H246:I246"/>
    <mergeCell ref="B244:C244"/>
    <mergeCell ref="B245:C245"/>
    <mergeCell ref="D245:E245"/>
    <mergeCell ref="F245:G245"/>
    <mergeCell ref="H245:I245"/>
    <mergeCell ref="B246:C246"/>
    <mergeCell ref="D246:E246"/>
    <mergeCell ref="D252:E252"/>
    <mergeCell ref="F252:G252"/>
    <mergeCell ref="F250:G250"/>
    <mergeCell ref="H250:I250"/>
    <mergeCell ref="B251:C251"/>
    <mergeCell ref="D251:E251"/>
    <mergeCell ref="F251:G251"/>
    <mergeCell ref="H251:I251"/>
    <mergeCell ref="H252:I252"/>
    <mergeCell ref="F254:G254"/>
    <mergeCell ref="H254:I254"/>
    <mergeCell ref="B252:C252"/>
    <mergeCell ref="B253:C253"/>
    <mergeCell ref="D253:E253"/>
    <mergeCell ref="F253:G253"/>
    <mergeCell ref="H253:I253"/>
    <mergeCell ref="B254:C254"/>
    <mergeCell ref="D254:E254"/>
    <mergeCell ref="B247:C247"/>
    <mergeCell ref="D247:E247"/>
    <mergeCell ref="F247:G247"/>
    <mergeCell ref="H247:I247"/>
    <mergeCell ref="D248:E248"/>
    <mergeCell ref="F248:G248"/>
    <mergeCell ref="H248:I248"/>
    <mergeCell ref="B248:C248"/>
    <mergeCell ref="B249:C249"/>
    <mergeCell ref="D249:E249"/>
    <mergeCell ref="F249:G249"/>
    <mergeCell ref="H249:I249"/>
    <mergeCell ref="B250:C250"/>
    <mergeCell ref="D250:E250"/>
    <mergeCell ref="B255:C255"/>
    <mergeCell ref="D255:E255"/>
    <mergeCell ref="F255:G255"/>
    <mergeCell ref="H255:I255"/>
    <mergeCell ref="D256:E256"/>
    <mergeCell ref="F256:G256"/>
    <mergeCell ref="H256:I256"/>
    <mergeCell ref="B256:C256"/>
    <mergeCell ref="B257:C257"/>
    <mergeCell ref="D257:E257"/>
    <mergeCell ref="F257:G257"/>
    <mergeCell ref="H257:I257"/>
    <mergeCell ref="B258:C258"/>
    <mergeCell ref="D258:E258"/>
    <mergeCell ref="D260:E260"/>
    <mergeCell ref="F260:G260"/>
    <mergeCell ref="F258:G258"/>
    <mergeCell ref="H258:I258"/>
    <mergeCell ref="B259:C259"/>
    <mergeCell ref="D259:E259"/>
    <mergeCell ref="F259:G259"/>
    <mergeCell ref="H259:I259"/>
    <mergeCell ref="H260:I260"/>
    <mergeCell ref="F262:G262"/>
    <mergeCell ref="H262:I262"/>
    <mergeCell ref="B260:C260"/>
    <mergeCell ref="B261:C261"/>
    <mergeCell ref="D261:E261"/>
    <mergeCell ref="F261:G261"/>
    <mergeCell ref="H261:I261"/>
    <mergeCell ref="B262:C262"/>
    <mergeCell ref="D262:E262"/>
    <mergeCell ref="B263:C263"/>
    <mergeCell ref="D263:E263"/>
    <mergeCell ref="F263:G263"/>
    <mergeCell ref="H263:I263"/>
    <mergeCell ref="D264:E264"/>
    <mergeCell ref="F264:G264"/>
    <mergeCell ref="H264:I264"/>
    <mergeCell ref="B264:C264"/>
    <mergeCell ref="B265:C265"/>
    <mergeCell ref="D265:E265"/>
    <mergeCell ref="F265:G265"/>
    <mergeCell ref="H265:I265"/>
    <mergeCell ref="B266:C266"/>
    <mergeCell ref="D266:E266"/>
    <mergeCell ref="D268:E268"/>
    <mergeCell ref="F268:G268"/>
    <mergeCell ref="F266:G266"/>
    <mergeCell ref="H266:I266"/>
    <mergeCell ref="B267:C267"/>
    <mergeCell ref="D267:E267"/>
    <mergeCell ref="F267:G267"/>
    <mergeCell ref="H267:I267"/>
    <mergeCell ref="H268:I268"/>
    <mergeCell ref="F270:G270"/>
    <mergeCell ref="H270:I270"/>
    <mergeCell ref="B268:C268"/>
    <mergeCell ref="B269:C269"/>
    <mergeCell ref="D269:E269"/>
    <mergeCell ref="F269:G269"/>
    <mergeCell ref="H269:I269"/>
    <mergeCell ref="B270:C270"/>
    <mergeCell ref="D270:E270"/>
    <mergeCell ref="B271:C271"/>
    <mergeCell ref="D271:E271"/>
    <mergeCell ref="F271:G271"/>
    <mergeCell ref="H271:I271"/>
    <mergeCell ref="D272:E272"/>
    <mergeCell ref="F272:G272"/>
    <mergeCell ref="H272:I272"/>
    <mergeCell ref="B272:C272"/>
    <mergeCell ref="B273:C273"/>
    <mergeCell ref="D273:E273"/>
    <mergeCell ref="F273:G273"/>
    <mergeCell ref="H273:I273"/>
    <mergeCell ref="B274:C274"/>
    <mergeCell ref="D274:E274"/>
    <mergeCell ref="D276:E276"/>
    <mergeCell ref="F276:G276"/>
    <mergeCell ref="F274:G274"/>
    <mergeCell ref="H274:I274"/>
    <mergeCell ref="B275:C275"/>
    <mergeCell ref="D275:E275"/>
    <mergeCell ref="F275:G275"/>
    <mergeCell ref="H275:I275"/>
    <mergeCell ref="H276:I276"/>
    <mergeCell ref="F278:G278"/>
    <mergeCell ref="H278:I278"/>
    <mergeCell ref="B276:C276"/>
    <mergeCell ref="B277:C277"/>
    <mergeCell ref="D277:E277"/>
    <mergeCell ref="F277:G277"/>
    <mergeCell ref="H277:I277"/>
    <mergeCell ref="B278:C278"/>
    <mergeCell ref="D278:E278"/>
    <mergeCell ref="B279:C279"/>
    <mergeCell ref="D279:E279"/>
    <mergeCell ref="F279:G279"/>
    <mergeCell ref="H279:I279"/>
    <mergeCell ref="D280:E280"/>
    <mergeCell ref="F280:G280"/>
    <mergeCell ref="H280:I280"/>
    <mergeCell ref="B280:C280"/>
    <mergeCell ref="B281:C281"/>
    <mergeCell ref="D281:E281"/>
    <mergeCell ref="F281:G281"/>
    <mergeCell ref="H281:I281"/>
    <mergeCell ref="B282:C282"/>
    <mergeCell ref="D282:E282"/>
    <mergeCell ref="D284:E284"/>
    <mergeCell ref="F284:G284"/>
    <mergeCell ref="F282:G282"/>
    <mergeCell ref="H282:I282"/>
    <mergeCell ref="B283:C283"/>
    <mergeCell ref="D283:E283"/>
    <mergeCell ref="F283:G283"/>
    <mergeCell ref="H283:I283"/>
    <mergeCell ref="H284:I284"/>
    <mergeCell ref="F286:G286"/>
    <mergeCell ref="H286:I286"/>
    <mergeCell ref="B284:C284"/>
    <mergeCell ref="B285:C285"/>
    <mergeCell ref="D285:E285"/>
    <mergeCell ref="F285:G285"/>
    <mergeCell ref="H285:I285"/>
    <mergeCell ref="B286:C286"/>
    <mergeCell ref="D286:E286"/>
    <mergeCell ref="D292:E292"/>
    <mergeCell ref="F292:G292"/>
    <mergeCell ref="F290:G290"/>
    <mergeCell ref="H290:I290"/>
    <mergeCell ref="B291:C291"/>
    <mergeCell ref="D291:E291"/>
    <mergeCell ref="F291:G291"/>
    <mergeCell ref="H291:I291"/>
    <mergeCell ref="H292:I292"/>
    <mergeCell ref="B287:C287"/>
    <mergeCell ref="D287:E287"/>
    <mergeCell ref="F287:G287"/>
    <mergeCell ref="H287:I287"/>
    <mergeCell ref="D288:E288"/>
    <mergeCell ref="F288:G288"/>
    <mergeCell ref="H288:I288"/>
    <mergeCell ref="B288:C288"/>
    <mergeCell ref="B289:C289"/>
    <mergeCell ref="D289:E289"/>
    <mergeCell ref="F289:G289"/>
    <mergeCell ref="H289:I289"/>
    <mergeCell ref="B290:C290"/>
    <mergeCell ref="D290:E290"/>
    <mergeCell ref="F294:G294"/>
    <mergeCell ref="H294:I294"/>
    <mergeCell ref="B292:C292"/>
    <mergeCell ref="B293:C293"/>
    <mergeCell ref="D293:E293"/>
    <mergeCell ref="F293:G293"/>
    <mergeCell ref="H293:I293"/>
    <mergeCell ref="B294:C294"/>
    <mergeCell ref="D294:E294"/>
    <mergeCell ref="B295:C295"/>
    <mergeCell ref="D295:E295"/>
    <mergeCell ref="F295:G295"/>
    <mergeCell ref="H295:I295"/>
    <mergeCell ref="D296:E296"/>
    <mergeCell ref="F296:G296"/>
    <mergeCell ref="H296:I296"/>
    <mergeCell ref="B296:C296"/>
    <mergeCell ref="B297:C297"/>
    <mergeCell ref="D297:E297"/>
    <mergeCell ref="F297:G297"/>
    <mergeCell ref="H297:I297"/>
    <mergeCell ref="B298:C298"/>
    <mergeCell ref="D298:E298"/>
    <mergeCell ref="D300:E300"/>
    <mergeCell ref="F300:G300"/>
    <mergeCell ref="F298:G298"/>
    <mergeCell ref="H298:I298"/>
    <mergeCell ref="B299:C299"/>
    <mergeCell ref="D299:E299"/>
    <mergeCell ref="F299:G299"/>
    <mergeCell ref="H299:I299"/>
    <mergeCell ref="H300:I300"/>
    <mergeCell ref="F302:G302"/>
    <mergeCell ref="H302:I302"/>
    <mergeCell ref="B300:C300"/>
    <mergeCell ref="B301:C301"/>
    <mergeCell ref="D301:E301"/>
    <mergeCell ref="F301:G301"/>
    <mergeCell ref="H301:I301"/>
    <mergeCell ref="B302:C302"/>
    <mergeCell ref="D302:E302"/>
    <mergeCell ref="D308:E308"/>
    <mergeCell ref="F308:G308"/>
    <mergeCell ref="F306:G306"/>
    <mergeCell ref="H306:I306"/>
    <mergeCell ref="B307:C307"/>
    <mergeCell ref="D307:E307"/>
    <mergeCell ref="F307:G307"/>
    <mergeCell ref="H307:I307"/>
    <mergeCell ref="H308:I308"/>
    <mergeCell ref="F310:G310"/>
    <mergeCell ref="H310:I310"/>
    <mergeCell ref="B308:C308"/>
    <mergeCell ref="B309:C309"/>
    <mergeCell ref="D309:E309"/>
    <mergeCell ref="F309:G309"/>
    <mergeCell ref="H309:I309"/>
    <mergeCell ref="B310:C310"/>
    <mergeCell ref="D310:E310"/>
    <mergeCell ref="B303:C303"/>
    <mergeCell ref="D303:E303"/>
    <mergeCell ref="F303:G303"/>
    <mergeCell ref="H303:I303"/>
    <mergeCell ref="D304:E304"/>
    <mergeCell ref="F304:G304"/>
    <mergeCell ref="H304:I304"/>
    <mergeCell ref="B304:C304"/>
    <mergeCell ref="B305:C305"/>
    <mergeCell ref="D305:E305"/>
    <mergeCell ref="F305:G305"/>
    <mergeCell ref="H305:I305"/>
    <mergeCell ref="B306:C306"/>
    <mergeCell ref="D306:E306"/>
    <mergeCell ref="B311:C311"/>
    <mergeCell ref="D311:E311"/>
    <mergeCell ref="F311:G311"/>
    <mergeCell ref="H311:I311"/>
    <mergeCell ref="D312:E312"/>
    <mergeCell ref="F312:G312"/>
    <mergeCell ref="H312:I312"/>
    <mergeCell ref="B312:C312"/>
    <mergeCell ref="B313:C313"/>
    <mergeCell ref="D313:E313"/>
    <mergeCell ref="F313:G313"/>
    <mergeCell ref="H313:I313"/>
    <mergeCell ref="B314:C314"/>
    <mergeCell ref="D314:E314"/>
    <mergeCell ref="D316:E316"/>
    <mergeCell ref="F316:G316"/>
    <mergeCell ref="F314:G314"/>
    <mergeCell ref="H314:I314"/>
    <mergeCell ref="B315:C315"/>
    <mergeCell ref="D315:E315"/>
    <mergeCell ref="F315:G315"/>
    <mergeCell ref="H315:I315"/>
    <mergeCell ref="H316:I316"/>
    <mergeCell ref="F318:G318"/>
    <mergeCell ref="H318:I318"/>
    <mergeCell ref="B316:C316"/>
    <mergeCell ref="B317:C317"/>
    <mergeCell ref="D317:E317"/>
    <mergeCell ref="F317:G317"/>
    <mergeCell ref="H317:I317"/>
    <mergeCell ref="B318:C318"/>
    <mergeCell ref="D318:E318"/>
    <mergeCell ref="B319:C319"/>
    <mergeCell ref="D319:E319"/>
    <mergeCell ref="F319:G319"/>
    <mergeCell ref="H319:I319"/>
    <mergeCell ref="D320:E320"/>
    <mergeCell ref="F320:G320"/>
    <mergeCell ref="H320:I320"/>
    <mergeCell ref="B320:C320"/>
    <mergeCell ref="B321:C321"/>
    <mergeCell ref="D321:E321"/>
    <mergeCell ref="F321:G321"/>
    <mergeCell ref="H321:I321"/>
    <mergeCell ref="B322:C322"/>
    <mergeCell ref="D322:E322"/>
    <mergeCell ref="D324:E324"/>
    <mergeCell ref="F324:G324"/>
    <mergeCell ref="F322:G322"/>
    <mergeCell ref="H322:I322"/>
    <mergeCell ref="B323:C323"/>
    <mergeCell ref="D323:E323"/>
    <mergeCell ref="F323:G323"/>
    <mergeCell ref="H323:I323"/>
    <mergeCell ref="H324:I324"/>
    <mergeCell ref="F326:G326"/>
    <mergeCell ref="H326:I326"/>
    <mergeCell ref="B324:C324"/>
    <mergeCell ref="B325:C325"/>
    <mergeCell ref="D325:E325"/>
    <mergeCell ref="F325:G325"/>
    <mergeCell ref="H325:I325"/>
    <mergeCell ref="B326:C326"/>
    <mergeCell ref="D326:E326"/>
    <mergeCell ref="B327:C327"/>
    <mergeCell ref="D327:E327"/>
    <mergeCell ref="F327:G327"/>
    <mergeCell ref="H327:I327"/>
    <mergeCell ref="D328:E328"/>
    <mergeCell ref="F328:G328"/>
    <mergeCell ref="H328:I328"/>
    <mergeCell ref="B328:C328"/>
    <mergeCell ref="B329:C329"/>
    <mergeCell ref="D329:E329"/>
    <mergeCell ref="F329:G329"/>
    <mergeCell ref="H329:I329"/>
    <mergeCell ref="B330:C330"/>
    <mergeCell ref="D330:E330"/>
    <mergeCell ref="D332:E332"/>
    <mergeCell ref="F332:G332"/>
    <mergeCell ref="F330:G330"/>
    <mergeCell ref="H330:I330"/>
    <mergeCell ref="B331:C331"/>
    <mergeCell ref="D331:E331"/>
    <mergeCell ref="F331:G331"/>
    <mergeCell ref="H331:I331"/>
    <mergeCell ref="H332:I332"/>
    <mergeCell ref="F334:G334"/>
    <mergeCell ref="H334:I334"/>
    <mergeCell ref="B332:C332"/>
    <mergeCell ref="B333:C333"/>
    <mergeCell ref="D333:E333"/>
    <mergeCell ref="F333:G333"/>
    <mergeCell ref="H333:I333"/>
    <mergeCell ref="B334:C334"/>
    <mergeCell ref="D334:E334"/>
    <mergeCell ref="B335:C335"/>
    <mergeCell ref="D335:E335"/>
    <mergeCell ref="F335:G335"/>
    <mergeCell ref="H335:I335"/>
    <mergeCell ref="D336:E336"/>
    <mergeCell ref="F336:G336"/>
    <mergeCell ref="H336:I336"/>
    <mergeCell ref="B336:C336"/>
    <mergeCell ref="B337:C337"/>
    <mergeCell ref="D337:E337"/>
    <mergeCell ref="F337:G337"/>
    <mergeCell ref="H337:I337"/>
    <mergeCell ref="B338:C338"/>
    <mergeCell ref="D338:E338"/>
    <mergeCell ref="D340:E340"/>
    <mergeCell ref="F340:G340"/>
    <mergeCell ref="F338:G338"/>
    <mergeCell ref="H338:I338"/>
    <mergeCell ref="B339:C339"/>
    <mergeCell ref="D339:E339"/>
    <mergeCell ref="F339:G339"/>
    <mergeCell ref="H339:I339"/>
    <mergeCell ref="H340:I340"/>
    <mergeCell ref="F342:G342"/>
    <mergeCell ref="H342:I342"/>
    <mergeCell ref="B340:C340"/>
    <mergeCell ref="B341:C341"/>
    <mergeCell ref="D341:E341"/>
    <mergeCell ref="F341:G341"/>
    <mergeCell ref="H341:I341"/>
    <mergeCell ref="B342:C342"/>
    <mergeCell ref="D342:E342"/>
    <mergeCell ref="D348:E348"/>
    <mergeCell ref="F348:G348"/>
    <mergeCell ref="F346:G346"/>
    <mergeCell ref="H346:I346"/>
    <mergeCell ref="B347:C347"/>
    <mergeCell ref="D347:E347"/>
    <mergeCell ref="F347:G347"/>
    <mergeCell ref="H347:I347"/>
    <mergeCell ref="H348:I348"/>
    <mergeCell ref="B343:C343"/>
    <mergeCell ref="D343:E343"/>
    <mergeCell ref="F343:G343"/>
    <mergeCell ref="H343:I343"/>
    <mergeCell ref="D344:E344"/>
    <mergeCell ref="F344:G344"/>
    <mergeCell ref="H344:I344"/>
    <mergeCell ref="B344:C344"/>
    <mergeCell ref="B345:C345"/>
    <mergeCell ref="D345:E345"/>
    <mergeCell ref="F345:G345"/>
    <mergeCell ref="H345:I345"/>
    <mergeCell ref="B346:C346"/>
    <mergeCell ref="D346:E346"/>
    <mergeCell ref="F350:G350"/>
    <mergeCell ref="H350:I350"/>
    <mergeCell ref="B348:C348"/>
    <mergeCell ref="B349:C349"/>
    <mergeCell ref="D349:E349"/>
    <mergeCell ref="F349:G349"/>
    <mergeCell ref="H349:I349"/>
    <mergeCell ref="B350:C350"/>
    <mergeCell ref="D350:E350"/>
    <mergeCell ref="B351:C351"/>
    <mergeCell ref="D351:E351"/>
    <mergeCell ref="F351:G351"/>
    <mergeCell ref="H351:I351"/>
    <mergeCell ref="D352:E352"/>
    <mergeCell ref="F352:G352"/>
    <mergeCell ref="H352:I352"/>
    <mergeCell ref="B352:C352"/>
    <mergeCell ref="B353:C353"/>
    <mergeCell ref="D353:E353"/>
    <mergeCell ref="F353:G353"/>
    <mergeCell ref="H353:I353"/>
    <mergeCell ref="B354:C354"/>
    <mergeCell ref="D354:E354"/>
    <mergeCell ref="D356:E356"/>
    <mergeCell ref="F356:G356"/>
    <mergeCell ref="F354:G354"/>
    <mergeCell ref="H354:I354"/>
    <mergeCell ref="B355:C355"/>
    <mergeCell ref="D355:E355"/>
    <mergeCell ref="F355:G355"/>
    <mergeCell ref="H355:I355"/>
    <mergeCell ref="H356:I356"/>
    <mergeCell ref="F358:G358"/>
    <mergeCell ref="H358:I358"/>
    <mergeCell ref="B356:C356"/>
    <mergeCell ref="B357:C357"/>
    <mergeCell ref="D357:E357"/>
    <mergeCell ref="F357:G357"/>
    <mergeCell ref="H357:I357"/>
    <mergeCell ref="B358:C358"/>
    <mergeCell ref="D358:E358"/>
    <mergeCell ref="D364:E364"/>
    <mergeCell ref="F364:G364"/>
    <mergeCell ref="F362:G362"/>
    <mergeCell ref="H362:I362"/>
    <mergeCell ref="B363:C363"/>
    <mergeCell ref="D363:E363"/>
    <mergeCell ref="F363:G363"/>
    <mergeCell ref="H363:I363"/>
    <mergeCell ref="H364:I364"/>
    <mergeCell ref="F366:G366"/>
    <mergeCell ref="H366:I366"/>
    <mergeCell ref="B364:C364"/>
    <mergeCell ref="B365:C365"/>
    <mergeCell ref="D365:E365"/>
    <mergeCell ref="F365:G365"/>
    <mergeCell ref="H365:I365"/>
    <mergeCell ref="B366:C366"/>
    <mergeCell ref="D366:E366"/>
    <mergeCell ref="B359:C359"/>
    <mergeCell ref="D359:E359"/>
    <mergeCell ref="F359:G359"/>
    <mergeCell ref="H359:I359"/>
    <mergeCell ref="D360:E360"/>
    <mergeCell ref="F360:G360"/>
    <mergeCell ref="H360:I360"/>
    <mergeCell ref="B360:C360"/>
    <mergeCell ref="B361:C361"/>
    <mergeCell ref="D361:E361"/>
    <mergeCell ref="F361:G361"/>
    <mergeCell ref="H361:I361"/>
    <mergeCell ref="B362:C362"/>
    <mergeCell ref="D362:E362"/>
    <mergeCell ref="B367:C367"/>
    <mergeCell ref="D367:E367"/>
    <mergeCell ref="F367:G367"/>
    <mergeCell ref="H367:I367"/>
    <mergeCell ref="D368:E368"/>
    <mergeCell ref="F368:G368"/>
    <mergeCell ref="H368:I368"/>
    <mergeCell ref="B368:C368"/>
    <mergeCell ref="B369:C369"/>
    <mergeCell ref="D369:E369"/>
    <mergeCell ref="F369:G369"/>
    <mergeCell ref="H369:I369"/>
    <mergeCell ref="B370:C370"/>
    <mergeCell ref="D370:E370"/>
    <mergeCell ref="D372:E372"/>
    <mergeCell ref="F372:G372"/>
    <mergeCell ref="F370:G370"/>
    <mergeCell ref="H370:I370"/>
    <mergeCell ref="B371:C371"/>
    <mergeCell ref="D371:E371"/>
    <mergeCell ref="F371:G371"/>
    <mergeCell ref="H371:I371"/>
    <mergeCell ref="H372:I372"/>
    <mergeCell ref="F374:G374"/>
    <mergeCell ref="H374:I374"/>
    <mergeCell ref="B372:C372"/>
    <mergeCell ref="B373:C373"/>
    <mergeCell ref="D373:E373"/>
    <mergeCell ref="F373:G373"/>
    <mergeCell ref="H373:I373"/>
    <mergeCell ref="B374:C374"/>
    <mergeCell ref="D374:E374"/>
    <mergeCell ref="B375:C375"/>
    <mergeCell ref="D375:E375"/>
    <mergeCell ref="F375:G375"/>
    <mergeCell ref="H375:I375"/>
    <mergeCell ref="D376:E376"/>
    <mergeCell ref="F376:G376"/>
    <mergeCell ref="H376:I376"/>
    <mergeCell ref="B376:C376"/>
    <mergeCell ref="B377:C377"/>
    <mergeCell ref="D377:E377"/>
    <mergeCell ref="F377:G377"/>
    <mergeCell ref="H377:I377"/>
    <mergeCell ref="B378:C378"/>
    <mergeCell ref="D378:E378"/>
    <mergeCell ref="D380:E380"/>
    <mergeCell ref="F380:G380"/>
    <mergeCell ref="F378:G378"/>
    <mergeCell ref="H378:I378"/>
    <mergeCell ref="B379:C379"/>
    <mergeCell ref="D379:E379"/>
    <mergeCell ref="F379:G379"/>
    <mergeCell ref="H379:I379"/>
    <mergeCell ref="H380:I380"/>
    <mergeCell ref="F382:G382"/>
    <mergeCell ref="H382:I382"/>
    <mergeCell ref="B380:C380"/>
    <mergeCell ref="B381:C381"/>
    <mergeCell ref="D381:E381"/>
    <mergeCell ref="F381:G381"/>
    <mergeCell ref="H381:I381"/>
    <mergeCell ref="B382:C382"/>
    <mergeCell ref="D382:E382"/>
    <mergeCell ref="B383:C383"/>
    <mergeCell ref="D383:E383"/>
    <mergeCell ref="F383:G383"/>
    <mergeCell ref="H383:I383"/>
    <mergeCell ref="D384:E384"/>
    <mergeCell ref="F384:G384"/>
    <mergeCell ref="H384:I384"/>
    <mergeCell ref="B384:C384"/>
    <mergeCell ref="B385:C385"/>
    <mergeCell ref="D385:E385"/>
    <mergeCell ref="F385:G385"/>
    <mergeCell ref="H385:I385"/>
    <mergeCell ref="B386:C386"/>
    <mergeCell ref="D386:E386"/>
    <mergeCell ref="D388:E388"/>
    <mergeCell ref="F388:G388"/>
    <mergeCell ref="F386:G386"/>
    <mergeCell ref="H386:I386"/>
    <mergeCell ref="B387:C387"/>
    <mergeCell ref="D387:E387"/>
    <mergeCell ref="F387:G387"/>
    <mergeCell ref="H387:I387"/>
    <mergeCell ref="H388:I388"/>
    <mergeCell ref="F390:G390"/>
    <mergeCell ref="H390:I390"/>
    <mergeCell ref="B388:C388"/>
    <mergeCell ref="B389:C389"/>
    <mergeCell ref="D389:E389"/>
    <mergeCell ref="F389:G389"/>
    <mergeCell ref="H389:I389"/>
    <mergeCell ref="B390:C390"/>
    <mergeCell ref="D390:E390"/>
    <mergeCell ref="B391:C391"/>
    <mergeCell ref="D391:E391"/>
    <mergeCell ref="F391:G391"/>
    <mergeCell ref="H391:I391"/>
    <mergeCell ref="D392:E392"/>
    <mergeCell ref="F392:G392"/>
    <mergeCell ref="H392:I392"/>
    <mergeCell ref="B392:C392"/>
    <mergeCell ref="B393:C393"/>
    <mergeCell ref="D393:E393"/>
    <mergeCell ref="F393:G393"/>
    <mergeCell ref="H393:I393"/>
    <mergeCell ref="B394:C394"/>
    <mergeCell ref="D394:E394"/>
    <mergeCell ref="D396:E396"/>
    <mergeCell ref="F396:G396"/>
    <mergeCell ref="F394:G394"/>
    <mergeCell ref="H394:I394"/>
    <mergeCell ref="B395:C395"/>
    <mergeCell ref="D395:E395"/>
    <mergeCell ref="F395:G395"/>
    <mergeCell ref="H395:I395"/>
    <mergeCell ref="H396:I396"/>
    <mergeCell ref="F398:G398"/>
    <mergeCell ref="H398:I398"/>
    <mergeCell ref="B396:C396"/>
    <mergeCell ref="B397:C397"/>
    <mergeCell ref="D397:E397"/>
    <mergeCell ref="F397:G397"/>
    <mergeCell ref="H397:I397"/>
    <mergeCell ref="B398:C398"/>
    <mergeCell ref="D398:E398"/>
    <mergeCell ref="D404:E404"/>
    <mergeCell ref="F404:G404"/>
    <mergeCell ref="F402:G402"/>
    <mergeCell ref="H402:I402"/>
    <mergeCell ref="B403:C403"/>
    <mergeCell ref="D403:E403"/>
    <mergeCell ref="F403:G403"/>
    <mergeCell ref="H403:I403"/>
    <mergeCell ref="H404:I404"/>
    <mergeCell ref="B399:C399"/>
    <mergeCell ref="D399:E399"/>
    <mergeCell ref="F399:G399"/>
    <mergeCell ref="H399:I399"/>
    <mergeCell ref="D400:E400"/>
    <mergeCell ref="F400:G400"/>
    <mergeCell ref="H400:I400"/>
    <mergeCell ref="B400:C400"/>
    <mergeCell ref="B401:C401"/>
    <mergeCell ref="D401:E401"/>
    <mergeCell ref="F401:G401"/>
    <mergeCell ref="H401:I401"/>
    <mergeCell ref="B402:C402"/>
    <mergeCell ref="D402:E402"/>
    <mergeCell ref="F406:G406"/>
    <mergeCell ref="H406:I406"/>
    <mergeCell ref="B404:C404"/>
    <mergeCell ref="B405:C405"/>
    <mergeCell ref="D405:E405"/>
    <mergeCell ref="F405:G405"/>
    <mergeCell ref="H405:I405"/>
    <mergeCell ref="B406:C406"/>
    <mergeCell ref="D406:E406"/>
    <mergeCell ref="B407:C407"/>
    <mergeCell ref="D407:E407"/>
    <mergeCell ref="F407:G407"/>
    <mergeCell ref="H407:I407"/>
    <mergeCell ref="D408:E408"/>
    <mergeCell ref="F408:G408"/>
    <mergeCell ref="H408:I408"/>
    <mergeCell ref="B408:C408"/>
    <mergeCell ref="B409:C409"/>
    <mergeCell ref="D409:E409"/>
    <mergeCell ref="F409:G409"/>
    <mergeCell ref="H409:I409"/>
    <mergeCell ref="B410:C410"/>
    <mergeCell ref="D410:E410"/>
    <mergeCell ref="D412:E412"/>
    <mergeCell ref="F412:G412"/>
    <mergeCell ref="F410:G410"/>
    <mergeCell ref="H410:I410"/>
    <mergeCell ref="B411:C411"/>
    <mergeCell ref="D411:E411"/>
    <mergeCell ref="F411:G411"/>
    <mergeCell ref="H411:I411"/>
    <mergeCell ref="H412:I412"/>
    <mergeCell ref="F414:G414"/>
    <mergeCell ref="H414:I414"/>
    <mergeCell ref="B412:C412"/>
    <mergeCell ref="B413:C413"/>
    <mergeCell ref="D413:E413"/>
    <mergeCell ref="F413:G413"/>
    <mergeCell ref="H413:I413"/>
    <mergeCell ref="B414:C414"/>
    <mergeCell ref="D414:E414"/>
    <mergeCell ref="D420:E420"/>
    <mergeCell ref="F420:G420"/>
    <mergeCell ref="F418:G418"/>
    <mergeCell ref="H418:I418"/>
    <mergeCell ref="B419:C419"/>
    <mergeCell ref="D419:E419"/>
    <mergeCell ref="F419:G419"/>
    <mergeCell ref="H419:I419"/>
    <mergeCell ref="H420:I420"/>
    <mergeCell ref="F422:G422"/>
    <mergeCell ref="H422:I422"/>
    <mergeCell ref="B420:C420"/>
    <mergeCell ref="B421:C421"/>
    <mergeCell ref="D421:E421"/>
    <mergeCell ref="F421:G421"/>
    <mergeCell ref="H421:I421"/>
    <mergeCell ref="B422:C422"/>
    <mergeCell ref="D422:E422"/>
    <mergeCell ref="B415:C415"/>
    <mergeCell ref="D415:E415"/>
    <mergeCell ref="F415:G415"/>
    <mergeCell ref="H415:I415"/>
    <mergeCell ref="D416:E416"/>
    <mergeCell ref="F416:G416"/>
    <mergeCell ref="H416:I416"/>
    <mergeCell ref="B416:C416"/>
    <mergeCell ref="B417:C417"/>
    <mergeCell ref="D417:E417"/>
    <mergeCell ref="F417:G417"/>
    <mergeCell ref="H417:I417"/>
    <mergeCell ref="B418:C418"/>
    <mergeCell ref="D418:E418"/>
    <mergeCell ref="B423:C423"/>
    <mergeCell ref="D423:E423"/>
    <mergeCell ref="F423:G423"/>
    <mergeCell ref="H423:I423"/>
    <mergeCell ref="D424:E424"/>
    <mergeCell ref="F424:G424"/>
    <mergeCell ref="H424:I424"/>
    <mergeCell ref="B424:C424"/>
    <mergeCell ref="B425:C425"/>
    <mergeCell ref="D425:E425"/>
    <mergeCell ref="F425:G425"/>
    <mergeCell ref="H425:I425"/>
    <mergeCell ref="B426:C426"/>
    <mergeCell ref="D426:E426"/>
    <mergeCell ref="D428:E428"/>
    <mergeCell ref="F428:G428"/>
    <mergeCell ref="F426:G426"/>
    <mergeCell ref="H426:I426"/>
    <mergeCell ref="B427:C427"/>
    <mergeCell ref="D427:E427"/>
    <mergeCell ref="F427:G427"/>
    <mergeCell ref="H427:I427"/>
    <mergeCell ref="H428:I428"/>
    <mergeCell ref="F430:G430"/>
    <mergeCell ref="H430:I430"/>
    <mergeCell ref="B428:C428"/>
    <mergeCell ref="B429:C429"/>
    <mergeCell ref="D429:E429"/>
    <mergeCell ref="F429:G429"/>
    <mergeCell ref="H429:I429"/>
    <mergeCell ref="B430:C430"/>
    <mergeCell ref="D430:E430"/>
    <mergeCell ref="B431:C431"/>
    <mergeCell ref="D431:E431"/>
    <mergeCell ref="F431:G431"/>
    <mergeCell ref="H431:I431"/>
    <mergeCell ref="D432:E432"/>
    <mergeCell ref="F432:G432"/>
    <mergeCell ref="H432:I432"/>
    <mergeCell ref="B432:C432"/>
    <mergeCell ref="B433:C433"/>
    <mergeCell ref="D433:E433"/>
    <mergeCell ref="F433:G433"/>
    <mergeCell ref="H433:I433"/>
    <mergeCell ref="B434:C434"/>
    <mergeCell ref="D434:E434"/>
    <mergeCell ref="D436:E436"/>
    <mergeCell ref="F436:G436"/>
    <mergeCell ref="F434:G434"/>
    <mergeCell ref="H434:I434"/>
    <mergeCell ref="B435:C435"/>
    <mergeCell ref="D435:E435"/>
    <mergeCell ref="F435:G435"/>
    <mergeCell ref="H435:I435"/>
    <mergeCell ref="H436:I436"/>
    <mergeCell ref="F438:G438"/>
    <mergeCell ref="H438:I438"/>
    <mergeCell ref="B436:C436"/>
    <mergeCell ref="B437:C437"/>
    <mergeCell ref="D437:E437"/>
    <mergeCell ref="F437:G437"/>
    <mergeCell ref="H437:I437"/>
    <mergeCell ref="B438:C438"/>
    <mergeCell ref="D438:E438"/>
    <mergeCell ref="B439:C439"/>
    <mergeCell ref="D439:E439"/>
    <mergeCell ref="F439:G439"/>
    <mergeCell ref="H439:I439"/>
    <mergeCell ref="D440:E440"/>
    <mergeCell ref="F440:G440"/>
    <mergeCell ref="H440:I440"/>
    <mergeCell ref="B440:C440"/>
    <mergeCell ref="B441:C441"/>
    <mergeCell ref="D441:E441"/>
    <mergeCell ref="F441:G441"/>
    <mergeCell ref="H441:I441"/>
    <mergeCell ref="B442:C442"/>
    <mergeCell ref="D442:E442"/>
    <mergeCell ref="D444:E444"/>
    <mergeCell ref="F444:G444"/>
    <mergeCell ref="F442:G442"/>
    <mergeCell ref="H442:I442"/>
    <mergeCell ref="B443:C443"/>
    <mergeCell ref="D443:E443"/>
    <mergeCell ref="F443:G443"/>
    <mergeCell ref="H443:I443"/>
    <mergeCell ref="H444:I444"/>
    <mergeCell ref="F446:G446"/>
    <mergeCell ref="H446:I446"/>
    <mergeCell ref="B444:C444"/>
    <mergeCell ref="B445:C445"/>
    <mergeCell ref="D445:E445"/>
    <mergeCell ref="F445:G445"/>
    <mergeCell ref="H445:I445"/>
    <mergeCell ref="B446:C446"/>
    <mergeCell ref="D446:E446"/>
    <mergeCell ref="B447:C447"/>
    <mergeCell ref="D447:E447"/>
    <mergeCell ref="F447:G447"/>
    <mergeCell ref="H447:I447"/>
    <mergeCell ref="D448:E448"/>
    <mergeCell ref="F448:G448"/>
    <mergeCell ref="H448:I448"/>
    <mergeCell ref="B448:C448"/>
    <mergeCell ref="B449:C449"/>
    <mergeCell ref="D449:E449"/>
    <mergeCell ref="F449:G449"/>
    <mergeCell ref="H449:I449"/>
    <mergeCell ref="B450:C450"/>
    <mergeCell ref="D450:E450"/>
    <mergeCell ref="D452:E452"/>
    <mergeCell ref="F452:G452"/>
    <mergeCell ref="F450:G450"/>
    <mergeCell ref="H450:I450"/>
    <mergeCell ref="B451:C451"/>
    <mergeCell ref="D451:E451"/>
    <mergeCell ref="F451:G451"/>
    <mergeCell ref="H451:I451"/>
    <mergeCell ref="H452:I452"/>
    <mergeCell ref="F454:G454"/>
    <mergeCell ref="H454:I454"/>
    <mergeCell ref="B452:C452"/>
    <mergeCell ref="B453:C453"/>
    <mergeCell ref="D453:E453"/>
    <mergeCell ref="F453:G453"/>
    <mergeCell ref="H453:I453"/>
    <mergeCell ref="B454:C454"/>
    <mergeCell ref="D454:E454"/>
    <mergeCell ref="D460:E460"/>
    <mergeCell ref="F460:G460"/>
    <mergeCell ref="F458:G458"/>
    <mergeCell ref="H458:I458"/>
    <mergeCell ref="B459:C459"/>
    <mergeCell ref="D459:E459"/>
    <mergeCell ref="F459:G459"/>
    <mergeCell ref="H459:I459"/>
    <mergeCell ref="H460:I460"/>
    <mergeCell ref="B455:C455"/>
    <mergeCell ref="D455:E455"/>
    <mergeCell ref="F455:G455"/>
    <mergeCell ref="H455:I455"/>
    <mergeCell ref="D456:E456"/>
    <mergeCell ref="F456:G456"/>
    <mergeCell ref="H456:I456"/>
    <mergeCell ref="B456:C456"/>
    <mergeCell ref="B457:C457"/>
    <mergeCell ref="D457:E457"/>
    <mergeCell ref="F457:G457"/>
    <mergeCell ref="H457:I457"/>
    <mergeCell ref="B458:C458"/>
    <mergeCell ref="D458:E458"/>
    <mergeCell ref="F462:G462"/>
    <mergeCell ref="H462:I462"/>
    <mergeCell ref="B460:C460"/>
    <mergeCell ref="B461:C461"/>
    <mergeCell ref="D461:E461"/>
    <mergeCell ref="F461:G461"/>
    <mergeCell ref="H461:I461"/>
    <mergeCell ref="B462:C462"/>
    <mergeCell ref="D462:E462"/>
    <mergeCell ref="B463:C463"/>
    <mergeCell ref="D463:E463"/>
    <mergeCell ref="F463:G463"/>
    <mergeCell ref="H463:I463"/>
    <mergeCell ref="D464:E464"/>
    <mergeCell ref="F464:G464"/>
    <mergeCell ref="H464:I464"/>
    <mergeCell ref="B464:C464"/>
    <mergeCell ref="B465:C465"/>
    <mergeCell ref="D465:E465"/>
    <mergeCell ref="F465:G465"/>
    <mergeCell ref="H465:I465"/>
    <mergeCell ref="B466:C466"/>
    <mergeCell ref="D466:E466"/>
    <mergeCell ref="D468:E468"/>
    <mergeCell ref="F468:G468"/>
    <mergeCell ref="F466:G466"/>
    <mergeCell ref="H466:I466"/>
    <mergeCell ref="B467:C467"/>
    <mergeCell ref="D467:E467"/>
    <mergeCell ref="F467:G467"/>
    <mergeCell ref="H467:I467"/>
    <mergeCell ref="H468:I468"/>
    <mergeCell ref="F470:G470"/>
    <mergeCell ref="H470:I470"/>
    <mergeCell ref="B468:C468"/>
    <mergeCell ref="B469:C469"/>
    <mergeCell ref="D469:E469"/>
    <mergeCell ref="F469:G469"/>
    <mergeCell ref="H469:I469"/>
    <mergeCell ref="B470:C470"/>
    <mergeCell ref="D470:E470"/>
    <mergeCell ref="D476:E476"/>
    <mergeCell ref="F476:G476"/>
    <mergeCell ref="F474:G474"/>
    <mergeCell ref="H474:I474"/>
    <mergeCell ref="B475:C475"/>
    <mergeCell ref="D475:E475"/>
    <mergeCell ref="F475:G475"/>
    <mergeCell ref="H475:I475"/>
    <mergeCell ref="H476:I476"/>
    <mergeCell ref="F478:G478"/>
    <mergeCell ref="H478:I478"/>
    <mergeCell ref="B476:C476"/>
    <mergeCell ref="B477:C477"/>
    <mergeCell ref="D477:E477"/>
    <mergeCell ref="F477:G477"/>
    <mergeCell ref="H477:I477"/>
    <mergeCell ref="B478:C478"/>
    <mergeCell ref="D478:E478"/>
    <mergeCell ref="B471:C471"/>
    <mergeCell ref="D471:E471"/>
    <mergeCell ref="F471:G471"/>
    <mergeCell ref="H471:I471"/>
    <mergeCell ref="D472:E472"/>
    <mergeCell ref="F472:G472"/>
    <mergeCell ref="H472:I472"/>
    <mergeCell ref="B472:C472"/>
    <mergeCell ref="B473:C473"/>
    <mergeCell ref="D473:E473"/>
    <mergeCell ref="F473:G473"/>
    <mergeCell ref="H473:I473"/>
    <mergeCell ref="B474:C474"/>
    <mergeCell ref="D474:E474"/>
    <mergeCell ref="B479:C479"/>
    <mergeCell ref="D479:E479"/>
    <mergeCell ref="F479:G479"/>
    <mergeCell ref="H479:I479"/>
    <mergeCell ref="D480:E480"/>
    <mergeCell ref="F480:G480"/>
    <mergeCell ref="H480:I480"/>
    <mergeCell ref="B480:C480"/>
    <mergeCell ref="B481:C481"/>
    <mergeCell ref="D481:E481"/>
    <mergeCell ref="F481:G481"/>
    <mergeCell ref="H481:I481"/>
    <mergeCell ref="B482:C482"/>
    <mergeCell ref="D482:E482"/>
    <mergeCell ref="D484:E484"/>
    <mergeCell ref="F484:G484"/>
    <mergeCell ref="F482:G482"/>
    <mergeCell ref="H482:I482"/>
    <mergeCell ref="B483:C483"/>
    <mergeCell ref="D483:E483"/>
    <mergeCell ref="F483:G483"/>
    <mergeCell ref="H483:I483"/>
    <mergeCell ref="H484:I484"/>
    <mergeCell ref="F486:G486"/>
    <mergeCell ref="H486:I486"/>
    <mergeCell ref="B484:C484"/>
    <mergeCell ref="B485:C485"/>
    <mergeCell ref="D485:E485"/>
    <mergeCell ref="F485:G485"/>
    <mergeCell ref="H485:I485"/>
    <mergeCell ref="B486:C486"/>
    <mergeCell ref="D486:E486"/>
    <mergeCell ref="B487:C487"/>
    <mergeCell ref="D487:E487"/>
    <mergeCell ref="F487:G487"/>
    <mergeCell ref="H487:I487"/>
    <mergeCell ref="D488:E488"/>
    <mergeCell ref="F488:G488"/>
    <mergeCell ref="H488:I488"/>
    <mergeCell ref="B488:C488"/>
    <mergeCell ref="B489:C489"/>
    <mergeCell ref="D489:E489"/>
    <mergeCell ref="F489:G489"/>
    <mergeCell ref="H489:I489"/>
    <mergeCell ref="B490:C490"/>
    <mergeCell ref="D490:E490"/>
    <mergeCell ref="D492:E492"/>
    <mergeCell ref="F492:G492"/>
    <mergeCell ref="F490:G490"/>
    <mergeCell ref="H490:I490"/>
    <mergeCell ref="B491:C491"/>
    <mergeCell ref="D491:E491"/>
    <mergeCell ref="F491:G491"/>
    <mergeCell ref="H491:I491"/>
    <mergeCell ref="H492:I492"/>
    <mergeCell ref="F494:G494"/>
    <mergeCell ref="H494:I494"/>
    <mergeCell ref="B492:C492"/>
    <mergeCell ref="B493:C493"/>
    <mergeCell ref="D493:E493"/>
    <mergeCell ref="F493:G493"/>
    <mergeCell ref="H493:I493"/>
    <mergeCell ref="B494:C494"/>
    <mergeCell ref="D494:E494"/>
    <mergeCell ref="B495:C495"/>
    <mergeCell ref="D495:E495"/>
    <mergeCell ref="F495:G495"/>
    <mergeCell ref="H495:I495"/>
    <mergeCell ref="D496:E496"/>
    <mergeCell ref="F496:G496"/>
    <mergeCell ref="H496:I496"/>
    <mergeCell ref="B496:C496"/>
    <mergeCell ref="B497:C497"/>
    <mergeCell ref="D497:E497"/>
    <mergeCell ref="F497:G497"/>
    <mergeCell ref="H497:I497"/>
    <mergeCell ref="B498:C498"/>
    <mergeCell ref="D498:E498"/>
    <mergeCell ref="D500:E500"/>
    <mergeCell ref="F500:G500"/>
    <mergeCell ref="F498:G498"/>
    <mergeCell ref="H498:I498"/>
    <mergeCell ref="B499:C499"/>
    <mergeCell ref="D499:E499"/>
    <mergeCell ref="F499:G499"/>
    <mergeCell ref="H499:I499"/>
    <mergeCell ref="H500:I500"/>
    <mergeCell ref="F502:G502"/>
    <mergeCell ref="H502:I502"/>
    <mergeCell ref="B500:C500"/>
    <mergeCell ref="B501:C501"/>
    <mergeCell ref="D501:E501"/>
    <mergeCell ref="F501:G501"/>
    <mergeCell ref="H501:I501"/>
    <mergeCell ref="B502:C502"/>
    <mergeCell ref="D502:E502"/>
    <mergeCell ref="B503:C503"/>
    <mergeCell ref="D503:E503"/>
    <mergeCell ref="F503:G503"/>
    <mergeCell ref="H503:I503"/>
    <mergeCell ref="D504:E504"/>
    <mergeCell ref="F504:G504"/>
    <mergeCell ref="H504:I504"/>
    <mergeCell ref="B504:C504"/>
    <mergeCell ref="B505:C505"/>
    <mergeCell ref="D505:E505"/>
    <mergeCell ref="F505:G505"/>
    <mergeCell ref="H505:I505"/>
    <mergeCell ref="B506:C506"/>
    <mergeCell ref="D506:E506"/>
    <mergeCell ref="D508:E508"/>
    <mergeCell ref="F508:G508"/>
    <mergeCell ref="F506:G506"/>
    <mergeCell ref="H506:I506"/>
    <mergeCell ref="B507:C507"/>
    <mergeCell ref="D507:E507"/>
    <mergeCell ref="F507:G507"/>
    <mergeCell ref="H507:I507"/>
    <mergeCell ref="H508:I508"/>
    <mergeCell ref="F510:G510"/>
    <mergeCell ref="H510:I510"/>
    <mergeCell ref="B508:C508"/>
    <mergeCell ref="B509:C509"/>
    <mergeCell ref="D509:E509"/>
    <mergeCell ref="F509:G509"/>
    <mergeCell ref="H509:I509"/>
    <mergeCell ref="B510:C510"/>
    <mergeCell ref="D510:E510"/>
    <mergeCell ref="D516:E516"/>
    <mergeCell ref="F516:G516"/>
    <mergeCell ref="F514:G514"/>
    <mergeCell ref="H514:I514"/>
    <mergeCell ref="B515:C515"/>
    <mergeCell ref="D515:E515"/>
    <mergeCell ref="F515:G515"/>
    <mergeCell ref="H515:I515"/>
    <mergeCell ref="H516:I516"/>
    <mergeCell ref="B511:C511"/>
    <mergeCell ref="D511:E511"/>
    <mergeCell ref="F511:G511"/>
    <mergeCell ref="H511:I511"/>
    <mergeCell ref="D512:E512"/>
    <mergeCell ref="F512:G512"/>
    <mergeCell ref="H512:I512"/>
    <mergeCell ref="B512:C512"/>
    <mergeCell ref="B513:C513"/>
    <mergeCell ref="D513:E513"/>
    <mergeCell ref="F513:G513"/>
    <mergeCell ref="H513:I513"/>
    <mergeCell ref="B514:C514"/>
    <mergeCell ref="D514:E514"/>
    <mergeCell ref="F518:G518"/>
    <mergeCell ref="H518:I518"/>
    <mergeCell ref="B516:C516"/>
    <mergeCell ref="B517:C517"/>
    <mergeCell ref="D517:E517"/>
    <mergeCell ref="F517:G517"/>
    <mergeCell ref="H517:I517"/>
    <mergeCell ref="B518:C518"/>
    <mergeCell ref="D518:E518"/>
    <mergeCell ref="B519:C519"/>
    <mergeCell ref="D519:E519"/>
    <mergeCell ref="F519:G519"/>
    <mergeCell ref="H519:I519"/>
    <mergeCell ref="D520:E520"/>
    <mergeCell ref="F520:G520"/>
    <mergeCell ref="H520:I520"/>
    <mergeCell ref="B520:C520"/>
    <mergeCell ref="B521:C521"/>
    <mergeCell ref="D521:E521"/>
    <mergeCell ref="F521:G521"/>
    <mergeCell ref="H521:I521"/>
    <mergeCell ref="B522:C522"/>
    <mergeCell ref="D522:E522"/>
    <mergeCell ref="D524:E524"/>
    <mergeCell ref="F524:G524"/>
    <mergeCell ref="F522:G522"/>
    <mergeCell ref="H522:I522"/>
    <mergeCell ref="B523:C523"/>
    <mergeCell ref="D523:E523"/>
    <mergeCell ref="F523:G523"/>
    <mergeCell ref="H523:I523"/>
    <mergeCell ref="H524:I524"/>
    <mergeCell ref="F526:G526"/>
    <mergeCell ref="H526:I526"/>
    <mergeCell ref="B524:C524"/>
    <mergeCell ref="B525:C525"/>
    <mergeCell ref="D525:E525"/>
    <mergeCell ref="F525:G525"/>
    <mergeCell ref="H525:I525"/>
    <mergeCell ref="B526:C526"/>
    <mergeCell ref="D526:E526"/>
    <mergeCell ref="D532:E532"/>
    <mergeCell ref="F532:G532"/>
    <mergeCell ref="F530:G530"/>
    <mergeCell ref="H530:I530"/>
    <mergeCell ref="B531:C531"/>
    <mergeCell ref="D531:E531"/>
    <mergeCell ref="F531:G531"/>
    <mergeCell ref="H531:I531"/>
    <mergeCell ref="H532:I532"/>
    <mergeCell ref="F534:G534"/>
    <mergeCell ref="H534:I534"/>
    <mergeCell ref="B532:C532"/>
    <mergeCell ref="B533:C533"/>
    <mergeCell ref="D533:E533"/>
    <mergeCell ref="F533:G533"/>
    <mergeCell ref="H533:I533"/>
    <mergeCell ref="B534:C534"/>
    <mergeCell ref="D534:E534"/>
    <mergeCell ref="B527:C527"/>
    <mergeCell ref="D527:E527"/>
    <mergeCell ref="F527:G527"/>
    <mergeCell ref="H527:I527"/>
    <mergeCell ref="D528:E528"/>
    <mergeCell ref="F528:G528"/>
    <mergeCell ref="H528:I528"/>
    <mergeCell ref="B528:C528"/>
    <mergeCell ref="B529:C529"/>
    <mergeCell ref="D529:E529"/>
    <mergeCell ref="F529:G529"/>
    <mergeCell ref="H529:I529"/>
    <mergeCell ref="B530:C530"/>
    <mergeCell ref="D530:E530"/>
    <mergeCell ref="B535:C535"/>
    <mergeCell ref="D535:E535"/>
    <mergeCell ref="F535:G535"/>
    <mergeCell ref="H535:I535"/>
    <mergeCell ref="D536:E536"/>
    <mergeCell ref="F536:G536"/>
    <mergeCell ref="H536:I536"/>
    <mergeCell ref="B536:C536"/>
    <mergeCell ref="B537:C537"/>
    <mergeCell ref="D537:E537"/>
    <mergeCell ref="F537:G537"/>
    <mergeCell ref="H537:I537"/>
    <mergeCell ref="B538:C538"/>
    <mergeCell ref="D538:E538"/>
    <mergeCell ref="D540:E540"/>
    <mergeCell ref="F540:G540"/>
    <mergeCell ref="F538:G538"/>
    <mergeCell ref="H538:I538"/>
    <mergeCell ref="B539:C539"/>
    <mergeCell ref="D539:E539"/>
    <mergeCell ref="F539:G539"/>
    <mergeCell ref="H539:I539"/>
    <mergeCell ref="H540:I540"/>
    <mergeCell ref="F542:G542"/>
    <mergeCell ref="H542:I542"/>
    <mergeCell ref="B540:C540"/>
    <mergeCell ref="B541:C541"/>
    <mergeCell ref="D541:E541"/>
    <mergeCell ref="F541:G541"/>
    <mergeCell ref="H541:I541"/>
    <mergeCell ref="B542:C542"/>
    <mergeCell ref="D542:E542"/>
    <mergeCell ref="B543:C543"/>
    <mergeCell ref="D543:E543"/>
    <mergeCell ref="F543:G543"/>
    <mergeCell ref="H543:I543"/>
    <mergeCell ref="D544:E544"/>
    <mergeCell ref="F544:G544"/>
    <mergeCell ref="H544:I544"/>
    <mergeCell ref="B544:C544"/>
    <mergeCell ref="B545:C545"/>
    <mergeCell ref="D545:E545"/>
    <mergeCell ref="F545:G545"/>
    <mergeCell ref="H545:I545"/>
    <mergeCell ref="B546:C546"/>
    <mergeCell ref="D546:E546"/>
    <mergeCell ref="D548:E548"/>
    <mergeCell ref="F548:G548"/>
    <mergeCell ref="F546:G546"/>
    <mergeCell ref="H546:I546"/>
    <mergeCell ref="B547:C547"/>
    <mergeCell ref="D547:E547"/>
    <mergeCell ref="F547:G547"/>
    <mergeCell ref="H547:I547"/>
    <mergeCell ref="H548:I548"/>
    <mergeCell ref="F550:G550"/>
    <mergeCell ref="H550:I550"/>
    <mergeCell ref="B548:C548"/>
    <mergeCell ref="B549:C549"/>
    <mergeCell ref="D549:E549"/>
    <mergeCell ref="F549:G549"/>
    <mergeCell ref="H549:I549"/>
    <mergeCell ref="B550:C550"/>
    <mergeCell ref="D550:E550"/>
    <mergeCell ref="B551:C551"/>
    <mergeCell ref="D551:E551"/>
    <mergeCell ref="F551:G551"/>
    <mergeCell ref="H551:I551"/>
    <mergeCell ref="D552:E552"/>
    <mergeCell ref="F552:G552"/>
    <mergeCell ref="H552:I552"/>
    <mergeCell ref="B552:C552"/>
    <mergeCell ref="B553:C553"/>
    <mergeCell ref="D553:E553"/>
    <mergeCell ref="F553:G553"/>
    <mergeCell ref="H553:I553"/>
    <mergeCell ref="B554:C554"/>
    <mergeCell ref="D554:E554"/>
    <mergeCell ref="D556:E556"/>
    <mergeCell ref="F556:G556"/>
    <mergeCell ref="F554:G554"/>
    <mergeCell ref="H554:I554"/>
    <mergeCell ref="B555:C555"/>
    <mergeCell ref="D555:E555"/>
    <mergeCell ref="F555:G555"/>
    <mergeCell ref="H555:I555"/>
    <mergeCell ref="H556:I556"/>
    <mergeCell ref="F558:G558"/>
    <mergeCell ref="H558:I558"/>
    <mergeCell ref="B556:C556"/>
    <mergeCell ref="B557:C557"/>
    <mergeCell ref="D557:E557"/>
    <mergeCell ref="F557:G557"/>
    <mergeCell ref="H557:I557"/>
    <mergeCell ref="B558:C558"/>
    <mergeCell ref="D558:E558"/>
    <mergeCell ref="B559:C559"/>
    <mergeCell ref="D559:E559"/>
    <mergeCell ref="F559:G559"/>
    <mergeCell ref="H559:I559"/>
    <mergeCell ref="D560:E560"/>
    <mergeCell ref="F560:G560"/>
    <mergeCell ref="H560:I560"/>
    <mergeCell ref="B560:C560"/>
    <mergeCell ref="B561:C561"/>
    <mergeCell ref="D561:E561"/>
    <mergeCell ref="F561:G561"/>
    <mergeCell ref="H561:I561"/>
    <mergeCell ref="B562:C562"/>
    <mergeCell ref="D562:E562"/>
    <mergeCell ref="D564:E564"/>
    <mergeCell ref="F564:G564"/>
    <mergeCell ref="F562:G562"/>
    <mergeCell ref="H562:I562"/>
    <mergeCell ref="B563:C563"/>
    <mergeCell ref="D563:E563"/>
    <mergeCell ref="F563:G563"/>
    <mergeCell ref="H563:I563"/>
    <mergeCell ref="H564:I564"/>
    <mergeCell ref="F566:G566"/>
    <mergeCell ref="H566:I566"/>
    <mergeCell ref="B564:C564"/>
    <mergeCell ref="B565:C565"/>
    <mergeCell ref="D565:E565"/>
    <mergeCell ref="F565:G565"/>
    <mergeCell ref="H565:I565"/>
    <mergeCell ref="B566:C566"/>
    <mergeCell ref="D566:E566"/>
    <mergeCell ref="D572:E572"/>
    <mergeCell ref="F572:G572"/>
    <mergeCell ref="F570:G570"/>
    <mergeCell ref="H570:I570"/>
    <mergeCell ref="B571:C571"/>
    <mergeCell ref="D571:E571"/>
    <mergeCell ref="F571:G571"/>
    <mergeCell ref="H571:I571"/>
    <mergeCell ref="H572:I572"/>
    <mergeCell ref="B567:C567"/>
    <mergeCell ref="D567:E567"/>
    <mergeCell ref="F567:G567"/>
    <mergeCell ref="H567:I567"/>
    <mergeCell ref="D568:E568"/>
    <mergeCell ref="F568:G568"/>
    <mergeCell ref="H568:I568"/>
    <mergeCell ref="B568:C568"/>
    <mergeCell ref="B569:C569"/>
    <mergeCell ref="D569:E569"/>
    <mergeCell ref="F569:G569"/>
    <mergeCell ref="H569:I569"/>
    <mergeCell ref="B570:C570"/>
    <mergeCell ref="D570:E570"/>
    <mergeCell ref="F574:G574"/>
    <mergeCell ref="H574:I574"/>
    <mergeCell ref="B572:C572"/>
    <mergeCell ref="B573:C573"/>
    <mergeCell ref="D573:E573"/>
    <mergeCell ref="F573:G573"/>
    <mergeCell ref="H573:I573"/>
    <mergeCell ref="B574:C574"/>
    <mergeCell ref="D574:E574"/>
    <mergeCell ref="B575:C575"/>
    <mergeCell ref="D575:E575"/>
    <mergeCell ref="F575:G575"/>
    <mergeCell ref="H575:I575"/>
    <mergeCell ref="D576:E576"/>
    <mergeCell ref="F576:G576"/>
    <mergeCell ref="H576:I576"/>
    <mergeCell ref="B576:C576"/>
    <mergeCell ref="B577:C577"/>
    <mergeCell ref="D577:E577"/>
    <mergeCell ref="F577:G577"/>
    <mergeCell ref="H577:I577"/>
    <mergeCell ref="B578:C578"/>
    <mergeCell ref="D578:E578"/>
    <mergeCell ref="D580:E580"/>
    <mergeCell ref="F580:G580"/>
    <mergeCell ref="F578:G578"/>
    <mergeCell ref="H578:I578"/>
    <mergeCell ref="B579:C579"/>
    <mergeCell ref="D579:E579"/>
    <mergeCell ref="F579:G579"/>
    <mergeCell ref="H579:I579"/>
    <mergeCell ref="H580:I580"/>
    <mergeCell ref="F582:G582"/>
    <mergeCell ref="H582:I582"/>
    <mergeCell ref="B580:C580"/>
    <mergeCell ref="B581:C581"/>
    <mergeCell ref="D581:E581"/>
    <mergeCell ref="F581:G581"/>
    <mergeCell ref="H581:I581"/>
    <mergeCell ref="B582:C582"/>
    <mergeCell ref="D582:E582"/>
    <mergeCell ref="D588:E588"/>
    <mergeCell ref="F588:G588"/>
    <mergeCell ref="F586:G586"/>
    <mergeCell ref="H586:I586"/>
    <mergeCell ref="B587:C587"/>
    <mergeCell ref="D587:E587"/>
    <mergeCell ref="F587:G587"/>
    <mergeCell ref="H587:I587"/>
    <mergeCell ref="H588:I588"/>
    <mergeCell ref="F590:G590"/>
    <mergeCell ref="H590:I590"/>
    <mergeCell ref="B588:C588"/>
    <mergeCell ref="B589:C589"/>
    <mergeCell ref="D589:E589"/>
    <mergeCell ref="F589:G589"/>
    <mergeCell ref="H589:I589"/>
    <mergeCell ref="B590:C590"/>
    <mergeCell ref="D590:E590"/>
    <mergeCell ref="B583:C583"/>
    <mergeCell ref="D583:E583"/>
    <mergeCell ref="F583:G583"/>
    <mergeCell ref="H583:I583"/>
    <mergeCell ref="D584:E584"/>
    <mergeCell ref="F584:G584"/>
    <mergeCell ref="H584:I584"/>
    <mergeCell ref="B584:C584"/>
    <mergeCell ref="B585:C585"/>
    <mergeCell ref="D585:E585"/>
    <mergeCell ref="F585:G585"/>
    <mergeCell ref="H585:I585"/>
    <mergeCell ref="B586:C586"/>
    <mergeCell ref="D586:E586"/>
    <mergeCell ref="B591:C591"/>
    <mergeCell ref="D591:E591"/>
    <mergeCell ref="F591:G591"/>
    <mergeCell ref="H591:I591"/>
    <mergeCell ref="D592:E592"/>
    <mergeCell ref="F592:G592"/>
    <mergeCell ref="H592:I592"/>
    <mergeCell ref="B592:C592"/>
    <mergeCell ref="B593:C593"/>
    <mergeCell ref="D593:E593"/>
    <mergeCell ref="F593:G593"/>
    <mergeCell ref="H593:I593"/>
    <mergeCell ref="B594:C594"/>
    <mergeCell ref="D594:E594"/>
    <mergeCell ref="D596:E596"/>
    <mergeCell ref="F596:G596"/>
    <mergeCell ref="F594:G594"/>
    <mergeCell ref="H594:I594"/>
    <mergeCell ref="B595:C595"/>
    <mergeCell ref="D595:E595"/>
    <mergeCell ref="F595:G595"/>
    <mergeCell ref="H595:I595"/>
    <mergeCell ref="H596:I596"/>
    <mergeCell ref="F598:G598"/>
    <mergeCell ref="H598:I598"/>
    <mergeCell ref="B596:C596"/>
    <mergeCell ref="B597:C597"/>
    <mergeCell ref="D597:E597"/>
    <mergeCell ref="F597:G597"/>
    <mergeCell ref="H597:I597"/>
    <mergeCell ref="B598:C598"/>
    <mergeCell ref="D598:E598"/>
    <mergeCell ref="B599:C599"/>
    <mergeCell ref="D599:E599"/>
    <mergeCell ref="F599:G599"/>
    <mergeCell ref="H599:I599"/>
    <mergeCell ref="D600:E600"/>
    <mergeCell ref="F600:G600"/>
    <mergeCell ref="H600:I600"/>
    <mergeCell ref="B600:C600"/>
    <mergeCell ref="B601:C601"/>
    <mergeCell ref="D601:E601"/>
    <mergeCell ref="F601:G601"/>
    <mergeCell ref="H601:I601"/>
    <mergeCell ref="B602:C602"/>
    <mergeCell ref="D602:E602"/>
    <mergeCell ref="D604:E604"/>
    <mergeCell ref="F604:G604"/>
    <mergeCell ref="F602:G602"/>
    <mergeCell ref="H602:I602"/>
    <mergeCell ref="B603:C603"/>
    <mergeCell ref="D603:E603"/>
    <mergeCell ref="F603:G603"/>
    <mergeCell ref="H603:I603"/>
    <mergeCell ref="H604:I604"/>
    <mergeCell ref="F606:G606"/>
    <mergeCell ref="H606:I606"/>
    <mergeCell ref="B604:C604"/>
    <mergeCell ref="B605:C605"/>
    <mergeCell ref="D605:E605"/>
    <mergeCell ref="F605:G605"/>
    <mergeCell ref="H605:I605"/>
    <mergeCell ref="B606:C606"/>
    <mergeCell ref="D606:E606"/>
    <mergeCell ref="B607:C607"/>
    <mergeCell ref="D607:E607"/>
    <mergeCell ref="F607:G607"/>
    <mergeCell ref="H607:I607"/>
    <mergeCell ref="D608:E608"/>
    <mergeCell ref="F608:G608"/>
    <mergeCell ref="H608:I608"/>
    <mergeCell ref="B608:C608"/>
    <mergeCell ref="B609:C609"/>
    <mergeCell ref="D609:E609"/>
    <mergeCell ref="F609:G609"/>
    <mergeCell ref="H609:I609"/>
    <mergeCell ref="B610:C610"/>
    <mergeCell ref="D610:E610"/>
    <mergeCell ref="D612:E612"/>
    <mergeCell ref="F612:G612"/>
    <mergeCell ref="F610:G610"/>
    <mergeCell ref="H610:I610"/>
    <mergeCell ref="B611:C611"/>
    <mergeCell ref="D611:E611"/>
    <mergeCell ref="F611:G611"/>
    <mergeCell ref="H611:I611"/>
    <mergeCell ref="H612:I612"/>
    <mergeCell ref="F614:G614"/>
    <mergeCell ref="H614:I614"/>
    <mergeCell ref="B612:C612"/>
    <mergeCell ref="B613:C613"/>
    <mergeCell ref="D613:E613"/>
    <mergeCell ref="F613:G613"/>
    <mergeCell ref="H613:I613"/>
    <mergeCell ref="B614:C614"/>
    <mergeCell ref="D614:E614"/>
    <mergeCell ref="B615:C615"/>
    <mergeCell ref="D615:E615"/>
    <mergeCell ref="F615:G615"/>
    <mergeCell ref="H615:I615"/>
    <mergeCell ref="D616:E616"/>
    <mergeCell ref="F616:G616"/>
    <mergeCell ref="H616:I616"/>
    <mergeCell ref="B616:C616"/>
    <mergeCell ref="B617:C617"/>
    <mergeCell ref="D617:E617"/>
    <mergeCell ref="F617:G617"/>
    <mergeCell ref="H617:I617"/>
    <mergeCell ref="B618:C618"/>
    <mergeCell ref="D618:E618"/>
    <mergeCell ref="D620:E620"/>
    <mergeCell ref="F620:G620"/>
    <mergeCell ref="F618:G618"/>
    <mergeCell ref="H618:I618"/>
    <mergeCell ref="B619:C619"/>
    <mergeCell ref="D619:E619"/>
    <mergeCell ref="F619:G619"/>
    <mergeCell ref="H619:I619"/>
    <mergeCell ref="H620:I620"/>
    <mergeCell ref="F622:G622"/>
    <mergeCell ref="H622:I622"/>
    <mergeCell ref="B620:C620"/>
    <mergeCell ref="B621:C621"/>
    <mergeCell ref="D621:E621"/>
    <mergeCell ref="F621:G621"/>
    <mergeCell ref="H621:I621"/>
    <mergeCell ref="B622:C622"/>
    <mergeCell ref="D622:E622"/>
    <mergeCell ref="D628:E628"/>
    <mergeCell ref="F628:G628"/>
    <mergeCell ref="F626:G626"/>
    <mergeCell ref="H626:I626"/>
    <mergeCell ref="B627:C627"/>
    <mergeCell ref="D627:E627"/>
    <mergeCell ref="F627:G627"/>
    <mergeCell ref="H627:I627"/>
    <mergeCell ref="H628:I628"/>
    <mergeCell ref="B623:C623"/>
    <mergeCell ref="D623:E623"/>
    <mergeCell ref="F623:G623"/>
    <mergeCell ref="H623:I623"/>
    <mergeCell ref="D624:E624"/>
    <mergeCell ref="F624:G624"/>
    <mergeCell ref="H624:I624"/>
    <mergeCell ref="B624:C624"/>
    <mergeCell ref="B625:C625"/>
    <mergeCell ref="D625:E625"/>
    <mergeCell ref="F625:G625"/>
    <mergeCell ref="H625:I625"/>
    <mergeCell ref="B626:C626"/>
    <mergeCell ref="D626:E626"/>
    <mergeCell ref="F630:G630"/>
    <mergeCell ref="H630:I630"/>
    <mergeCell ref="B628:C628"/>
    <mergeCell ref="B629:C629"/>
    <mergeCell ref="D629:E629"/>
    <mergeCell ref="F629:G629"/>
    <mergeCell ref="H629:I629"/>
    <mergeCell ref="B630:C630"/>
    <mergeCell ref="D630:E630"/>
    <mergeCell ref="B631:C631"/>
    <mergeCell ref="D631:E631"/>
    <mergeCell ref="F631:G631"/>
    <mergeCell ref="H631:I631"/>
    <mergeCell ref="D632:E632"/>
    <mergeCell ref="F632:G632"/>
    <mergeCell ref="H632:I632"/>
    <mergeCell ref="B632:C632"/>
    <mergeCell ref="B633:C633"/>
    <mergeCell ref="D633:E633"/>
    <mergeCell ref="F633:G633"/>
    <mergeCell ref="H633:I633"/>
    <mergeCell ref="B634:C634"/>
    <mergeCell ref="D634:E634"/>
    <mergeCell ref="D636:E636"/>
    <mergeCell ref="F636:G636"/>
    <mergeCell ref="F634:G634"/>
    <mergeCell ref="H634:I634"/>
    <mergeCell ref="B635:C635"/>
    <mergeCell ref="D635:E635"/>
    <mergeCell ref="F635:G635"/>
    <mergeCell ref="H635:I635"/>
    <mergeCell ref="H636:I636"/>
    <mergeCell ref="F638:G638"/>
    <mergeCell ref="H638:I638"/>
    <mergeCell ref="B636:C636"/>
    <mergeCell ref="B637:C637"/>
    <mergeCell ref="D637:E637"/>
    <mergeCell ref="F637:G637"/>
    <mergeCell ref="H637:I637"/>
    <mergeCell ref="B638:C638"/>
    <mergeCell ref="D638:E638"/>
    <mergeCell ref="D644:E644"/>
    <mergeCell ref="F644:G644"/>
    <mergeCell ref="F642:G642"/>
    <mergeCell ref="H642:I642"/>
    <mergeCell ref="B643:C643"/>
    <mergeCell ref="D643:E643"/>
    <mergeCell ref="F643:G643"/>
    <mergeCell ref="H643:I643"/>
    <mergeCell ref="H644:I644"/>
    <mergeCell ref="F646:G646"/>
    <mergeCell ref="H646:I646"/>
    <mergeCell ref="B644:C644"/>
    <mergeCell ref="B645:C645"/>
    <mergeCell ref="D645:E645"/>
    <mergeCell ref="F645:G645"/>
    <mergeCell ref="H645:I645"/>
    <mergeCell ref="B646:C646"/>
    <mergeCell ref="D646:E646"/>
    <mergeCell ref="B639:C639"/>
    <mergeCell ref="D639:E639"/>
    <mergeCell ref="F639:G639"/>
    <mergeCell ref="H639:I639"/>
    <mergeCell ref="D640:E640"/>
    <mergeCell ref="F640:G640"/>
    <mergeCell ref="H640:I640"/>
    <mergeCell ref="B640:C640"/>
    <mergeCell ref="B641:C641"/>
    <mergeCell ref="D641:E641"/>
    <mergeCell ref="F641:G641"/>
    <mergeCell ref="H641:I641"/>
    <mergeCell ref="B642:C642"/>
    <mergeCell ref="D642:E642"/>
    <mergeCell ref="B647:C647"/>
    <mergeCell ref="D647:E647"/>
    <mergeCell ref="F647:G647"/>
    <mergeCell ref="H647:I647"/>
    <mergeCell ref="D648:E648"/>
    <mergeCell ref="F648:G648"/>
    <mergeCell ref="H648:I648"/>
    <mergeCell ref="B648:C648"/>
    <mergeCell ref="B649:C649"/>
    <mergeCell ref="D649:E649"/>
    <mergeCell ref="F649:G649"/>
    <mergeCell ref="H649:I649"/>
    <mergeCell ref="B650:C650"/>
    <mergeCell ref="D650:E650"/>
    <mergeCell ref="D652:E652"/>
    <mergeCell ref="F652:G652"/>
    <mergeCell ref="F650:G650"/>
    <mergeCell ref="H650:I650"/>
    <mergeCell ref="B651:C651"/>
    <mergeCell ref="D651:E651"/>
    <mergeCell ref="F651:G651"/>
    <mergeCell ref="H651:I651"/>
    <mergeCell ref="H652:I652"/>
    <mergeCell ref="F654:G654"/>
    <mergeCell ref="H654:I654"/>
    <mergeCell ref="B652:C652"/>
    <mergeCell ref="B653:C653"/>
    <mergeCell ref="D653:E653"/>
    <mergeCell ref="F653:G653"/>
    <mergeCell ref="H653:I653"/>
    <mergeCell ref="B654:C654"/>
    <mergeCell ref="D654:E654"/>
    <mergeCell ref="B655:C655"/>
    <mergeCell ref="D655:E655"/>
    <mergeCell ref="F655:G655"/>
    <mergeCell ref="H655:I655"/>
    <mergeCell ref="D656:E656"/>
    <mergeCell ref="F656:G656"/>
    <mergeCell ref="H656:I656"/>
    <mergeCell ref="B656:C656"/>
    <mergeCell ref="B657:C657"/>
    <mergeCell ref="D657:E657"/>
    <mergeCell ref="F657:G657"/>
    <mergeCell ref="H657:I657"/>
    <mergeCell ref="B658:C658"/>
    <mergeCell ref="D658:E658"/>
    <mergeCell ref="D660:E660"/>
    <mergeCell ref="F660:G660"/>
    <mergeCell ref="F658:G658"/>
    <mergeCell ref="H658:I658"/>
    <mergeCell ref="B659:C659"/>
    <mergeCell ref="D659:E659"/>
    <mergeCell ref="F659:G659"/>
    <mergeCell ref="H659:I659"/>
    <mergeCell ref="H660:I660"/>
    <mergeCell ref="F662:G662"/>
    <mergeCell ref="H662:I662"/>
    <mergeCell ref="B660:C660"/>
    <mergeCell ref="B661:C661"/>
    <mergeCell ref="D661:E661"/>
    <mergeCell ref="F661:G661"/>
    <mergeCell ref="H661:I661"/>
    <mergeCell ref="B662:C662"/>
    <mergeCell ref="D662:E662"/>
    <mergeCell ref="B663:C663"/>
    <mergeCell ref="D663:E663"/>
    <mergeCell ref="F663:G663"/>
    <mergeCell ref="H663:I663"/>
    <mergeCell ref="D664:E664"/>
    <mergeCell ref="F664:G664"/>
    <mergeCell ref="H664:I664"/>
    <mergeCell ref="B664:C664"/>
    <mergeCell ref="B665:C665"/>
    <mergeCell ref="D665:E665"/>
    <mergeCell ref="F665:G665"/>
    <mergeCell ref="H665:I665"/>
    <mergeCell ref="B666:C666"/>
    <mergeCell ref="D666:E666"/>
    <mergeCell ref="D668:E668"/>
    <mergeCell ref="F668:G668"/>
    <mergeCell ref="F666:G666"/>
    <mergeCell ref="H666:I666"/>
    <mergeCell ref="B667:C667"/>
    <mergeCell ref="D667:E667"/>
    <mergeCell ref="F667:G667"/>
    <mergeCell ref="H667:I667"/>
    <mergeCell ref="H668:I668"/>
    <mergeCell ref="F670:G670"/>
    <mergeCell ref="H670:I670"/>
    <mergeCell ref="B668:C668"/>
    <mergeCell ref="B669:C669"/>
    <mergeCell ref="D669:E669"/>
    <mergeCell ref="F669:G669"/>
    <mergeCell ref="H669:I669"/>
    <mergeCell ref="B670:C670"/>
    <mergeCell ref="D670:E670"/>
    <mergeCell ref="B671:C671"/>
    <mergeCell ref="D671:E671"/>
    <mergeCell ref="F671:G671"/>
    <mergeCell ref="H671:I671"/>
    <mergeCell ref="D672:E672"/>
    <mergeCell ref="F672:G672"/>
    <mergeCell ref="H672:I672"/>
    <mergeCell ref="B672:C672"/>
    <mergeCell ref="B673:C673"/>
    <mergeCell ref="D673:E673"/>
    <mergeCell ref="F673:G673"/>
    <mergeCell ref="H673:I673"/>
    <mergeCell ref="B674:C674"/>
    <mergeCell ref="D674:E674"/>
    <mergeCell ref="D676:E676"/>
    <mergeCell ref="F676:G676"/>
    <mergeCell ref="F674:G674"/>
    <mergeCell ref="H674:I674"/>
    <mergeCell ref="B675:C675"/>
    <mergeCell ref="D675:E675"/>
    <mergeCell ref="F675:G675"/>
    <mergeCell ref="H675:I675"/>
    <mergeCell ref="H676:I676"/>
    <mergeCell ref="F678:G678"/>
    <mergeCell ref="H678:I678"/>
    <mergeCell ref="B676:C676"/>
    <mergeCell ref="B677:C677"/>
    <mergeCell ref="D677:E677"/>
    <mergeCell ref="F677:G677"/>
    <mergeCell ref="H677:I677"/>
    <mergeCell ref="B678:C678"/>
    <mergeCell ref="D678:E678"/>
    <mergeCell ref="D684:E684"/>
    <mergeCell ref="F684:G684"/>
    <mergeCell ref="F682:G682"/>
    <mergeCell ref="H682:I682"/>
    <mergeCell ref="B683:C683"/>
    <mergeCell ref="D683:E683"/>
    <mergeCell ref="F683:G683"/>
    <mergeCell ref="H683:I683"/>
    <mergeCell ref="H684:I684"/>
    <mergeCell ref="B679:C679"/>
    <mergeCell ref="D679:E679"/>
    <mergeCell ref="F679:G679"/>
    <mergeCell ref="H679:I679"/>
    <mergeCell ref="D680:E680"/>
    <mergeCell ref="F680:G680"/>
    <mergeCell ref="H680:I680"/>
    <mergeCell ref="B680:C680"/>
    <mergeCell ref="B681:C681"/>
    <mergeCell ref="D681:E681"/>
    <mergeCell ref="F681:G681"/>
    <mergeCell ref="H681:I681"/>
    <mergeCell ref="B682:C682"/>
    <mergeCell ref="D682:E682"/>
    <mergeCell ref="F686:G686"/>
    <mergeCell ref="H686:I686"/>
    <mergeCell ref="B684:C684"/>
    <mergeCell ref="B685:C685"/>
    <mergeCell ref="D685:E685"/>
    <mergeCell ref="F685:G685"/>
    <mergeCell ref="H685:I685"/>
    <mergeCell ref="B686:C686"/>
    <mergeCell ref="D686:E686"/>
    <mergeCell ref="B687:C687"/>
    <mergeCell ref="D687:E687"/>
    <mergeCell ref="F687:G687"/>
    <mergeCell ref="H687:I687"/>
    <mergeCell ref="D688:E688"/>
    <mergeCell ref="F688:G688"/>
    <mergeCell ref="H688:I688"/>
    <mergeCell ref="B688:C688"/>
    <mergeCell ref="B689:C689"/>
    <mergeCell ref="D689:E689"/>
    <mergeCell ref="F689:G689"/>
    <mergeCell ref="H689:I689"/>
    <mergeCell ref="B690:C690"/>
    <mergeCell ref="D690:E690"/>
    <mergeCell ref="D692:E692"/>
    <mergeCell ref="F692:G692"/>
    <mergeCell ref="F690:G690"/>
    <mergeCell ref="H690:I690"/>
    <mergeCell ref="B691:C691"/>
    <mergeCell ref="D691:E691"/>
    <mergeCell ref="F691:G691"/>
    <mergeCell ref="H691:I691"/>
    <mergeCell ref="H692:I692"/>
    <mergeCell ref="F694:G694"/>
    <mergeCell ref="H694:I694"/>
    <mergeCell ref="B692:C692"/>
    <mergeCell ref="B693:C693"/>
    <mergeCell ref="D693:E693"/>
    <mergeCell ref="F693:G693"/>
    <mergeCell ref="H693:I693"/>
    <mergeCell ref="B694:C694"/>
    <mergeCell ref="D694:E694"/>
    <mergeCell ref="D700:E700"/>
    <mergeCell ref="F700:G700"/>
    <mergeCell ref="F698:G698"/>
    <mergeCell ref="H698:I698"/>
    <mergeCell ref="B699:C699"/>
    <mergeCell ref="D699:E699"/>
    <mergeCell ref="F699:G699"/>
    <mergeCell ref="H699:I699"/>
    <mergeCell ref="H700:I700"/>
    <mergeCell ref="F702:G702"/>
    <mergeCell ref="H702:I702"/>
    <mergeCell ref="B700:C700"/>
    <mergeCell ref="B701:C701"/>
    <mergeCell ref="D701:E701"/>
    <mergeCell ref="F701:G701"/>
    <mergeCell ref="H701:I701"/>
    <mergeCell ref="B702:C702"/>
    <mergeCell ref="D702:E702"/>
    <mergeCell ref="B695:C695"/>
    <mergeCell ref="D695:E695"/>
    <mergeCell ref="F695:G695"/>
    <mergeCell ref="H695:I695"/>
    <mergeCell ref="D696:E696"/>
    <mergeCell ref="F696:G696"/>
    <mergeCell ref="H696:I696"/>
    <mergeCell ref="B696:C696"/>
    <mergeCell ref="B697:C697"/>
    <mergeCell ref="D697:E697"/>
    <mergeCell ref="F697:G697"/>
    <mergeCell ref="H697:I697"/>
    <mergeCell ref="B698:C698"/>
    <mergeCell ref="D698:E698"/>
    <mergeCell ref="B703:C703"/>
    <mergeCell ref="D703:E703"/>
    <mergeCell ref="F703:G703"/>
    <mergeCell ref="H703:I703"/>
    <mergeCell ref="D704:E704"/>
    <mergeCell ref="F704:G704"/>
    <mergeCell ref="H704:I704"/>
    <mergeCell ref="B704:C704"/>
    <mergeCell ref="B705:C705"/>
    <mergeCell ref="D705:E705"/>
    <mergeCell ref="F705:G705"/>
    <mergeCell ref="H705:I705"/>
    <mergeCell ref="B706:C706"/>
    <mergeCell ref="D706:E706"/>
    <mergeCell ref="D708:E708"/>
    <mergeCell ref="F708:G708"/>
    <mergeCell ref="F706:G706"/>
    <mergeCell ref="H706:I706"/>
    <mergeCell ref="B707:C707"/>
    <mergeCell ref="D707:E707"/>
    <mergeCell ref="F707:G707"/>
    <mergeCell ref="H707:I707"/>
    <mergeCell ref="H708:I708"/>
    <mergeCell ref="F710:G710"/>
    <mergeCell ref="H710:I710"/>
    <mergeCell ref="B708:C708"/>
    <mergeCell ref="B709:C709"/>
    <mergeCell ref="D709:E709"/>
    <mergeCell ref="F709:G709"/>
    <mergeCell ref="H709:I709"/>
    <mergeCell ref="B710:C710"/>
    <mergeCell ref="D710:E710"/>
    <mergeCell ref="B711:C711"/>
    <mergeCell ref="D711:E711"/>
    <mergeCell ref="F711:G711"/>
    <mergeCell ref="H711:I711"/>
    <mergeCell ref="D712:E712"/>
    <mergeCell ref="F712:G712"/>
    <mergeCell ref="H712:I712"/>
    <mergeCell ref="B712:C712"/>
    <mergeCell ref="B713:C713"/>
    <mergeCell ref="D713:E713"/>
    <mergeCell ref="F713:G713"/>
    <mergeCell ref="H713:I713"/>
    <mergeCell ref="B714:C714"/>
    <mergeCell ref="D714:E714"/>
    <mergeCell ref="D716:E716"/>
    <mergeCell ref="F716:G716"/>
    <mergeCell ref="F714:G714"/>
    <mergeCell ref="H714:I714"/>
    <mergeCell ref="B715:C715"/>
    <mergeCell ref="D715:E715"/>
    <mergeCell ref="F715:G715"/>
    <mergeCell ref="H715:I715"/>
    <mergeCell ref="H716:I716"/>
    <mergeCell ref="F718:G718"/>
    <mergeCell ref="H718:I718"/>
    <mergeCell ref="B716:C716"/>
    <mergeCell ref="B717:C717"/>
    <mergeCell ref="D717:E717"/>
    <mergeCell ref="F717:G717"/>
    <mergeCell ref="H717:I717"/>
    <mergeCell ref="B718:C718"/>
    <mergeCell ref="D718:E718"/>
    <mergeCell ref="B719:C719"/>
    <mergeCell ref="D719:E719"/>
    <mergeCell ref="F719:G719"/>
    <mergeCell ref="H719:I719"/>
    <mergeCell ref="D720:E720"/>
    <mergeCell ref="F720:G720"/>
    <mergeCell ref="H720:I720"/>
    <mergeCell ref="B720:C720"/>
    <mergeCell ref="B721:C721"/>
    <mergeCell ref="D721:E721"/>
    <mergeCell ref="F721:G721"/>
    <mergeCell ref="H721:I721"/>
    <mergeCell ref="B722:C722"/>
    <mergeCell ref="D722:E722"/>
    <mergeCell ref="D724:E724"/>
    <mergeCell ref="F724:G724"/>
    <mergeCell ref="F722:G722"/>
    <mergeCell ref="H722:I722"/>
    <mergeCell ref="B723:C723"/>
    <mergeCell ref="D723:E723"/>
    <mergeCell ref="F723:G723"/>
    <mergeCell ref="H723:I723"/>
    <mergeCell ref="H724:I724"/>
    <mergeCell ref="F726:G726"/>
    <mergeCell ref="H726:I726"/>
    <mergeCell ref="B724:C724"/>
    <mergeCell ref="B725:C725"/>
    <mergeCell ref="D725:E725"/>
    <mergeCell ref="F725:G725"/>
    <mergeCell ref="H725:I725"/>
    <mergeCell ref="B726:C726"/>
    <mergeCell ref="D726:E726"/>
    <mergeCell ref="B727:C727"/>
    <mergeCell ref="D727:E727"/>
    <mergeCell ref="F727:G727"/>
    <mergeCell ref="H727:I727"/>
    <mergeCell ref="D728:E728"/>
    <mergeCell ref="F728:G728"/>
    <mergeCell ref="H728:I728"/>
    <mergeCell ref="B728:C728"/>
    <mergeCell ref="B729:C729"/>
    <mergeCell ref="D729:E729"/>
    <mergeCell ref="F729:G729"/>
    <mergeCell ref="H729:I729"/>
    <mergeCell ref="B730:C730"/>
    <mergeCell ref="D730:E730"/>
    <mergeCell ref="D732:E732"/>
    <mergeCell ref="F732:G732"/>
    <mergeCell ref="F730:G730"/>
    <mergeCell ref="H730:I730"/>
    <mergeCell ref="B731:C731"/>
    <mergeCell ref="D731:E731"/>
    <mergeCell ref="F731:G731"/>
    <mergeCell ref="H731:I731"/>
    <mergeCell ref="H732:I732"/>
    <mergeCell ref="F734:G734"/>
    <mergeCell ref="H734:I734"/>
    <mergeCell ref="B732:C732"/>
    <mergeCell ref="B733:C733"/>
    <mergeCell ref="D733:E733"/>
    <mergeCell ref="F733:G733"/>
    <mergeCell ref="H733:I733"/>
    <mergeCell ref="B734:C734"/>
    <mergeCell ref="D734:E734"/>
    <mergeCell ref="D740:E740"/>
    <mergeCell ref="F740:G740"/>
    <mergeCell ref="F738:G738"/>
    <mergeCell ref="H738:I738"/>
    <mergeCell ref="B739:C739"/>
    <mergeCell ref="D739:E739"/>
    <mergeCell ref="F739:G739"/>
    <mergeCell ref="H739:I739"/>
    <mergeCell ref="H740:I740"/>
    <mergeCell ref="B735:C735"/>
    <mergeCell ref="D735:E735"/>
    <mergeCell ref="F735:G735"/>
    <mergeCell ref="H735:I735"/>
    <mergeCell ref="D736:E736"/>
    <mergeCell ref="F736:G736"/>
    <mergeCell ref="H736:I736"/>
    <mergeCell ref="B736:C736"/>
    <mergeCell ref="B737:C737"/>
    <mergeCell ref="D737:E737"/>
    <mergeCell ref="F737:G737"/>
    <mergeCell ref="H737:I737"/>
    <mergeCell ref="B738:C738"/>
    <mergeCell ref="D738:E738"/>
    <mergeCell ref="F742:G742"/>
    <mergeCell ref="H742:I742"/>
    <mergeCell ref="B740:C740"/>
    <mergeCell ref="B741:C741"/>
    <mergeCell ref="D741:E741"/>
    <mergeCell ref="F741:G741"/>
    <mergeCell ref="H741:I741"/>
    <mergeCell ref="B742:C742"/>
    <mergeCell ref="D742:E742"/>
    <mergeCell ref="B743:C743"/>
    <mergeCell ref="D743:E743"/>
    <mergeCell ref="F743:G743"/>
    <mergeCell ref="H743:I743"/>
    <mergeCell ref="D744:E744"/>
    <mergeCell ref="F744:G744"/>
    <mergeCell ref="H744:I744"/>
    <mergeCell ref="B744:C744"/>
    <mergeCell ref="B745:C745"/>
    <mergeCell ref="D745:E745"/>
    <mergeCell ref="F745:G745"/>
    <mergeCell ref="H745:I745"/>
    <mergeCell ref="B746:C746"/>
    <mergeCell ref="D746:E746"/>
    <mergeCell ref="D748:E748"/>
    <mergeCell ref="F748:G748"/>
    <mergeCell ref="F746:G746"/>
    <mergeCell ref="H746:I746"/>
    <mergeCell ref="B747:C747"/>
    <mergeCell ref="D747:E747"/>
    <mergeCell ref="F747:G747"/>
    <mergeCell ref="H747:I747"/>
    <mergeCell ref="H748:I748"/>
    <mergeCell ref="F750:G750"/>
    <mergeCell ref="H750:I750"/>
    <mergeCell ref="B748:C748"/>
    <mergeCell ref="B749:C749"/>
    <mergeCell ref="D749:E749"/>
    <mergeCell ref="F749:G749"/>
    <mergeCell ref="H749:I749"/>
    <mergeCell ref="B750:C750"/>
    <mergeCell ref="D750:E750"/>
    <mergeCell ref="D756:E756"/>
    <mergeCell ref="F756:G756"/>
    <mergeCell ref="F754:G754"/>
    <mergeCell ref="H754:I754"/>
    <mergeCell ref="B755:C755"/>
    <mergeCell ref="D755:E755"/>
    <mergeCell ref="F755:G755"/>
    <mergeCell ref="H755:I755"/>
    <mergeCell ref="H756:I756"/>
    <mergeCell ref="F758:G758"/>
    <mergeCell ref="H758:I758"/>
    <mergeCell ref="B756:C756"/>
    <mergeCell ref="B757:C757"/>
    <mergeCell ref="D757:E757"/>
    <mergeCell ref="F757:G757"/>
    <mergeCell ref="H757:I757"/>
    <mergeCell ref="B758:C758"/>
    <mergeCell ref="D758:E758"/>
    <mergeCell ref="B751:C751"/>
    <mergeCell ref="D751:E751"/>
    <mergeCell ref="F751:G751"/>
    <mergeCell ref="H751:I751"/>
    <mergeCell ref="D752:E752"/>
    <mergeCell ref="F752:G752"/>
    <mergeCell ref="H752:I752"/>
    <mergeCell ref="B752:C752"/>
    <mergeCell ref="B753:C753"/>
    <mergeCell ref="D753:E753"/>
    <mergeCell ref="F753:G753"/>
    <mergeCell ref="H753:I753"/>
    <mergeCell ref="B754:C754"/>
    <mergeCell ref="D754:E754"/>
    <mergeCell ref="B759:C759"/>
    <mergeCell ref="D759:E759"/>
    <mergeCell ref="F759:G759"/>
    <mergeCell ref="H759:I759"/>
    <mergeCell ref="D760:E760"/>
    <mergeCell ref="F760:G760"/>
    <mergeCell ref="H760:I760"/>
    <mergeCell ref="B760:C760"/>
    <mergeCell ref="B761:C761"/>
    <mergeCell ref="D761:E761"/>
    <mergeCell ref="F761:G761"/>
    <mergeCell ref="H761:I761"/>
    <mergeCell ref="B762:C762"/>
    <mergeCell ref="D762:E762"/>
    <mergeCell ref="D764:E764"/>
    <mergeCell ref="F764:G764"/>
    <mergeCell ref="F762:G762"/>
    <mergeCell ref="H762:I762"/>
    <mergeCell ref="B763:C763"/>
    <mergeCell ref="D763:E763"/>
    <mergeCell ref="F763:G763"/>
    <mergeCell ref="H763:I763"/>
    <mergeCell ref="H764:I764"/>
    <mergeCell ref="F766:G766"/>
    <mergeCell ref="H766:I766"/>
    <mergeCell ref="B764:C764"/>
    <mergeCell ref="B765:C765"/>
    <mergeCell ref="D765:E765"/>
    <mergeCell ref="F765:G765"/>
    <mergeCell ref="H765:I765"/>
    <mergeCell ref="B766:C766"/>
    <mergeCell ref="D766:E766"/>
    <mergeCell ref="B767:C767"/>
    <mergeCell ref="D767:E767"/>
    <mergeCell ref="F767:G767"/>
    <mergeCell ref="H767:I767"/>
    <mergeCell ref="D768:E768"/>
    <mergeCell ref="F768:G768"/>
    <mergeCell ref="H768:I768"/>
    <mergeCell ref="B768:C768"/>
    <mergeCell ref="B769:C769"/>
    <mergeCell ref="D769:E769"/>
    <mergeCell ref="F769:G769"/>
    <mergeCell ref="H769:I769"/>
    <mergeCell ref="B770:C770"/>
    <mergeCell ref="D770:E770"/>
    <mergeCell ref="D772:E772"/>
    <mergeCell ref="F772:G772"/>
    <mergeCell ref="F770:G770"/>
    <mergeCell ref="H770:I770"/>
    <mergeCell ref="B771:C771"/>
    <mergeCell ref="D771:E771"/>
    <mergeCell ref="F771:G771"/>
    <mergeCell ref="H771:I771"/>
    <mergeCell ref="H772:I772"/>
    <mergeCell ref="F774:G774"/>
    <mergeCell ref="H774:I774"/>
    <mergeCell ref="B772:C772"/>
    <mergeCell ref="B773:C773"/>
    <mergeCell ref="D773:E773"/>
    <mergeCell ref="F773:G773"/>
    <mergeCell ref="H773:I773"/>
    <mergeCell ref="B774:C774"/>
    <mergeCell ref="D774:E774"/>
    <mergeCell ref="B775:C775"/>
    <mergeCell ref="D775:E775"/>
    <mergeCell ref="F775:G775"/>
    <mergeCell ref="H775:I775"/>
    <mergeCell ref="D776:E776"/>
    <mergeCell ref="F776:G776"/>
    <mergeCell ref="H776:I776"/>
    <mergeCell ref="B776:C776"/>
    <mergeCell ref="B777:C777"/>
    <mergeCell ref="D777:E777"/>
    <mergeCell ref="F777:G777"/>
    <mergeCell ref="H777:I777"/>
    <mergeCell ref="B778:C778"/>
    <mergeCell ref="D778:E778"/>
    <mergeCell ref="D780:E780"/>
    <mergeCell ref="F780:G780"/>
    <mergeCell ref="F778:G778"/>
    <mergeCell ref="H778:I778"/>
    <mergeCell ref="B779:C779"/>
    <mergeCell ref="D779:E779"/>
    <mergeCell ref="F779:G779"/>
    <mergeCell ref="H779:I779"/>
    <mergeCell ref="H780:I780"/>
    <mergeCell ref="F782:G782"/>
    <mergeCell ref="H782:I782"/>
    <mergeCell ref="B780:C780"/>
    <mergeCell ref="B781:C781"/>
    <mergeCell ref="D781:E781"/>
    <mergeCell ref="F781:G781"/>
    <mergeCell ref="H781:I781"/>
    <mergeCell ref="B782:C782"/>
    <mergeCell ref="D782:E782"/>
    <mergeCell ref="B783:C783"/>
    <mergeCell ref="D783:E783"/>
    <mergeCell ref="F783:G783"/>
    <mergeCell ref="H783:I783"/>
    <mergeCell ref="D784:E784"/>
    <mergeCell ref="F784:G784"/>
    <mergeCell ref="H784:I784"/>
    <mergeCell ref="B784:C784"/>
    <mergeCell ref="B785:C785"/>
    <mergeCell ref="D785:E785"/>
    <mergeCell ref="F785:G785"/>
    <mergeCell ref="H785:I785"/>
    <mergeCell ref="B786:C786"/>
    <mergeCell ref="D786:E786"/>
    <mergeCell ref="D788:E788"/>
    <mergeCell ref="F788:G788"/>
    <mergeCell ref="F786:G786"/>
    <mergeCell ref="H786:I786"/>
    <mergeCell ref="B787:C787"/>
    <mergeCell ref="D787:E787"/>
    <mergeCell ref="F787:G787"/>
    <mergeCell ref="H787:I787"/>
    <mergeCell ref="H788:I788"/>
    <mergeCell ref="F790:G790"/>
    <mergeCell ref="H790:I790"/>
    <mergeCell ref="B788:C788"/>
    <mergeCell ref="B789:C789"/>
    <mergeCell ref="D789:E789"/>
    <mergeCell ref="F789:G789"/>
    <mergeCell ref="H789:I789"/>
    <mergeCell ref="B790:C790"/>
    <mergeCell ref="D790:E790"/>
    <mergeCell ref="D796:E796"/>
    <mergeCell ref="F796:G796"/>
    <mergeCell ref="F794:G794"/>
    <mergeCell ref="H794:I794"/>
    <mergeCell ref="B795:C795"/>
    <mergeCell ref="D795:E795"/>
    <mergeCell ref="F795:G795"/>
    <mergeCell ref="H795:I795"/>
    <mergeCell ref="H796:I796"/>
    <mergeCell ref="L767:M767"/>
    <mergeCell ref="L768:M768"/>
    <mergeCell ref="L769:M769"/>
    <mergeCell ref="L770:M770"/>
    <mergeCell ref="L771:M771"/>
    <mergeCell ref="L772:M772"/>
    <mergeCell ref="L773:M773"/>
    <mergeCell ref="L774:M774"/>
    <mergeCell ref="L775:M775"/>
    <mergeCell ref="L776:M776"/>
    <mergeCell ref="L777:M777"/>
    <mergeCell ref="L778:M778"/>
    <mergeCell ref="L779:M779"/>
    <mergeCell ref="L780:M780"/>
    <mergeCell ref="L781:M781"/>
    <mergeCell ref="L782:M782"/>
    <mergeCell ref="L783:M783"/>
    <mergeCell ref="L784:M784"/>
    <mergeCell ref="L785:M785"/>
    <mergeCell ref="L786:M786"/>
    <mergeCell ref="L787:M787"/>
    <mergeCell ref="L788:M788"/>
    <mergeCell ref="L789:M789"/>
    <mergeCell ref="L790:M790"/>
    <mergeCell ref="L791:M791"/>
    <mergeCell ref="L792:M792"/>
    <mergeCell ref="L793:M793"/>
    <mergeCell ref="L794:M794"/>
    <mergeCell ref="L795:M795"/>
    <mergeCell ref="L796:M796"/>
    <mergeCell ref="L797:M797"/>
    <mergeCell ref="L798:M798"/>
    <mergeCell ref="L799:M799"/>
    <mergeCell ref="L800:M800"/>
    <mergeCell ref="L801:M801"/>
    <mergeCell ref="L802:M802"/>
    <mergeCell ref="L803:M803"/>
    <mergeCell ref="L804:M804"/>
    <mergeCell ref="L805:M805"/>
    <mergeCell ref="L806:M806"/>
    <mergeCell ref="L807:M807"/>
    <mergeCell ref="L808:M808"/>
    <mergeCell ref="L809:M809"/>
    <mergeCell ref="L810:M810"/>
    <mergeCell ref="L811:M811"/>
    <mergeCell ref="L812:M812"/>
    <mergeCell ref="L813:M813"/>
    <mergeCell ref="L814:M814"/>
    <mergeCell ref="L815:M815"/>
    <mergeCell ref="L816:M816"/>
    <mergeCell ref="L817:M817"/>
    <mergeCell ref="L818:M818"/>
    <mergeCell ref="L819:M819"/>
    <mergeCell ref="L820:M820"/>
    <mergeCell ref="L821:M821"/>
    <mergeCell ref="L822:M822"/>
    <mergeCell ref="L823:M823"/>
    <mergeCell ref="L824:M824"/>
    <mergeCell ref="L825:M825"/>
    <mergeCell ref="L826:M826"/>
    <mergeCell ref="L827:M827"/>
    <mergeCell ref="L828:M828"/>
    <mergeCell ref="L829:M829"/>
    <mergeCell ref="L830:M830"/>
    <mergeCell ref="L831:M831"/>
    <mergeCell ref="L832:M832"/>
    <mergeCell ref="L833:M833"/>
    <mergeCell ref="L834:M834"/>
    <mergeCell ref="L835:M835"/>
    <mergeCell ref="L836:M836"/>
    <mergeCell ref="L837:M837"/>
    <mergeCell ref="L838:M838"/>
    <mergeCell ref="L839:M839"/>
    <mergeCell ref="L840:M840"/>
    <mergeCell ref="L841:M841"/>
    <mergeCell ref="L842:M842"/>
    <mergeCell ref="L843:M843"/>
    <mergeCell ref="L844:M844"/>
    <mergeCell ref="L845:M845"/>
    <mergeCell ref="L846:M846"/>
    <mergeCell ref="L847:M847"/>
    <mergeCell ref="L848:M848"/>
    <mergeCell ref="L849:M849"/>
    <mergeCell ref="L850:M850"/>
    <mergeCell ref="L851:M851"/>
    <mergeCell ref="L852:M852"/>
    <mergeCell ref="L853:M853"/>
    <mergeCell ref="L854:M854"/>
    <mergeCell ref="L855:M855"/>
    <mergeCell ref="L856:M856"/>
    <mergeCell ref="L857:M857"/>
    <mergeCell ref="L858:M858"/>
    <mergeCell ref="L859:M859"/>
    <mergeCell ref="L860:M860"/>
    <mergeCell ref="L861:M861"/>
    <mergeCell ref="L862:M862"/>
    <mergeCell ref="L863:M863"/>
    <mergeCell ref="L864:M864"/>
    <mergeCell ref="L865:M865"/>
    <mergeCell ref="L866:M866"/>
    <mergeCell ref="L867:M867"/>
    <mergeCell ref="L868:M868"/>
    <mergeCell ref="L869:M869"/>
    <mergeCell ref="L870:M870"/>
    <mergeCell ref="L871:M871"/>
    <mergeCell ref="L872:M872"/>
    <mergeCell ref="L873:M873"/>
    <mergeCell ref="L874:M874"/>
    <mergeCell ref="L875:M875"/>
    <mergeCell ref="L876:M876"/>
    <mergeCell ref="L877:M877"/>
    <mergeCell ref="L878:M878"/>
    <mergeCell ref="L879:M879"/>
    <mergeCell ref="L880:M880"/>
    <mergeCell ref="L881:M881"/>
    <mergeCell ref="L882:M882"/>
    <mergeCell ref="L883:M883"/>
    <mergeCell ref="L884:M884"/>
    <mergeCell ref="L885:M885"/>
    <mergeCell ref="L886:M886"/>
    <mergeCell ref="L887:M887"/>
    <mergeCell ref="L888:M888"/>
    <mergeCell ref="L889:M889"/>
    <mergeCell ref="L890:M890"/>
    <mergeCell ref="L891:M891"/>
    <mergeCell ref="L892:M892"/>
    <mergeCell ref="L893:M893"/>
    <mergeCell ref="L894:M894"/>
    <mergeCell ref="L895:M895"/>
    <mergeCell ref="L896:M896"/>
    <mergeCell ref="L897:M897"/>
    <mergeCell ref="L898:M898"/>
    <mergeCell ref="L899:M899"/>
    <mergeCell ref="L900:M900"/>
    <mergeCell ref="L901:M901"/>
    <mergeCell ref="L902:M902"/>
    <mergeCell ref="L903:M903"/>
    <mergeCell ref="L904:M904"/>
    <mergeCell ref="L905:M905"/>
    <mergeCell ref="L906:M906"/>
    <mergeCell ref="L907:M907"/>
    <mergeCell ref="L908:M908"/>
    <mergeCell ref="L909:M909"/>
    <mergeCell ref="L910:M910"/>
    <mergeCell ref="L911:M911"/>
    <mergeCell ref="L912:M912"/>
    <mergeCell ref="L913:M913"/>
    <mergeCell ref="L914:M914"/>
    <mergeCell ref="L915:M915"/>
    <mergeCell ref="L916:M916"/>
    <mergeCell ref="L917:M917"/>
    <mergeCell ref="L918:M918"/>
    <mergeCell ref="L919:M919"/>
    <mergeCell ref="L920:M920"/>
    <mergeCell ref="L921:M921"/>
    <mergeCell ref="L922:M922"/>
    <mergeCell ref="L923:M923"/>
    <mergeCell ref="L924:M924"/>
    <mergeCell ref="L925:M925"/>
    <mergeCell ref="L926:M926"/>
    <mergeCell ref="L927:M927"/>
    <mergeCell ref="L928:M928"/>
    <mergeCell ref="L929:M929"/>
    <mergeCell ref="L930:M930"/>
    <mergeCell ref="L931:M931"/>
    <mergeCell ref="L932:M932"/>
    <mergeCell ref="L933:M933"/>
    <mergeCell ref="L934:M934"/>
    <mergeCell ref="L935:M935"/>
    <mergeCell ref="L936:M936"/>
    <mergeCell ref="L937:M937"/>
    <mergeCell ref="L938:M938"/>
    <mergeCell ref="L939:M939"/>
    <mergeCell ref="L940:M940"/>
    <mergeCell ref="L941:M941"/>
    <mergeCell ref="L942:M942"/>
    <mergeCell ref="L943:M943"/>
    <mergeCell ref="L944:M944"/>
    <mergeCell ref="L945:M945"/>
    <mergeCell ref="L946:M946"/>
    <mergeCell ref="L947:M947"/>
    <mergeCell ref="L948:M948"/>
    <mergeCell ref="L949:M949"/>
    <mergeCell ref="L950:M950"/>
    <mergeCell ref="L951:M951"/>
    <mergeCell ref="L952:M952"/>
    <mergeCell ref="L953:M953"/>
    <mergeCell ref="L954:M954"/>
    <mergeCell ref="L955:M955"/>
    <mergeCell ref="L956:M956"/>
    <mergeCell ref="L957:M957"/>
    <mergeCell ref="L958:M958"/>
    <mergeCell ref="L959:M959"/>
    <mergeCell ref="L960:M960"/>
    <mergeCell ref="L961:M961"/>
    <mergeCell ref="L962:M962"/>
    <mergeCell ref="L963:M963"/>
    <mergeCell ref="L964:M964"/>
    <mergeCell ref="L965:M965"/>
    <mergeCell ref="L966:M966"/>
    <mergeCell ref="L967:M967"/>
    <mergeCell ref="L968:M968"/>
    <mergeCell ref="L969:M969"/>
    <mergeCell ref="L970:M970"/>
    <mergeCell ref="L971:M971"/>
    <mergeCell ref="L972:M972"/>
    <mergeCell ref="L973:M973"/>
    <mergeCell ref="L974:M974"/>
    <mergeCell ref="L975:M975"/>
    <mergeCell ref="L976:M976"/>
    <mergeCell ref="L977:M977"/>
    <mergeCell ref="L978:M978"/>
    <mergeCell ref="L979:M979"/>
    <mergeCell ref="L980:M980"/>
    <mergeCell ref="L981:M981"/>
    <mergeCell ref="L982:M982"/>
    <mergeCell ref="L983:M983"/>
    <mergeCell ref="L984:M984"/>
    <mergeCell ref="L985:M985"/>
    <mergeCell ref="L986:M986"/>
    <mergeCell ref="L987:M987"/>
    <mergeCell ref="L988:M988"/>
    <mergeCell ref="L989:M989"/>
    <mergeCell ref="L990:M990"/>
    <mergeCell ref="L991:M991"/>
    <mergeCell ref="L992:M992"/>
    <mergeCell ref="L993:M993"/>
    <mergeCell ref="L994:M994"/>
    <mergeCell ref="L995:M995"/>
    <mergeCell ref="L996:M996"/>
    <mergeCell ref="L997:M997"/>
    <mergeCell ref="L998:M998"/>
    <mergeCell ref="L999:M999"/>
    <mergeCell ref="L1000:M1000"/>
    <mergeCell ref="L1001:M1001"/>
    <mergeCell ref="L1002:M1002"/>
    <mergeCell ref="L1003:M1003"/>
    <mergeCell ref="L1004:M1004"/>
    <mergeCell ref="L1005:M1005"/>
    <mergeCell ref="L1006:M1006"/>
    <mergeCell ref="L1007:M1007"/>
    <mergeCell ref="L1008:M1008"/>
    <mergeCell ref="L1009:M1009"/>
    <mergeCell ref="L1010:M1010"/>
    <mergeCell ref="L1011:M1011"/>
    <mergeCell ref="L1068:M1068"/>
    <mergeCell ref="L1069:M1069"/>
    <mergeCell ref="L1070:M1070"/>
    <mergeCell ref="L1071:M1071"/>
    <mergeCell ref="L1072:M1072"/>
    <mergeCell ref="L1073:M1073"/>
    <mergeCell ref="L1061:M1061"/>
    <mergeCell ref="L1062:M1062"/>
    <mergeCell ref="L1063:M1063"/>
    <mergeCell ref="L1064:M1064"/>
    <mergeCell ref="L1065:M1065"/>
    <mergeCell ref="L1066:M1066"/>
    <mergeCell ref="L1067:M1067"/>
    <mergeCell ref="L1012:M1012"/>
    <mergeCell ref="L1013:M1013"/>
    <mergeCell ref="L1014:M1014"/>
    <mergeCell ref="L1015:M1015"/>
    <mergeCell ref="L1016:M1016"/>
    <mergeCell ref="L1017:M1017"/>
    <mergeCell ref="L1018:M1018"/>
    <mergeCell ref="L1019:M1019"/>
    <mergeCell ref="L1020:M1020"/>
    <mergeCell ref="L1021:M1021"/>
    <mergeCell ref="L1022:M1022"/>
    <mergeCell ref="L1023:M1023"/>
    <mergeCell ref="L1024:M1024"/>
    <mergeCell ref="L1025:M1025"/>
    <mergeCell ref="L1026:M1026"/>
    <mergeCell ref="L1027:M1027"/>
    <mergeCell ref="L1028:M1028"/>
    <mergeCell ref="L1029:M1029"/>
    <mergeCell ref="L1030:M1030"/>
    <mergeCell ref="L1031:M1031"/>
    <mergeCell ref="L1032:M1032"/>
    <mergeCell ref="L1033:M1033"/>
    <mergeCell ref="L1034:M1034"/>
    <mergeCell ref="L1035:M1035"/>
    <mergeCell ref="L1036:M1036"/>
    <mergeCell ref="L1037:M1037"/>
    <mergeCell ref="L1038:M1038"/>
    <mergeCell ref="L1039:M1039"/>
    <mergeCell ref="L1040:M1040"/>
    <mergeCell ref="L1041:M1041"/>
    <mergeCell ref="L1042:M1042"/>
    <mergeCell ref="L1043:M1043"/>
    <mergeCell ref="L1044:M1044"/>
    <mergeCell ref="L1045:M1045"/>
    <mergeCell ref="L1046:M1046"/>
    <mergeCell ref="L1047:M1047"/>
    <mergeCell ref="L1048:M1048"/>
    <mergeCell ref="L1049:M1049"/>
    <mergeCell ref="L1050:M1050"/>
    <mergeCell ref="L1051:M1051"/>
    <mergeCell ref="L1052:M1052"/>
    <mergeCell ref="L1053:M1053"/>
    <mergeCell ref="L1054:M1054"/>
    <mergeCell ref="L1055:M1055"/>
    <mergeCell ref="L1056:M1056"/>
    <mergeCell ref="L1057:M1057"/>
    <mergeCell ref="L1058:M1058"/>
    <mergeCell ref="L1059:M1059"/>
    <mergeCell ref="L1060:M1060"/>
    <mergeCell ref="L424:M424"/>
    <mergeCell ref="L425:M425"/>
    <mergeCell ref="L426:M426"/>
    <mergeCell ref="L427:M427"/>
    <mergeCell ref="L428:M428"/>
    <mergeCell ref="L429:M429"/>
    <mergeCell ref="L430:M430"/>
    <mergeCell ref="L431:M431"/>
    <mergeCell ref="L432:M432"/>
    <mergeCell ref="L433:M433"/>
    <mergeCell ref="L434:M434"/>
    <mergeCell ref="L435:M435"/>
    <mergeCell ref="L436:M436"/>
    <mergeCell ref="L437:M437"/>
    <mergeCell ref="L438:M438"/>
    <mergeCell ref="L439:M439"/>
    <mergeCell ref="L440:M440"/>
    <mergeCell ref="L441:M441"/>
    <mergeCell ref="L442:M442"/>
    <mergeCell ref="L443:M443"/>
    <mergeCell ref="L444:M444"/>
    <mergeCell ref="L445:M445"/>
    <mergeCell ref="L446:M446"/>
    <mergeCell ref="L447:M447"/>
    <mergeCell ref="L448:M448"/>
    <mergeCell ref="L449:M449"/>
    <mergeCell ref="L450:M450"/>
    <mergeCell ref="L451:M451"/>
    <mergeCell ref="L452:M452"/>
    <mergeCell ref="L453:M453"/>
    <mergeCell ref="L454:M454"/>
    <mergeCell ref="L455:M455"/>
    <mergeCell ref="L456:M456"/>
    <mergeCell ref="L457:M457"/>
    <mergeCell ref="L458:M458"/>
    <mergeCell ref="L459:M459"/>
    <mergeCell ref="L460:M460"/>
    <mergeCell ref="L461:M461"/>
    <mergeCell ref="L462:M462"/>
    <mergeCell ref="L463:M463"/>
    <mergeCell ref="L464:M464"/>
    <mergeCell ref="L465:M465"/>
    <mergeCell ref="L466:M466"/>
    <mergeCell ref="L467:M467"/>
    <mergeCell ref="L468:M468"/>
    <mergeCell ref="L469:M469"/>
    <mergeCell ref="L470:M470"/>
    <mergeCell ref="L471:M471"/>
    <mergeCell ref="L472:M472"/>
    <mergeCell ref="L473:M473"/>
    <mergeCell ref="L474:M474"/>
    <mergeCell ref="L475:M475"/>
    <mergeCell ref="L476:M476"/>
    <mergeCell ref="L477:M477"/>
    <mergeCell ref="L478:M478"/>
    <mergeCell ref="L479:M479"/>
    <mergeCell ref="L480:M480"/>
    <mergeCell ref="L481:M481"/>
    <mergeCell ref="L482:M482"/>
    <mergeCell ref="L483:M483"/>
    <mergeCell ref="L484:M484"/>
    <mergeCell ref="L485:M485"/>
    <mergeCell ref="L486:M486"/>
    <mergeCell ref="L487:M487"/>
    <mergeCell ref="L488:M488"/>
    <mergeCell ref="L489:M489"/>
    <mergeCell ref="L490:M490"/>
    <mergeCell ref="L491:M491"/>
    <mergeCell ref="L492:M492"/>
    <mergeCell ref="L493:M493"/>
    <mergeCell ref="L494:M494"/>
    <mergeCell ref="L495:M495"/>
    <mergeCell ref="L496:M496"/>
    <mergeCell ref="L497:M497"/>
    <mergeCell ref="L498:M498"/>
    <mergeCell ref="L499:M499"/>
    <mergeCell ref="L500:M500"/>
    <mergeCell ref="L501:M501"/>
    <mergeCell ref="L502:M502"/>
    <mergeCell ref="L503:M503"/>
    <mergeCell ref="L504:M504"/>
    <mergeCell ref="L505:M505"/>
    <mergeCell ref="L506:M506"/>
    <mergeCell ref="L507:M507"/>
    <mergeCell ref="L508:M508"/>
    <mergeCell ref="L509:M509"/>
    <mergeCell ref="L510:M510"/>
    <mergeCell ref="L511:M511"/>
    <mergeCell ref="L512:M512"/>
    <mergeCell ref="L513:M513"/>
    <mergeCell ref="L514:M514"/>
    <mergeCell ref="L515:M515"/>
    <mergeCell ref="L516:M516"/>
    <mergeCell ref="L517:M517"/>
    <mergeCell ref="L518:M518"/>
    <mergeCell ref="L519:M519"/>
    <mergeCell ref="L520:M520"/>
    <mergeCell ref="L521:M521"/>
    <mergeCell ref="L522:M522"/>
    <mergeCell ref="L523:M523"/>
    <mergeCell ref="L524:M524"/>
    <mergeCell ref="L525:M525"/>
    <mergeCell ref="L526:M526"/>
    <mergeCell ref="L527:M527"/>
    <mergeCell ref="L528:M528"/>
    <mergeCell ref="L529:M529"/>
    <mergeCell ref="L530:M530"/>
    <mergeCell ref="L531:M531"/>
    <mergeCell ref="L532:M532"/>
    <mergeCell ref="L533:M533"/>
    <mergeCell ref="L534:M534"/>
    <mergeCell ref="L535:M535"/>
    <mergeCell ref="L536:M536"/>
    <mergeCell ref="L537:M537"/>
    <mergeCell ref="L538:M538"/>
    <mergeCell ref="L539:M539"/>
    <mergeCell ref="L540:M540"/>
    <mergeCell ref="L541:M541"/>
    <mergeCell ref="L542:M542"/>
    <mergeCell ref="L543:M543"/>
    <mergeCell ref="L544:M544"/>
    <mergeCell ref="L545:M545"/>
    <mergeCell ref="L546:M546"/>
    <mergeCell ref="L547:M547"/>
    <mergeCell ref="L548:M548"/>
    <mergeCell ref="L549:M549"/>
    <mergeCell ref="L550:M550"/>
    <mergeCell ref="L551:M551"/>
    <mergeCell ref="L552:M552"/>
    <mergeCell ref="L553:M553"/>
    <mergeCell ref="L554:M554"/>
    <mergeCell ref="L555:M555"/>
    <mergeCell ref="L556:M556"/>
    <mergeCell ref="L557:M557"/>
    <mergeCell ref="L558:M558"/>
    <mergeCell ref="L559:M559"/>
    <mergeCell ref="L560:M560"/>
    <mergeCell ref="L561:M561"/>
    <mergeCell ref="L562:M562"/>
    <mergeCell ref="L563:M563"/>
    <mergeCell ref="L564:M564"/>
    <mergeCell ref="L565:M565"/>
    <mergeCell ref="L566:M566"/>
    <mergeCell ref="L567:M567"/>
    <mergeCell ref="L568:M568"/>
    <mergeCell ref="L569:M569"/>
    <mergeCell ref="L570:M570"/>
    <mergeCell ref="L571:M571"/>
    <mergeCell ref="L572:M572"/>
    <mergeCell ref="L573:M573"/>
    <mergeCell ref="L574:M574"/>
    <mergeCell ref="L575:M575"/>
    <mergeCell ref="L576:M576"/>
    <mergeCell ref="L577:M577"/>
    <mergeCell ref="L578:M578"/>
    <mergeCell ref="L579:M579"/>
    <mergeCell ref="L580:M580"/>
    <mergeCell ref="L581:M581"/>
    <mergeCell ref="L582:M582"/>
    <mergeCell ref="L583:M583"/>
    <mergeCell ref="L584:M584"/>
    <mergeCell ref="L585:M585"/>
    <mergeCell ref="L586:M586"/>
    <mergeCell ref="L587:M587"/>
    <mergeCell ref="L588:M588"/>
    <mergeCell ref="L589:M589"/>
    <mergeCell ref="L590:M590"/>
    <mergeCell ref="L591:M591"/>
    <mergeCell ref="L592:M592"/>
    <mergeCell ref="L593:M593"/>
    <mergeCell ref="L594:M594"/>
    <mergeCell ref="L595:M595"/>
    <mergeCell ref="L596:M596"/>
    <mergeCell ref="L597:M597"/>
    <mergeCell ref="L598:M598"/>
    <mergeCell ref="L599:M599"/>
    <mergeCell ref="L600:M600"/>
    <mergeCell ref="L601:M601"/>
    <mergeCell ref="L602:M602"/>
    <mergeCell ref="L603:M603"/>
    <mergeCell ref="L604:M604"/>
    <mergeCell ref="L605:M605"/>
    <mergeCell ref="L606:M606"/>
    <mergeCell ref="L607:M607"/>
    <mergeCell ref="L608:M608"/>
    <mergeCell ref="L609:M609"/>
    <mergeCell ref="L610:M610"/>
    <mergeCell ref="L611:M611"/>
    <mergeCell ref="L612:M612"/>
    <mergeCell ref="L613:M613"/>
    <mergeCell ref="L614:M614"/>
    <mergeCell ref="L615:M615"/>
    <mergeCell ref="L616:M616"/>
    <mergeCell ref="L617:M617"/>
    <mergeCell ref="L618:M618"/>
    <mergeCell ref="L619:M619"/>
    <mergeCell ref="L620:M620"/>
    <mergeCell ref="L621:M621"/>
    <mergeCell ref="L622:M622"/>
    <mergeCell ref="L623:M623"/>
    <mergeCell ref="L624:M624"/>
    <mergeCell ref="L625:M625"/>
    <mergeCell ref="L626:M626"/>
    <mergeCell ref="L627:M627"/>
    <mergeCell ref="L628:M628"/>
    <mergeCell ref="L629:M629"/>
    <mergeCell ref="L630:M630"/>
    <mergeCell ref="L631:M631"/>
    <mergeCell ref="L632:M632"/>
    <mergeCell ref="L633:M633"/>
    <mergeCell ref="L634:M634"/>
    <mergeCell ref="L635:M635"/>
    <mergeCell ref="L636:M636"/>
    <mergeCell ref="L637:M637"/>
    <mergeCell ref="L638:M638"/>
    <mergeCell ref="L639:M639"/>
    <mergeCell ref="L640:M640"/>
    <mergeCell ref="L641:M641"/>
    <mergeCell ref="L642:M642"/>
    <mergeCell ref="L643:M643"/>
    <mergeCell ref="L644:M644"/>
    <mergeCell ref="L645:M645"/>
    <mergeCell ref="L646:M646"/>
    <mergeCell ref="L647:M647"/>
    <mergeCell ref="L648:M648"/>
    <mergeCell ref="L649:M649"/>
    <mergeCell ref="L650:M650"/>
    <mergeCell ref="L651:M651"/>
    <mergeCell ref="L652:M652"/>
    <mergeCell ref="L653:M653"/>
    <mergeCell ref="L654:M654"/>
    <mergeCell ref="L655:M655"/>
    <mergeCell ref="L656:M656"/>
    <mergeCell ref="L657:M657"/>
    <mergeCell ref="L658:M658"/>
    <mergeCell ref="L659:M659"/>
    <mergeCell ref="L660:M660"/>
    <mergeCell ref="L661:M661"/>
    <mergeCell ref="L662:M662"/>
    <mergeCell ref="L663:M663"/>
    <mergeCell ref="L664:M664"/>
    <mergeCell ref="L665:M665"/>
    <mergeCell ref="L666:M666"/>
    <mergeCell ref="L667:M667"/>
    <mergeCell ref="L668:M668"/>
    <mergeCell ref="L669:M669"/>
    <mergeCell ref="L670:M670"/>
    <mergeCell ref="L671:M671"/>
    <mergeCell ref="L672:M672"/>
    <mergeCell ref="L673:M673"/>
    <mergeCell ref="L674:M674"/>
    <mergeCell ref="L675:M675"/>
    <mergeCell ref="L676:M676"/>
    <mergeCell ref="L677:M677"/>
    <mergeCell ref="L678:M678"/>
    <mergeCell ref="L679:M679"/>
    <mergeCell ref="L680:M680"/>
    <mergeCell ref="L681:M681"/>
    <mergeCell ref="L682:M682"/>
    <mergeCell ref="L683:M683"/>
    <mergeCell ref="L684:M684"/>
    <mergeCell ref="L685:M685"/>
    <mergeCell ref="L686:M686"/>
    <mergeCell ref="L687:M687"/>
    <mergeCell ref="L688:M688"/>
    <mergeCell ref="L689:M689"/>
    <mergeCell ref="L690:M690"/>
    <mergeCell ref="L691:M691"/>
    <mergeCell ref="L692:M692"/>
    <mergeCell ref="L693:M693"/>
    <mergeCell ref="L694:M694"/>
    <mergeCell ref="L695:M695"/>
    <mergeCell ref="L696:M696"/>
    <mergeCell ref="L697:M697"/>
    <mergeCell ref="L698:M698"/>
    <mergeCell ref="L699:M699"/>
    <mergeCell ref="L700:M700"/>
    <mergeCell ref="L701:M701"/>
    <mergeCell ref="L702:M702"/>
    <mergeCell ref="L703:M703"/>
    <mergeCell ref="L704:M704"/>
    <mergeCell ref="L705:M705"/>
    <mergeCell ref="L706:M706"/>
    <mergeCell ref="L707:M707"/>
    <mergeCell ref="L708:M708"/>
    <mergeCell ref="L709:M709"/>
    <mergeCell ref="L710:M710"/>
    <mergeCell ref="L711:M711"/>
    <mergeCell ref="L712:M712"/>
    <mergeCell ref="L713:M713"/>
    <mergeCell ref="L714:M714"/>
    <mergeCell ref="L715:M715"/>
    <mergeCell ref="L716:M716"/>
    <mergeCell ref="L717:M717"/>
    <mergeCell ref="L718:M718"/>
    <mergeCell ref="L719:M719"/>
    <mergeCell ref="L720:M720"/>
    <mergeCell ref="L721:M721"/>
    <mergeCell ref="L722:M722"/>
    <mergeCell ref="L723:M723"/>
    <mergeCell ref="L724:M724"/>
    <mergeCell ref="L725:M725"/>
    <mergeCell ref="L726:M726"/>
    <mergeCell ref="L727:M727"/>
    <mergeCell ref="L728:M728"/>
    <mergeCell ref="L729:M729"/>
    <mergeCell ref="L730:M730"/>
    <mergeCell ref="L731:M731"/>
    <mergeCell ref="L732:M732"/>
    <mergeCell ref="L733:M733"/>
    <mergeCell ref="L734:M734"/>
    <mergeCell ref="L735:M735"/>
    <mergeCell ref="L736:M736"/>
    <mergeCell ref="L737:M737"/>
    <mergeCell ref="L738:M738"/>
    <mergeCell ref="L739:M739"/>
    <mergeCell ref="L740:M740"/>
    <mergeCell ref="L741:M741"/>
    <mergeCell ref="L742:M742"/>
    <mergeCell ref="L743:M743"/>
    <mergeCell ref="L744:M744"/>
    <mergeCell ref="L745:M745"/>
    <mergeCell ref="L746:M746"/>
    <mergeCell ref="L747:M747"/>
    <mergeCell ref="L748:M748"/>
    <mergeCell ref="L749:M749"/>
    <mergeCell ref="L750:M750"/>
    <mergeCell ref="L751:M751"/>
    <mergeCell ref="L752:M752"/>
    <mergeCell ref="L753:M753"/>
    <mergeCell ref="L754:M754"/>
    <mergeCell ref="L755:M755"/>
    <mergeCell ref="L756:M756"/>
    <mergeCell ref="L757:M757"/>
    <mergeCell ref="L758:M758"/>
    <mergeCell ref="L759:M759"/>
    <mergeCell ref="L760:M760"/>
    <mergeCell ref="L761:M761"/>
    <mergeCell ref="L762:M762"/>
    <mergeCell ref="L763:M763"/>
    <mergeCell ref="L764:M764"/>
    <mergeCell ref="L765:M765"/>
    <mergeCell ref="L766:M766"/>
    <mergeCell ref="B47:C47"/>
    <mergeCell ref="D47:E47"/>
    <mergeCell ref="F47:G47"/>
    <mergeCell ref="H47:I47"/>
    <mergeCell ref="D48:E48"/>
    <mergeCell ref="F48:G48"/>
    <mergeCell ref="H48:I48"/>
    <mergeCell ref="B48:C48"/>
    <mergeCell ref="B49:C49"/>
    <mergeCell ref="D49:E49"/>
    <mergeCell ref="F49:G49"/>
    <mergeCell ref="H49:I49"/>
    <mergeCell ref="B50:C50"/>
    <mergeCell ref="D50:E50"/>
    <mergeCell ref="D52:E52"/>
    <mergeCell ref="F52:G52"/>
    <mergeCell ref="F50:G50"/>
    <mergeCell ref="H50:I50"/>
    <mergeCell ref="B51:C51"/>
    <mergeCell ref="D51:E51"/>
    <mergeCell ref="F51:G51"/>
    <mergeCell ref="H51:I51"/>
    <mergeCell ref="H52:I52"/>
    <mergeCell ref="F54:G54"/>
    <mergeCell ref="H54:I54"/>
    <mergeCell ref="B52:C52"/>
    <mergeCell ref="B53:C53"/>
    <mergeCell ref="D53:E53"/>
    <mergeCell ref="F53:G53"/>
    <mergeCell ref="H53:I53"/>
    <mergeCell ref="B54:C54"/>
    <mergeCell ref="D54:E54"/>
    <mergeCell ref="B55:C55"/>
    <mergeCell ref="D55:E55"/>
    <mergeCell ref="F55:G55"/>
    <mergeCell ref="H55:I55"/>
    <mergeCell ref="D56:E56"/>
    <mergeCell ref="F56:G56"/>
    <mergeCell ref="H56:I56"/>
    <mergeCell ref="B56:C56"/>
    <mergeCell ref="B57:C57"/>
    <mergeCell ref="D57:E57"/>
    <mergeCell ref="F57:G57"/>
    <mergeCell ref="H57:I57"/>
    <mergeCell ref="B58:C58"/>
    <mergeCell ref="D58:E58"/>
    <mergeCell ref="D60:E60"/>
    <mergeCell ref="F60:G60"/>
    <mergeCell ref="F58:G58"/>
    <mergeCell ref="H58:I58"/>
    <mergeCell ref="B59:C59"/>
    <mergeCell ref="D59:E59"/>
    <mergeCell ref="F59:G59"/>
    <mergeCell ref="H59:I59"/>
    <mergeCell ref="H60:I60"/>
    <mergeCell ref="F62:G62"/>
    <mergeCell ref="H62:I62"/>
    <mergeCell ref="B60:C60"/>
    <mergeCell ref="B61:C61"/>
    <mergeCell ref="D61:E61"/>
    <mergeCell ref="F61:G61"/>
    <mergeCell ref="H61:I61"/>
    <mergeCell ref="B62:C62"/>
    <mergeCell ref="D62:E62"/>
    <mergeCell ref="D68:E68"/>
    <mergeCell ref="F68:G68"/>
    <mergeCell ref="F66:G66"/>
    <mergeCell ref="H66:I66"/>
    <mergeCell ref="B67:C67"/>
    <mergeCell ref="D67:E67"/>
    <mergeCell ref="F67:G67"/>
    <mergeCell ref="H67:I67"/>
    <mergeCell ref="H68:I68"/>
    <mergeCell ref="B63:C63"/>
    <mergeCell ref="D63:E63"/>
    <mergeCell ref="F63:G63"/>
    <mergeCell ref="H63:I63"/>
    <mergeCell ref="D64:E64"/>
    <mergeCell ref="F64:G64"/>
    <mergeCell ref="H64:I64"/>
    <mergeCell ref="B64:C64"/>
    <mergeCell ref="B65:C65"/>
    <mergeCell ref="D65:E65"/>
    <mergeCell ref="F65:G65"/>
    <mergeCell ref="H65:I65"/>
    <mergeCell ref="B66:C66"/>
    <mergeCell ref="D66:E66"/>
    <mergeCell ref="F70:G70"/>
    <mergeCell ref="H70:I70"/>
    <mergeCell ref="B68:C68"/>
    <mergeCell ref="B69:C69"/>
    <mergeCell ref="D69:E69"/>
    <mergeCell ref="F69:G69"/>
    <mergeCell ref="H69:I69"/>
    <mergeCell ref="B70:C70"/>
    <mergeCell ref="D70:E70"/>
    <mergeCell ref="B71:C71"/>
    <mergeCell ref="D71:E71"/>
    <mergeCell ref="F71:G71"/>
    <mergeCell ref="H71:I71"/>
    <mergeCell ref="D72:E72"/>
    <mergeCell ref="F72:G72"/>
    <mergeCell ref="H72:I72"/>
    <mergeCell ref="B72:C72"/>
    <mergeCell ref="B73:C73"/>
    <mergeCell ref="D73:E73"/>
    <mergeCell ref="F73:G73"/>
    <mergeCell ref="H73:I73"/>
    <mergeCell ref="B74:C74"/>
    <mergeCell ref="D74:E74"/>
    <mergeCell ref="D76:E76"/>
    <mergeCell ref="F76:G76"/>
    <mergeCell ref="F74:G74"/>
    <mergeCell ref="H74:I74"/>
    <mergeCell ref="B75:C75"/>
    <mergeCell ref="D75:E75"/>
    <mergeCell ref="F75:G75"/>
    <mergeCell ref="H75:I75"/>
    <mergeCell ref="H76:I76"/>
    <mergeCell ref="F78:G78"/>
    <mergeCell ref="H78:I78"/>
    <mergeCell ref="B76:C76"/>
    <mergeCell ref="B77:C77"/>
    <mergeCell ref="D77:E77"/>
    <mergeCell ref="F77:G77"/>
    <mergeCell ref="H77:I77"/>
    <mergeCell ref="B78:C78"/>
    <mergeCell ref="D78:E78"/>
    <mergeCell ref="D84:E84"/>
    <mergeCell ref="F84:G84"/>
    <mergeCell ref="F82:G82"/>
    <mergeCell ref="H82:I82"/>
    <mergeCell ref="B83:C83"/>
    <mergeCell ref="D83:E83"/>
    <mergeCell ref="F83:G83"/>
    <mergeCell ref="H83:I83"/>
    <mergeCell ref="H84:I84"/>
    <mergeCell ref="F86:G86"/>
    <mergeCell ref="H86:I86"/>
    <mergeCell ref="B84:C84"/>
    <mergeCell ref="B85:C85"/>
    <mergeCell ref="D85:E85"/>
    <mergeCell ref="F85:G85"/>
    <mergeCell ref="H85:I85"/>
    <mergeCell ref="B86:C86"/>
    <mergeCell ref="D86:E86"/>
    <mergeCell ref="B79:C79"/>
    <mergeCell ref="D79:E79"/>
    <mergeCell ref="F79:G79"/>
    <mergeCell ref="H79:I79"/>
    <mergeCell ref="D80:E80"/>
    <mergeCell ref="F80:G80"/>
    <mergeCell ref="H80:I80"/>
    <mergeCell ref="B80:C80"/>
    <mergeCell ref="B81:C81"/>
    <mergeCell ref="D81:E81"/>
    <mergeCell ref="F81:G81"/>
    <mergeCell ref="H81:I81"/>
    <mergeCell ref="B82:C82"/>
    <mergeCell ref="D82:E82"/>
    <mergeCell ref="B87:C87"/>
    <mergeCell ref="D87:E87"/>
    <mergeCell ref="F87:G87"/>
    <mergeCell ref="H87:I87"/>
    <mergeCell ref="D88:E88"/>
    <mergeCell ref="F88:G88"/>
    <mergeCell ref="H88:I88"/>
    <mergeCell ref="B88:C88"/>
    <mergeCell ref="B89:C89"/>
    <mergeCell ref="D89:E89"/>
    <mergeCell ref="F89:G89"/>
    <mergeCell ref="H89:I89"/>
    <mergeCell ref="B90:C90"/>
    <mergeCell ref="D90:E90"/>
    <mergeCell ref="D92:E92"/>
    <mergeCell ref="F92:G92"/>
    <mergeCell ref="F90:G90"/>
    <mergeCell ref="H90:I90"/>
    <mergeCell ref="B91:C91"/>
    <mergeCell ref="D91:E91"/>
    <mergeCell ref="F91:G91"/>
    <mergeCell ref="H91:I91"/>
    <mergeCell ref="H92:I92"/>
    <mergeCell ref="F94:G94"/>
    <mergeCell ref="H94:I94"/>
    <mergeCell ref="B92:C92"/>
    <mergeCell ref="B93:C93"/>
    <mergeCell ref="D93:E93"/>
    <mergeCell ref="F93:G93"/>
    <mergeCell ref="H93:I93"/>
    <mergeCell ref="B94:C94"/>
    <mergeCell ref="D94:E94"/>
    <mergeCell ref="B95:C95"/>
    <mergeCell ref="D95:E95"/>
    <mergeCell ref="F95:G95"/>
    <mergeCell ref="H95:I95"/>
    <mergeCell ref="D96:E96"/>
    <mergeCell ref="F96:G96"/>
    <mergeCell ref="H96:I96"/>
    <mergeCell ref="B96:C96"/>
    <mergeCell ref="B97:C97"/>
    <mergeCell ref="D97:E97"/>
    <mergeCell ref="F97:G97"/>
    <mergeCell ref="H97:I97"/>
    <mergeCell ref="B98:C98"/>
    <mergeCell ref="D98:E98"/>
    <mergeCell ref="D100:E100"/>
    <mergeCell ref="F100:G100"/>
    <mergeCell ref="F98:G98"/>
    <mergeCell ref="H98:I98"/>
    <mergeCell ref="B99:C99"/>
    <mergeCell ref="D99:E99"/>
    <mergeCell ref="F99:G99"/>
    <mergeCell ref="H99:I99"/>
    <mergeCell ref="H100:I100"/>
    <mergeCell ref="F102:G102"/>
    <mergeCell ref="H102:I102"/>
    <mergeCell ref="B100:C100"/>
    <mergeCell ref="B101:C101"/>
    <mergeCell ref="D101:E101"/>
    <mergeCell ref="F101:G101"/>
    <mergeCell ref="H101:I101"/>
    <mergeCell ref="B102:C102"/>
    <mergeCell ref="D102:E102"/>
    <mergeCell ref="B103:C103"/>
    <mergeCell ref="D103:E103"/>
    <mergeCell ref="F103:G103"/>
    <mergeCell ref="H103:I103"/>
    <mergeCell ref="D104:E104"/>
    <mergeCell ref="F104:G104"/>
    <mergeCell ref="H104:I104"/>
    <mergeCell ref="B104:C104"/>
    <mergeCell ref="B105:C105"/>
    <mergeCell ref="D105:E105"/>
    <mergeCell ref="F105:G105"/>
    <mergeCell ref="H105:I105"/>
    <mergeCell ref="B106:C106"/>
    <mergeCell ref="D106:E106"/>
    <mergeCell ref="D108:E108"/>
    <mergeCell ref="F108:G108"/>
    <mergeCell ref="F106:G106"/>
    <mergeCell ref="H106:I106"/>
    <mergeCell ref="B107:C107"/>
    <mergeCell ref="D107:E107"/>
    <mergeCell ref="F107:G107"/>
    <mergeCell ref="H107:I107"/>
    <mergeCell ref="H108:I108"/>
    <mergeCell ref="F110:G110"/>
    <mergeCell ref="H110:I110"/>
    <mergeCell ref="B108:C108"/>
    <mergeCell ref="B109:C109"/>
    <mergeCell ref="D109:E109"/>
    <mergeCell ref="F109:G109"/>
    <mergeCell ref="H109:I109"/>
    <mergeCell ref="B110:C110"/>
    <mergeCell ref="D110:E110"/>
    <mergeCell ref="B111:C111"/>
    <mergeCell ref="D111:E111"/>
    <mergeCell ref="F111:G111"/>
    <mergeCell ref="H111:I111"/>
    <mergeCell ref="D112:E112"/>
    <mergeCell ref="F112:G112"/>
    <mergeCell ref="H112:I112"/>
    <mergeCell ref="B112:C112"/>
    <mergeCell ref="B113:C113"/>
    <mergeCell ref="D113:E113"/>
    <mergeCell ref="F113:G113"/>
    <mergeCell ref="H113:I113"/>
    <mergeCell ref="B114:C114"/>
    <mergeCell ref="D114:E114"/>
    <mergeCell ref="D116:E116"/>
    <mergeCell ref="F116:G116"/>
    <mergeCell ref="F114:G114"/>
    <mergeCell ref="H114:I114"/>
    <mergeCell ref="B115:C115"/>
    <mergeCell ref="D115:E115"/>
    <mergeCell ref="F115:G115"/>
    <mergeCell ref="H115:I115"/>
    <mergeCell ref="H116:I116"/>
    <mergeCell ref="F118:G118"/>
    <mergeCell ref="H118:I118"/>
    <mergeCell ref="B116:C116"/>
    <mergeCell ref="B117:C117"/>
    <mergeCell ref="D117:E117"/>
    <mergeCell ref="F117:G117"/>
    <mergeCell ref="H117:I117"/>
    <mergeCell ref="B118:C118"/>
    <mergeCell ref="D118:E118"/>
    <mergeCell ref="D124:E124"/>
    <mergeCell ref="F124:G124"/>
    <mergeCell ref="F122:G122"/>
    <mergeCell ref="H122:I122"/>
    <mergeCell ref="B123:C123"/>
    <mergeCell ref="D123:E123"/>
    <mergeCell ref="F123:G123"/>
    <mergeCell ref="H123:I123"/>
    <mergeCell ref="H124:I124"/>
    <mergeCell ref="D26:E26"/>
    <mergeCell ref="F26:G26"/>
    <mergeCell ref="B24:C24"/>
    <mergeCell ref="B25:C25"/>
    <mergeCell ref="D25:E25"/>
    <mergeCell ref="F25:G25"/>
    <mergeCell ref="H25:I25"/>
    <mergeCell ref="B26:C26"/>
    <mergeCell ref="H26:I26"/>
    <mergeCell ref="B35:C35"/>
    <mergeCell ref="D35:E35"/>
    <mergeCell ref="F35:G35"/>
    <mergeCell ref="H35:I35"/>
    <mergeCell ref="D36:E36"/>
    <mergeCell ref="F36:G36"/>
    <mergeCell ref="H36:I36"/>
    <mergeCell ref="B36:C36"/>
    <mergeCell ref="B37:C37"/>
    <mergeCell ref="D37:E37"/>
    <mergeCell ref="F37:G37"/>
    <mergeCell ref="H37:I37"/>
    <mergeCell ref="B38:C38"/>
    <mergeCell ref="D38:E38"/>
    <mergeCell ref="B3:E5"/>
    <mergeCell ref="F3:F5"/>
    <mergeCell ref="G3:H5"/>
    <mergeCell ref="J3:J5"/>
    <mergeCell ref="K3:L5"/>
    <mergeCell ref="N3:P5"/>
    <mergeCell ref="F12:H19"/>
    <mergeCell ref="L21:M21"/>
    <mergeCell ref="F22:G22"/>
    <mergeCell ref="H22:I22"/>
    <mergeCell ref="L22:M22"/>
    <mergeCell ref="B12:D19"/>
    <mergeCell ref="B21:C21"/>
    <mergeCell ref="D21:E21"/>
    <mergeCell ref="F21:G21"/>
    <mergeCell ref="H21:I21"/>
    <mergeCell ref="B22:C22"/>
    <mergeCell ref="D22:E22"/>
    <mergeCell ref="F24:G24"/>
    <mergeCell ref="H24:I24"/>
    <mergeCell ref="B23:C23"/>
    <mergeCell ref="D23:E23"/>
    <mergeCell ref="F23:G23"/>
    <mergeCell ref="H23:I23"/>
    <mergeCell ref="L23:M23"/>
    <mergeCell ref="D24:E24"/>
    <mergeCell ref="L24:M24"/>
    <mergeCell ref="F30:G30"/>
    <mergeCell ref="H30:I30"/>
    <mergeCell ref="L25:M25"/>
    <mergeCell ref="L26:M26"/>
    <mergeCell ref="L27:M27"/>
    <mergeCell ref="L28:M28"/>
    <mergeCell ref="L29:M29"/>
    <mergeCell ref="L30:M30"/>
    <mergeCell ref="L31:M31"/>
    <mergeCell ref="B39:C39"/>
    <mergeCell ref="D39:E39"/>
    <mergeCell ref="F39:G39"/>
    <mergeCell ref="H39:I39"/>
    <mergeCell ref="D40:E40"/>
    <mergeCell ref="F40:G40"/>
    <mergeCell ref="H40:I40"/>
    <mergeCell ref="B40:C40"/>
    <mergeCell ref="B41:C41"/>
    <mergeCell ref="D41:E41"/>
    <mergeCell ref="F41:G41"/>
    <mergeCell ref="H41:I41"/>
    <mergeCell ref="B42:C42"/>
    <mergeCell ref="D42:E42"/>
    <mergeCell ref="D44:E44"/>
    <mergeCell ref="F44:G44"/>
    <mergeCell ref="F42:G42"/>
    <mergeCell ref="H42:I42"/>
    <mergeCell ref="B43:C43"/>
    <mergeCell ref="D43:E43"/>
    <mergeCell ref="F43:G43"/>
    <mergeCell ref="H43:I43"/>
    <mergeCell ref="H44:I44"/>
    <mergeCell ref="F46:G46"/>
    <mergeCell ref="H46:I46"/>
    <mergeCell ref="B44:C44"/>
    <mergeCell ref="B45:C45"/>
    <mergeCell ref="D45:E45"/>
    <mergeCell ref="F45:G45"/>
    <mergeCell ref="H45:I45"/>
    <mergeCell ref="B46:C46"/>
    <mergeCell ref="D46:E46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49:M49"/>
    <mergeCell ref="L50:M50"/>
    <mergeCell ref="L51:M51"/>
    <mergeCell ref="L52:M52"/>
    <mergeCell ref="L53:M53"/>
    <mergeCell ref="L54:M54"/>
    <mergeCell ref="L55:M55"/>
    <mergeCell ref="L56:M56"/>
    <mergeCell ref="L57:M57"/>
    <mergeCell ref="L58:M58"/>
    <mergeCell ref="L59:M59"/>
    <mergeCell ref="L60:M60"/>
    <mergeCell ref="L61:M61"/>
    <mergeCell ref="L62:M62"/>
    <mergeCell ref="L63:M63"/>
    <mergeCell ref="L64:M64"/>
    <mergeCell ref="L65:M65"/>
    <mergeCell ref="L66:M66"/>
    <mergeCell ref="L67:M67"/>
    <mergeCell ref="L68:M68"/>
    <mergeCell ref="L69:M69"/>
    <mergeCell ref="L70:M70"/>
    <mergeCell ref="L71:M71"/>
    <mergeCell ref="L72:M72"/>
    <mergeCell ref="L73:M73"/>
    <mergeCell ref="L74:M74"/>
    <mergeCell ref="L75:M75"/>
    <mergeCell ref="L76:M76"/>
    <mergeCell ref="L77:M77"/>
    <mergeCell ref="L78:M78"/>
    <mergeCell ref="L79:M79"/>
    <mergeCell ref="L80:M80"/>
    <mergeCell ref="B119:C119"/>
    <mergeCell ref="D119:E119"/>
    <mergeCell ref="F119:G119"/>
    <mergeCell ref="H119:I119"/>
    <mergeCell ref="D120:E120"/>
    <mergeCell ref="F120:G120"/>
    <mergeCell ref="H120:I120"/>
    <mergeCell ref="B120:C120"/>
    <mergeCell ref="B121:C121"/>
    <mergeCell ref="D121:E121"/>
    <mergeCell ref="F121:G121"/>
    <mergeCell ref="H121:I121"/>
    <mergeCell ref="B122:C122"/>
    <mergeCell ref="D122:E122"/>
    <mergeCell ref="F126:G126"/>
    <mergeCell ref="H126:I126"/>
    <mergeCell ref="B124:C124"/>
    <mergeCell ref="B125:C125"/>
    <mergeCell ref="D125:E125"/>
    <mergeCell ref="F125:G125"/>
    <mergeCell ref="H125:I125"/>
    <mergeCell ref="B126:C126"/>
    <mergeCell ref="D126:E126"/>
    <mergeCell ref="B127:C127"/>
    <mergeCell ref="D127:E127"/>
    <mergeCell ref="F127:G127"/>
    <mergeCell ref="H127:I127"/>
    <mergeCell ref="D128:E128"/>
    <mergeCell ref="F128:G128"/>
    <mergeCell ref="H128:I128"/>
    <mergeCell ref="B128:C128"/>
    <mergeCell ref="B129:C129"/>
    <mergeCell ref="D129:E129"/>
    <mergeCell ref="F129:G129"/>
    <mergeCell ref="H129:I129"/>
    <mergeCell ref="B130:C130"/>
    <mergeCell ref="D130:E130"/>
    <mergeCell ref="D132:E132"/>
    <mergeCell ref="F132:G132"/>
    <mergeCell ref="F130:G130"/>
    <mergeCell ref="H130:I130"/>
    <mergeCell ref="B131:C131"/>
    <mergeCell ref="D131:E131"/>
    <mergeCell ref="F131:G131"/>
    <mergeCell ref="H131:I131"/>
    <mergeCell ref="H132:I132"/>
    <mergeCell ref="F134:G134"/>
    <mergeCell ref="H134:I134"/>
    <mergeCell ref="B132:C132"/>
    <mergeCell ref="B133:C133"/>
    <mergeCell ref="D133:E133"/>
    <mergeCell ref="F133:G133"/>
    <mergeCell ref="H133:I133"/>
    <mergeCell ref="B134:C134"/>
    <mergeCell ref="D134:E134"/>
    <mergeCell ref="D140:E140"/>
    <mergeCell ref="F140:G140"/>
    <mergeCell ref="F138:G138"/>
    <mergeCell ref="H138:I138"/>
    <mergeCell ref="B139:C139"/>
    <mergeCell ref="D139:E139"/>
    <mergeCell ref="F139:G139"/>
    <mergeCell ref="H139:I139"/>
    <mergeCell ref="H140:I140"/>
    <mergeCell ref="F142:G142"/>
    <mergeCell ref="H142:I142"/>
    <mergeCell ref="B140:C140"/>
    <mergeCell ref="B141:C141"/>
    <mergeCell ref="D141:E141"/>
    <mergeCell ref="F141:G141"/>
    <mergeCell ref="H141:I141"/>
    <mergeCell ref="B142:C142"/>
    <mergeCell ref="D142:E142"/>
    <mergeCell ref="L81:M81"/>
    <mergeCell ref="L82:M82"/>
    <mergeCell ref="L83:M83"/>
    <mergeCell ref="L84:M84"/>
    <mergeCell ref="L85:M85"/>
    <mergeCell ref="L86:M86"/>
    <mergeCell ref="L87:M87"/>
    <mergeCell ref="L88:M88"/>
    <mergeCell ref="L89:M89"/>
    <mergeCell ref="L90:M90"/>
    <mergeCell ref="L91:M91"/>
    <mergeCell ref="L92:M92"/>
    <mergeCell ref="L93:M93"/>
    <mergeCell ref="L94:M94"/>
    <mergeCell ref="L95:M95"/>
    <mergeCell ref="L96:M96"/>
    <mergeCell ref="L97:M97"/>
    <mergeCell ref="L98:M98"/>
    <mergeCell ref="L99:M99"/>
    <mergeCell ref="L100:M100"/>
    <mergeCell ref="L101:M101"/>
    <mergeCell ref="L102:M102"/>
    <mergeCell ref="L103:M103"/>
    <mergeCell ref="L104:M104"/>
    <mergeCell ref="L105:M105"/>
    <mergeCell ref="L106:M106"/>
    <mergeCell ref="L107:M107"/>
    <mergeCell ref="L108:M108"/>
    <mergeCell ref="L109:M109"/>
    <mergeCell ref="L110:M110"/>
    <mergeCell ref="L111:M111"/>
    <mergeCell ref="L112:M112"/>
    <mergeCell ref="L113:M113"/>
    <mergeCell ref="L114:M114"/>
    <mergeCell ref="L115:M115"/>
    <mergeCell ref="L116:M116"/>
    <mergeCell ref="L117:M117"/>
    <mergeCell ref="L118:M118"/>
    <mergeCell ref="L119:M119"/>
    <mergeCell ref="L120:M120"/>
    <mergeCell ref="L121:M121"/>
    <mergeCell ref="L122:M122"/>
    <mergeCell ref="L123:M123"/>
    <mergeCell ref="L124:M124"/>
    <mergeCell ref="L125:M125"/>
    <mergeCell ref="L126:M126"/>
    <mergeCell ref="L127:M127"/>
    <mergeCell ref="L128:M128"/>
    <mergeCell ref="L129:M129"/>
    <mergeCell ref="L130:M130"/>
    <mergeCell ref="L131:M131"/>
    <mergeCell ref="L132:M132"/>
    <mergeCell ref="L133:M133"/>
    <mergeCell ref="L134:M134"/>
    <mergeCell ref="L135:M135"/>
    <mergeCell ref="L136:M136"/>
    <mergeCell ref="L137:M137"/>
    <mergeCell ref="L138:M138"/>
    <mergeCell ref="L139:M139"/>
    <mergeCell ref="L140:M140"/>
    <mergeCell ref="L141:M141"/>
    <mergeCell ref="L142:M142"/>
    <mergeCell ref="L143:M143"/>
    <mergeCell ref="L144:M144"/>
    <mergeCell ref="L145:M145"/>
    <mergeCell ref="L146:M146"/>
    <mergeCell ref="L147:M147"/>
    <mergeCell ref="L148:M148"/>
    <mergeCell ref="L149:M149"/>
    <mergeCell ref="L150:M150"/>
    <mergeCell ref="L151:M151"/>
    <mergeCell ref="L152:M152"/>
    <mergeCell ref="L153:M153"/>
    <mergeCell ref="L154:M154"/>
    <mergeCell ref="L155:M155"/>
    <mergeCell ref="L156:M156"/>
    <mergeCell ref="L157:M157"/>
    <mergeCell ref="L158:M158"/>
    <mergeCell ref="L159:M159"/>
    <mergeCell ref="L160:M160"/>
    <mergeCell ref="L161:M161"/>
    <mergeCell ref="L162:M162"/>
    <mergeCell ref="L163:M163"/>
    <mergeCell ref="L164:M164"/>
    <mergeCell ref="L165:M165"/>
    <mergeCell ref="L166:M166"/>
    <mergeCell ref="L167:M167"/>
    <mergeCell ref="L168:M168"/>
    <mergeCell ref="L169:M169"/>
    <mergeCell ref="L170:M170"/>
    <mergeCell ref="L171:M171"/>
    <mergeCell ref="L172:M172"/>
    <mergeCell ref="L173:M173"/>
    <mergeCell ref="L174:M174"/>
    <mergeCell ref="L175:M175"/>
    <mergeCell ref="L176:M176"/>
    <mergeCell ref="L177:M177"/>
    <mergeCell ref="L178:M178"/>
    <mergeCell ref="L179:M179"/>
    <mergeCell ref="L180:M180"/>
    <mergeCell ref="L181:M181"/>
    <mergeCell ref="L182:M182"/>
    <mergeCell ref="L183:M183"/>
    <mergeCell ref="L184:M184"/>
    <mergeCell ref="L185:M185"/>
    <mergeCell ref="L186:M186"/>
    <mergeCell ref="L187:M187"/>
    <mergeCell ref="L188:M188"/>
    <mergeCell ref="L189:M189"/>
    <mergeCell ref="L190:M190"/>
    <mergeCell ref="L191:M191"/>
    <mergeCell ref="L192:M192"/>
    <mergeCell ref="L193:M193"/>
    <mergeCell ref="L194:M194"/>
    <mergeCell ref="L195:M195"/>
    <mergeCell ref="L196:M196"/>
    <mergeCell ref="L197:M197"/>
    <mergeCell ref="L198:M198"/>
    <mergeCell ref="L199:M199"/>
    <mergeCell ref="L200:M200"/>
    <mergeCell ref="L201:M201"/>
    <mergeCell ref="L202:M202"/>
    <mergeCell ref="L203:M203"/>
    <mergeCell ref="L204:M204"/>
    <mergeCell ref="L205:M205"/>
    <mergeCell ref="L206:M206"/>
    <mergeCell ref="L207:M207"/>
    <mergeCell ref="L208:M208"/>
    <mergeCell ref="L209:M209"/>
    <mergeCell ref="L210:M210"/>
    <mergeCell ref="L211:M211"/>
    <mergeCell ref="L212:M212"/>
    <mergeCell ref="L213:M213"/>
    <mergeCell ref="L214:M214"/>
    <mergeCell ref="L215:M215"/>
    <mergeCell ref="L216:M216"/>
    <mergeCell ref="L217:M217"/>
    <mergeCell ref="L218:M218"/>
    <mergeCell ref="L219:M219"/>
    <mergeCell ref="L220:M220"/>
    <mergeCell ref="L221:M221"/>
    <mergeCell ref="L222:M222"/>
    <mergeCell ref="L223:M223"/>
    <mergeCell ref="L224:M224"/>
    <mergeCell ref="L225:M225"/>
    <mergeCell ref="L226:M226"/>
    <mergeCell ref="L227:M227"/>
    <mergeCell ref="L228:M228"/>
    <mergeCell ref="L229:M229"/>
    <mergeCell ref="L230:M230"/>
    <mergeCell ref="L231:M231"/>
    <mergeCell ref="L232:M232"/>
    <mergeCell ref="L233:M233"/>
    <mergeCell ref="L234:M234"/>
    <mergeCell ref="L235:M235"/>
    <mergeCell ref="L236:M236"/>
    <mergeCell ref="L237:M237"/>
    <mergeCell ref="L238:M238"/>
    <mergeCell ref="L239:M239"/>
    <mergeCell ref="L240:M240"/>
    <mergeCell ref="L241:M241"/>
    <mergeCell ref="L242:M242"/>
    <mergeCell ref="L243:M243"/>
    <mergeCell ref="L244:M244"/>
    <mergeCell ref="L245:M245"/>
    <mergeCell ref="L246:M246"/>
    <mergeCell ref="L247:M247"/>
    <mergeCell ref="L248:M248"/>
    <mergeCell ref="L249:M249"/>
    <mergeCell ref="L250:M250"/>
    <mergeCell ref="L251:M251"/>
    <mergeCell ref="L252:M252"/>
    <mergeCell ref="L253:M253"/>
    <mergeCell ref="L254:M254"/>
    <mergeCell ref="L255:M255"/>
    <mergeCell ref="L256:M256"/>
    <mergeCell ref="L257:M257"/>
    <mergeCell ref="L258:M258"/>
    <mergeCell ref="L259:M259"/>
    <mergeCell ref="L260:M260"/>
    <mergeCell ref="L261:M261"/>
    <mergeCell ref="L262:M262"/>
    <mergeCell ref="L263:M263"/>
    <mergeCell ref="L264:M264"/>
    <mergeCell ref="L265:M265"/>
    <mergeCell ref="L266:M266"/>
    <mergeCell ref="L267:M267"/>
    <mergeCell ref="L268:M268"/>
    <mergeCell ref="L269:M269"/>
    <mergeCell ref="L270:M270"/>
    <mergeCell ref="L271:M271"/>
    <mergeCell ref="L272:M272"/>
    <mergeCell ref="L273:M273"/>
    <mergeCell ref="L274:M274"/>
    <mergeCell ref="L275:M275"/>
    <mergeCell ref="L276:M276"/>
    <mergeCell ref="L277:M277"/>
    <mergeCell ref="L278:M278"/>
    <mergeCell ref="L279:M279"/>
    <mergeCell ref="L280:M280"/>
    <mergeCell ref="L281:M281"/>
    <mergeCell ref="L282:M282"/>
    <mergeCell ref="L283:M283"/>
    <mergeCell ref="L284:M284"/>
    <mergeCell ref="L285:M285"/>
    <mergeCell ref="L286:M286"/>
    <mergeCell ref="L287:M287"/>
    <mergeCell ref="L288:M288"/>
    <mergeCell ref="L289:M289"/>
    <mergeCell ref="L290:M290"/>
    <mergeCell ref="L291:M291"/>
    <mergeCell ref="L292:M292"/>
    <mergeCell ref="L293:M293"/>
    <mergeCell ref="L294:M294"/>
    <mergeCell ref="L295:M295"/>
    <mergeCell ref="L296:M296"/>
    <mergeCell ref="L297:M297"/>
    <mergeCell ref="L298:M298"/>
    <mergeCell ref="L299:M299"/>
    <mergeCell ref="L300:M300"/>
    <mergeCell ref="L301:M301"/>
    <mergeCell ref="L302:M302"/>
    <mergeCell ref="L303:M303"/>
    <mergeCell ref="L304:M304"/>
    <mergeCell ref="L305:M305"/>
    <mergeCell ref="L306:M306"/>
    <mergeCell ref="L307:M307"/>
    <mergeCell ref="L308:M308"/>
    <mergeCell ref="L309:M309"/>
    <mergeCell ref="L310:M310"/>
    <mergeCell ref="L311:M311"/>
    <mergeCell ref="L312:M312"/>
    <mergeCell ref="L313:M313"/>
    <mergeCell ref="L314:M314"/>
    <mergeCell ref="L315:M315"/>
    <mergeCell ref="L316:M316"/>
    <mergeCell ref="L317:M317"/>
    <mergeCell ref="L318:M318"/>
    <mergeCell ref="L319:M319"/>
    <mergeCell ref="L320:M320"/>
    <mergeCell ref="L321:M321"/>
    <mergeCell ref="L322:M322"/>
    <mergeCell ref="L323:M323"/>
    <mergeCell ref="L324:M324"/>
    <mergeCell ref="L325:M325"/>
    <mergeCell ref="L326:M326"/>
    <mergeCell ref="L327:M327"/>
    <mergeCell ref="L328:M328"/>
    <mergeCell ref="L329:M329"/>
    <mergeCell ref="L330:M330"/>
    <mergeCell ref="L331:M331"/>
    <mergeCell ref="L332:M332"/>
    <mergeCell ref="L333:M333"/>
    <mergeCell ref="L334:M334"/>
    <mergeCell ref="L335:M335"/>
    <mergeCell ref="L336:M336"/>
    <mergeCell ref="L337:M337"/>
    <mergeCell ref="L338:M338"/>
    <mergeCell ref="L339:M339"/>
    <mergeCell ref="L340:M340"/>
    <mergeCell ref="L341:M341"/>
    <mergeCell ref="L342:M342"/>
    <mergeCell ref="L343:M343"/>
    <mergeCell ref="L344:M344"/>
    <mergeCell ref="L345:M345"/>
    <mergeCell ref="L346:M346"/>
    <mergeCell ref="L347:M347"/>
    <mergeCell ref="L348:M348"/>
    <mergeCell ref="L349:M349"/>
    <mergeCell ref="L350:M350"/>
    <mergeCell ref="L351:M351"/>
    <mergeCell ref="L352:M352"/>
    <mergeCell ref="L353:M353"/>
    <mergeCell ref="L354:M354"/>
    <mergeCell ref="L355:M355"/>
    <mergeCell ref="L356:M356"/>
    <mergeCell ref="L357:M357"/>
    <mergeCell ref="L358:M358"/>
    <mergeCell ref="L359:M359"/>
    <mergeCell ref="L360:M360"/>
    <mergeCell ref="L361:M361"/>
    <mergeCell ref="L362:M362"/>
    <mergeCell ref="L363:M363"/>
    <mergeCell ref="L364:M364"/>
    <mergeCell ref="L365:M365"/>
    <mergeCell ref="L366:M366"/>
    <mergeCell ref="L367:M367"/>
    <mergeCell ref="L368:M368"/>
    <mergeCell ref="L369:M369"/>
    <mergeCell ref="L370:M370"/>
    <mergeCell ref="L371:M371"/>
    <mergeCell ref="L372:M372"/>
    <mergeCell ref="L373:M373"/>
    <mergeCell ref="L374:M374"/>
    <mergeCell ref="L375:M375"/>
    <mergeCell ref="L376:M376"/>
    <mergeCell ref="L377:M377"/>
    <mergeCell ref="L378:M378"/>
    <mergeCell ref="L379:M379"/>
    <mergeCell ref="L380:M380"/>
    <mergeCell ref="L381:M381"/>
    <mergeCell ref="L382:M382"/>
    <mergeCell ref="L383:M383"/>
    <mergeCell ref="L384:M384"/>
    <mergeCell ref="L385:M385"/>
    <mergeCell ref="L386:M386"/>
    <mergeCell ref="L387:M387"/>
    <mergeCell ref="L388:M388"/>
    <mergeCell ref="L389:M389"/>
    <mergeCell ref="L390:M390"/>
    <mergeCell ref="L391:M391"/>
    <mergeCell ref="L392:M392"/>
    <mergeCell ref="L393:M393"/>
    <mergeCell ref="L394:M394"/>
    <mergeCell ref="L395:M395"/>
    <mergeCell ref="L396:M396"/>
    <mergeCell ref="L397:M397"/>
    <mergeCell ref="L398:M398"/>
    <mergeCell ref="L399:M399"/>
    <mergeCell ref="L400:M400"/>
    <mergeCell ref="L401:M401"/>
    <mergeCell ref="L402:M402"/>
    <mergeCell ref="L403:M403"/>
    <mergeCell ref="L404:M404"/>
    <mergeCell ref="L405:M405"/>
    <mergeCell ref="L406:M406"/>
    <mergeCell ref="L407:M407"/>
    <mergeCell ref="L408:M408"/>
    <mergeCell ref="L409:M409"/>
    <mergeCell ref="L410:M410"/>
    <mergeCell ref="L411:M411"/>
    <mergeCell ref="L412:M412"/>
    <mergeCell ref="L413:M413"/>
    <mergeCell ref="L414:M414"/>
    <mergeCell ref="L415:M415"/>
    <mergeCell ref="L416:M416"/>
    <mergeCell ref="L417:M417"/>
    <mergeCell ref="L418:M418"/>
    <mergeCell ref="L419:M419"/>
    <mergeCell ref="L420:M420"/>
    <mergeCell ref="L421:M421"/>
    <mergeCell ref="L422:M422"/>
    <mergeCell ref="L423:M423"/>
  </mergeCells>
  <conditionalFormatting sqref="N9:N19">
    <cfRule type="cellIs" dxfId="0" priority="1" operator="equal">
      <formula>1899</formula>
    </cfRule>
  </conditionalFormatting>
  <conditionalFormatting sqref="K15:L19 O19:P19">
    <cfRule type="cellIs" dxfId="0" priority="2" operator="equal">
      <formula>0</formula>
    </cfRule>
  </conditionalFormatting>
  <conditionalFormatting sqref="H22:I1073">
    <cfRule type="cellIs" dxfId="1" priority="3" operator="equal">
      <formula>0</formula>
    </cfRule>
  </conditionalFormatting>
  <dataValidations>
    <dataValidation type="list" allowBlank="1" showErrorMessage="1" sqref="N22:O1073">
      <formula1>"Ľuboš,Domča"</formula1>
    </dataValidation>
  </dataValidations>
  <hyperlinks>
    <hyperlink r:id="rId1" ref="N3"/>
    <hyperlink r:id="rId2" ref="D22"/>
    <hyperlink r:id="rId3" ref="D23"/>
    <hyperlink r:id="rId4" ref="D24"/>
    <hyperlink r:id="rId5" ref="D25"/>
    <hyperlink r:id="rId6" ref="D26"/>
    <hyperlink r:id="rId7" ref="D27"/>
    <hyperlink r:id="rId8" ref="D28"/>
    <hyperlink r:id="rId9" ref="D29"/>
    <hyperlink r:id="rId10" ref="D30"/>
    <hyperlink r:id="rId11" ref="D31"/>
    <hyperlink r:id="rId12" ref="D32"/>
    <hyperlink r:id="rId13" ref="D33"/>
    <hyperlink r:id="rId14" ref="D34"/>
    <hyperlink r:id="rId15" ref="D35"/>
    <hyperlink r:id="rId16" ref="D36"/>
    <hyperlink r:id="rId17" ref="D37"/>
    <hyperlink r:id="rId18" ref="D38"/>
    <hyperlink r:id="rId19" ref="D39"/>
    <hyperlink r:id="rId20" ref="D40"/>
    <hyperlink r:id="rId21" ref="D41"/>
    <hyperlink r:id="rId22" ref="D42"/>
    <hyperlink r:id="rId23" ref="D43"/>
    <hyperlink r:id="rId24" ref="D44"/>
    <hyperlink r:id="rId25" ref="D45"/>
    <hyperlink r:id="rId26" ref="D46"/>
    <hyperlink r:id="rId27" ref="D47"/>
    <hyperlink r:id="rId28" ref="D48"/>
    <hyperlink r:id="rId29" ref="D49"/>
    <hyperlink r:id="rId30" ref="D50"/>
    <hyperlink r:id="rId31" ref="D51"/>
    <hyperlink r:id="rId32" ref="D52"/>
    <hyperlink r:id="rId33" ref="D53"/>
    <hyperlink r:id="rId34" ref="D54"/>
    <hyperlink r:id="rId35" ref="D55"/>
    <hyperlink r:id="rId36" ref="D56"/>
    <hyperlink r:id="rId37" ref="D57"/>
    <hyperlink r:id="rId38" ref="D58"/>
    <hyperlink r:id="rId39" ref="D59"/>
    <hyperlink r:id="rId40" ref="D60"/>
    <hyperlink r:id="rId41" ref="D61"/>
    <hyperlink r:id="rId42" ref="D62"/>
    <hyperlink r:id="rId43" ref="D63"/>
    <hyperlink r:id="rId44" ref="D64"/>
    <hyperlink r:id="rId45" ref="D65"/>
    <hyperlink r:id="rId46" ref="D66"/>
    <hyperlink r:id="rId47" ref="D67"/>
    <hyperlink r:id="rId48" ref="D68"/>
    <hyperlink r:id="rId49" ref="D69"/>
    <hyperlink r:id="rId50" ref="D70"/>
    <hyperlink r:id="rId51" ref="D71"/>
    <hyperlink r:id="rId52" ref="D72"/>
    <hyperlink r:id="rId53" ref="D73"/>
    <hyperlink r:id="rId54" ref="D74"/>
    <hyperlink r:id="rId55" ref="D75"/>
    <hyperlink r:id="rId56" ref="D76"/>
    <hyperlink r:id="rId57" ref="D77"/>
    <hyperlink r:id="rId58" ref="D78"/>
    <hyperlink r:id="rId59" ref="D79"/>
    <hyperlink r:id="rId60" ref="D80"/>
    <hyperlink r:id="rId61" ref="D81"/>
    <hyperlink r:id="rId62" ref="D82"/>
    <hyperlink r:id="rId63" ref="D83"/>
    <hyperlink r:id="rId64" ref="D84"/>
    <hyperlink r:id="rId65" ref="D85"/>
    <hyperlink r:id="rId66" ref="D86"/>
    <hyperlink r:id="rId67" ref="D87"/>
    <hyperlink r:id="rId68" ref="D88"/>
    <hyperlink r:id="rId69" ref="D89"/>
    <hyperlink r:id="rId70" ref="D90"/>
    <hyperlink r:id="rId71" ref="D91"/>
    <hyperlink r:id="rId72" ref="D92"/>
    <hyperlink r:id="rId73" ref="D93"/>
    <hyperlink r:id="rId74" ref="D94"/>
    <hyperlink r:id="rId75" ref="D95"/>
    <hyperlink r:id="rId76" ref="D96"/>
    <hyperlink r:id="rId77" ref="D97"/>
    <hyperlink r:id="rId78" ref="D98"/>
    <hyperlink r:id="rId79" ref="D99"/>
    <hyperlink r:id="rId80" ref="D100"/>
    <hyperlink r:id="rId81" ref="D101"/>
    <hyperlink r:id="rId82" ref="D102"/>
    <hyperlink r:id="rId83" ref="D103"/>
    <hyperlink r:id="rId84" ref="D104"/>
    <hyperlink r:id="rId85" ref="D105"/>
    <hyperlink r:id="rId86" ref="D106"/>
    <hyperlink r:id="rId87" ref="D107"/>
    <hyperlink r:id="rId88" ref="D108"/>
    <hyperlink r:id="rId89" ref="D109"/>
    <hyperlink r:id="rId90" ref="D110"/>
    <hyperlink r:id="rId91" ref="D111"/>
    <hyperlink r:id="rId92" ref="D112"/>
    <hyperlink r:id="rId93" ref="D113"/>
    <hyperlink r:id="rId94" ref="D114"/>
    <hyperlink r:id="rId95" ref="D115"/>
    <hyperlink r:id="rId96" ref="D116"/>
    <hyperlink r:id="rId97" ref="D117"/>
    <hyperlink r:id="rId98" ref="D118"/>
    <hyperlink r:id="rId99" ref="D119"/>
    <hyperlink r:id="rId100" ref="D120"/>
    <hyperlink r:id="rId101" ref="D121"/>
    <hyperlink r:id="rId102" ref="D122"/>
    <hyperlink r:id="rId103" ref="D123"/>
    <hyperlink r:id="rId104" ref="D124"/>
    <hyperlink r:id="rId105" ref="D125"/>
    <hyperlink r:id="rId106" ref="D126"/>
    <hyperlink r:id="rId107" ref="D127"/>
    <hyperlink r:id="rId108" ref="D128"/>
    <hyperlink r:id="rId109" ref="D129"/>
    <hyperlink r:id="rId110" ref="D130"/>
    <hyperlink r:id="rId111" ref="D132"/>
    <hyperlink r:id="rId112" ref="D133"/>
    <hyperlink r:id="rId113" ref="D134"/>
    <hyperlink r:id="rId114" ref="D135"/>
    <hyperlink r:id="rId115" ref="D136"/>
    <hyperlink r:id="rId116" ref="D137"/>
    <hyperlink r:id="rId117" ref="D138"/>
    <hyperlink r:id="rId118" ref="D139"/>
    <hyperlink r:id="rId119" ref="D140"/>
    <hyperlink r:id="rId120" ref="D141"/>
    <hyperlink r:id="rId121" ref="D142"/>
    <hyperlink r:id="rId122" ref="D143"/>
    <hyperlink r:id="rId123" ref="D144"/>
    <hyperlink r:id="rId124" ref="D145"/>
    <hyperlink r:id="rId125" ref="D146"/>
  </hyperlinks>
  <drawing r:id="rId12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10" max="10" width="0.75"/>
    <col customWidth="1" min="12" max="12" width="8.88"/>
    <col customWidth="1" min="13" max="13" width="0.75"/>
    <col customWidth="1" min="14" max="14" width="15.25"/>
    <col customWidth="1" min="17" max="17" width="0.63"/>
    <col hidden="1" min="18" max="25" width="12.63"/>
  </cols>
  <sheetData>
    <row r="1" ht="3.75" customHeight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80"/>
      <c r="S1" s="80"/>
      <c r="T1" s="80"/>
      <c r="U1" s="80"/>
      <c r="V1" s="80"/>
      <c r="W1" s="80"/>
      <c r="X1" s="80"/>
      <c r="Y1" s="80"/>
      <c r="Z1" s="80"/>
      <c r="AA1" s="81"/>
      <c r="AB1" s="81"/>
      <c r="AC1" s="81"/>
      <c r="AD1" s="81"/>
      <c r="AE1" s="81"/>
    </row>
    <row r="2" ht="3.75" customHeight="1">
      <c r="A2" s="16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0"/>
      <c r="S2" s="80"/>
      <c r="T2" s="80"/>
      <c r="U2" s="80"/>
      <c r="V2" s="80"/>
      <c r="W2" s="80"/>
      <c r="X2" s="80"/>
      <c r="Y2" s="80"/>
      <c r="Z2" s="80"/>
      <c r="AA2" s="81"/>
      <c r="AB2" s="81"/>
      <c r="AC2" s="81"/>
      <c r="AD2" s="81"/>
      <c r="AE2" s="81"/>
    </row>
    <row r="3">
      <c r="A3" s="16"/>
      <c r="B3" s="83" t="s">
        <v>149</v>
      </c>
      <c r="D3" s="84" t="s">
        <v>150</v>
      </c>
      <c r="E3" s="45"/>
      <c r="F3" s="84" t="s">
        <v>151</v>
      </c>
      <c r="G3" s="45"/>
      <c r="H3" s="83"/>
      <c r="I3" s="85" t="s">
        <v>152</v>
      </c>
      <c r="K3" s="86">
        <f>COUNT(C23:C1137)</f>
        <v>367</v>
      </c>
      <c r="M3" s="82"/>
      <c r="N3" s="87" t="s">
        <v>153</v>
      </c>
      <c r="Q3" s="82"/>
      <c r="R3" s="80"/>
      <c r="S3" s="80"/>
      <c r="T3" s="80"/>
      <c r="U3" s="80"/>
      <c r="V3" s="80"/>
      <c r="W3" s="80"/>
      <c r="X3" s="80"/>
      <c r="Y3" s="80"/>
      <c r="Z3" s="80"/>
      <c r="AA3" s="81"/>
      <c r="AB3" s="81"/>
      <c r="AC3" s="81"/>
      <c r="AD3" s="81"/>
      <c r="AE3" s="81"/>
    </row>
    <row r="4">
      <c r="A4" s="16"/>
      <c r="D4" s="88">
        <f>SUM(H23:H1137)+0.8*SUMIFS(I23:I1137,H23:H1137,"")</f>
        <v>4284.476</v>
      </c>
      <c r="E4" s="47"/>
      <c r="F4" s="89">
        <f>SUM(I23:I1137)</f>
        <v>4769.572</v>
      </c>
      <c r="G4" s="47"/>
      <c r="M4" s="82"/>
      <c r="Q4" s="82"/>
      <c r="R4" s="80"/>
      <c r="S4" s="80"/>
      <c r="T4" s="80"/>
      <c r="U4" s="80"/>
      <c r="V4" s="80"/>
      <c r="W4" s="80"/>
      <c r="X4" s="80"/>
      <c r="Y4" s="80"/>
      <c r="Z4" s="80"/>
      <c r="AA4" s="81"/>
      <c r="AB4" s="81"/>
      <c r="AC4" s="81"/>
      <c r="AD4" s="81"/>
      <c r="AE4" s="81"/>
    </row>
    <row r="5">
      <c r="A5" s="16"/>
      <c r="D5" s="48"/>
      <c r="E5" s="50"/>
      <c r="F5" s="48"/>
      <c r="G5" s="50"/>
      <c r="M5" s="82"/>
      <c r="Q5" s="82"/>
      <c r="R5" s="80"/>
      <c r="S5" s="80"/>
      <c r="T5" s="80"/>
      <c r="U5" s="80"/>
      <c r="V5" s="80"/>
      <c r="W5" s="80"/>
      <c r="X5" s="80"/>
      <c r="Y5" s="80"/>
      <c r="Z5" s="80"/>
      <c r="AA5" s="81"/>
      <c r="AB5" s="81"/>
      <c r="AC5" s="81"/>
      <c r="AD5" s="81"/>
      <c r="AE5" s="81"/>
    </row>
    <row r="6" ht="3.75" customHeight="1">
      <c r="A6" s="16"/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0"/>
      <c r="S6" s="80"/>
      <c r="T6" s="80"/>
      <c r="U6" s="80"/>
      <c r="V6" s="80"/>
      <c r="W6" s="80"/>
      <c r="X6" s="80"/>
      <c r="Y6" s="80"/>
      <c r="Z6" s="80"/>
      <c r="AA6" s="81"/>
      <c r="AB6" s="81"/>
      <c r="AC6" s="81"/>
      <c r="AD6" s="81"/>
      <c r="AE6" s="81"/>
    </row>
    <row r="7" ht="3.75" customHeight="1">
      <c r="A7" s="16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80"/>
      <c r="S7" s="80"/>
      <c r="T7" s="80"/>
      <c r="U7" s="80"/>
      <c r="V7" s="80"/>
      <c r="W7" s="80"/>
      <c r="X7" s="80"/>
      <c r="Y7" s="80"/>
      <c r="Z7" s="80"/>
      <c r="AA7" s="81"/>
      <c r="AB7" s="81"/>
      <c r="AC7" s="81"/>
      <c r="AD7" s="81"/>
      <c r="AE7" s="81"/>
    </row>
    <row r="8">
      <c r="A8" s="91"/>
      <c r="B8" s="92" t="s">
        <v>18</v>
      </c>
      <c r="C8" s="93"/>
      <c r="D8" s="94" t="s">
        <v>154</v>
      </c>
      <c r="E8" s="93"/>
      <c r="F8" s="94" t="s">
        <v>155</v>
      </c>
      <c r="G8" s="93"/>
      <c r="H8" s="94" t="s">
        <v>2</v>
      </c>
      <c r="I8" s="95"/>
      <c r="J8" s="96"/>
      <c r="K8" s="97" t="s">
        <v>18</v>
      </c>
      <c r="L8" s="94" t="s">
        <v>156</v>
      </c>
      <c r="M8" s="98"/>
      <c r="N8" s="93"/>
      <c r="O8" s="99" t="s">
        <v>154</v>
      </c>
      <c r="P8" s="100" t="s">
        <v>155</v>
      </c>
      <c r="Q8" s="96"/>
      <c r="R8" s="101"/>
      <c r="S8" s="101"/>
      <c r="T8" s="101"/>
      <c r="U8" s="101"/>
      <c r="V8" s="101"/>
      <c r="W8" s="101"/>
      <c r="X8" s="101"/>
      <c r="Y8" s="101"/>
      <c r="Z8" s="101"/>
      <c r="AA8" s="102"/>
      <c r="AB8" s="102"/>
      <c r="AC8" s="102"/>
      <c r="AD8" s="102"/>
      <c r="AE8" s="102"/>
    </row>
    <row r="9">
      <c r="A9" s="91"/>
      <c r="B9" s="103" t="str">
        <f t="array" ref="B9:H19">SORT(R9:X19,7,false)</f>
        <v>Star Wars</v>
      </c>
      <c r="C9" s="58"/>
      <c r="D9" s="104">
        <v>3072.53</v>
      </c>
      <c r="E9" s="58"/>
      <c r="F9" s="104">
        <v>3408.1129999999994</v>
      </c>
      <c r="G9" s="58"/>
      <c r="H9" s="105">
        <v>260.0</v>
      </c>
      <c r="I9" s="106"/>
      <c r="J9" s="96"/>
      <c r="K9" s="107" t="str">
        <f t="array" ref="K9:P19">sort(S22:X32,6,False)</f>
        <v>Star Wars</v>
      </c>
      <c r="L9" s="108" t="s">
        <v>157</v>
      </c>
      <c r="M9" s="109"/>
      <c r="N9" s="58"/>
      <c r="O9" s="110">
        <v>85.09</v>
      </c>
      <c r="P9" s="111">
        <v>135.15</v>
      </c>
      <c r="Q9" s="96"/>
      <c r="R9" s="101" t="str">
        <f t="array" ref="R9:R16">SORT(UNIQUE(B23:B1137))</f>
        <v>DC</v>
      </c>
      <c r="T9" s="101">
        <f t="shared" ref="T9:T19" si="1">IF(SUMIFS($H$23:$H$1137,$B$23:$B$1137,R9)=0,0,SUMIFS($H$23:$H$1137,$B$23:$B$1137,R9))</f>
        <v>209.74</v>
      </c>
      <c r="V9" s="101">
        <f t="shared" ref="V9:V19" si="2">IF(SUMIFS($I$23:$I$1137,$B$23:$B$1137,R9)=0,0,SUMIFS($I$23:$I$1137,$B$23:$B$1137,R9))</f>
        <v>236.87</v>
      </c>
      <c r="X9" s="101">
        <f>IF(COUNTIFS($B$23:$B$1137,R9)=0,0,COUNTIFS($B$23:$B$1137,R9))</f>
        <v>9</v>
      </c>
      <c r="Z9" s="101"/>
      <c r="AA9" s="102"/>
      <c r="AB9" s="102"/>
      <c r="AC9" s="102"/>
      <c r="AD9" s="102"/>
      <c r="AE9" s="102"/>
    </row>
    <row r="10">
      <c r="A10" s="91"/>
      <c r="B10" s="103" t="s">
        <v>12</v>
      </c>
      <c r="C10" s="58"/>
      <c r="D10" s="104">
        <v>630.72</v>
      </c>
      <c r="E10" s="58"/>
      <c r="F10" s="104">
        <v>721.58</v>
      </c>
      <c r="G10" s="58"/>
      <c r="H10" s="105">
        <v>38.0</v>
      </c>
      <c r="I10" s="106"/>
      <c r="J10" s="96"/>
      <c r="K10" s="107" t="s">
        <v>12</v>
      </c>
      <c r="L10" s="108" t="s">
        <v>158</v>
      </c>
      <c r="M10" s="109"/>
      <c r="N10" s="58"/>
      <c r="O10" s="110">
        <v>86.26</v>
      </c>
      <c r="P10" s="111">
        <v>70.28</v>
      </c>
      <c r="Q10" s="96"/>
      <c r="R10" s="101" t="s">
        <v>16</v>
      </c>
      <c r="T10" s="101">
        <f t="shared" si="1"/>
        <v>55.46</v>
      </c>
      <c r="V10" s="101">
        <f t="shared" si="2"/>
        <v>62.41</v>
      </c>
      <c r="X10" s="101">
        <f t="shared" ref="X10:X19" si="3">IF(COUNTIFS($B$23:$B$525,R10)=0,0,COUNTIFS($B$23:$B$525,R10))</f>
        <v>9</v>
      </c>
      <c r="Z10" s="101"/>
      <c r="AA10" s="102"/>
      <c r="AB10" s="102"/>
      <c r="AC10" s="102"/>
      <c r="AD10" s="102"/>
      <c r="AE10" s="102"/>
    </row>
    <row r="11">
      <c r="A11" s="91"/>
      <c r="B11" s="103" t="s">
        <v>14</v>
      </c>
      <c r="C11" s="58"/>
      <c r="D11" s="104">
        <v>112.12999999999998</v>
      </c>
      <c r="E11" s="58"/>
      <c r="F11" s="104">
        <v>153.79</v>
      </c>
      <c r="G11" s="58"/>
      <c r="H11" s="105">
        <v>27.0</v>
      </c>
      <c r="I11" s="106"/>
      <c r="J11" s="96"/>
      <c r="K11" s="107" t="s">
        <v>13</v>
      </c>
      <c r="L11" s="108" t="s">
        <v>159</v>
      </c>
      <c r="M11" s="109"/>
      <c r="N11" s="58"/>
      <c r="O11" s="110">
        <v>37.58</v>
      </c>
      <c r="P11" s="111">
        <v>37.58</v>
      </c>
      <c r="Q11" s="96"/>
      <c r="R11" s="101" t="s">
        <v>14</v>
      </c>
      <c r="T11" s="101">
        <f t="shared" si="1"/>
        <v>112.13</v>
      </c>
      <c r="V11" s="101">
        <f t="shared" si="2"/>
        <v>153.79</v>
      </c>
      <c r="X11" s="101">
        <f t="shared" si="3"/>
        <v>27</v>
      </c>
      <c r="Z11" s="101"/>
      <c r="AA11" s="102"/>
      <c r="AB11" s="102"/>
      <c r="AC11" s="102"/>
      <c r="AD11" s="102"/>
      <c r="AE11" s="102"/>
    </row>
    <row r="12">
      <c r="A12" s="91"/>
      <c r="B12" s="103" t="s">
        <v>15</v>
      </c>
      <c r="C12" s="58"/>
      <c r="D12" s="104">
        <v>144.2</v>
      </c>
      <c r="E12" s="58"/>
      <c r="F12" s="104">
        <v>151.89899999999997</v>
      </c>
      <c r="G12" s="58"/>
      <c r="H12" s="105">
        <v>20.0</v>
      </c>
      <c r="I12" s="106"/>
      <c r="J12" s="96"/>
      <c r="K12" s="107" t="s">
        <v>15</v>
      </c>
      <c r="L12" s="108" t="s">
        <v>160</v>
      </c>
      <c r="M12" s="109"/>
      <c r="N12" s="58"/>
      <c r="O12" s="110">
        <v>19.97</v>
      </c>
      <c r="P12" s="111">
        <v>22.65</v>
      </c>
      <c r="Q12" s="96"/>
      <c r="R12" s="101" t="s">
        <v>12</v>
      </c>
      <c r="T12" s="101">
        <f t="shared" si="1"/>
        <v>630.72</v>
      </c>
      <c r="V12" s="101">
        <f t="shared" si="2"/>
        <v>721.58</v>
      </c>
      <c r="X12" s="101">
        <f t="shared" si="3"/>
        <v>38</v>
      </c>
      <c r="Z12" s="101"/>
      <c r="AA12" s="102"/>
      <c r="AB12" s="102"/>
      <c r="AC12" s="102"/>
      <c r="AD12" s="102"/>
      <c r="AE12" s="102"/>
    </row>
    <row r="13">
      <c r="A13" s="91"/>
      <c r="B13" s="103" t="s">
        <v>13</v>
      </c>
      <c r="C13" s="58"/>
      <c r="D13" s="104">
        <v>209.74</v>
      </c>
      <c r="E13" s="58"/>
      <c r="F13" s="104">
        <v>236.86999999999995</v>
      </c>
      <c r="G13" s="58"/>
      <c r="H13" s="105">
        <v>9.0</v>
      </c>
      <c r="I13" s="106"/>
      <c r="J13" s="96"/>
      <c r="K13" s="107" t="s">
        <v>14</v>
      </c>
      <c r="L13" s="108" t="s">
        <v>161</v>
      </c>
      <c r="M13" s="109"/>
      <c r="N13" s="58"/>
      <c r="O13" s="110">
        <v>10.24</v>
      </c>
      <c r="P13" s="111">
        <v>16.0</v>
      </c>
      <c r="Q13" s="96"/>
      <c r="R13" s="101" t="s">
        <v>15</v>
      </c>
      <c r="T13" s="101">
        <f t="shared" si="1"/>
        <v>144.2</v>
      </c>
      <c r="V13" s="101">
        <f t="shared" si="2"/>
        <v>151.899</v>
      </c>
      <c r="X13" s="101">
        <f t="shared" si="3"/>
        <v>20</v>
      </c>
      <c r="Z13" s="101"/>
      <c r="AA13" s="102"/>
      <c r="AB13" s="102"/>
      <c r="AC13" s="102"/>
      <c r="AD13" s="102"/>
      <c r="AE13" s="102"/>
    </row>
    <row r="14">
      <c r="A14" s="91"/>
      <c r="B14" s="103" t="s">
        <v>16</v>
      </c>
      <c r="C14" s="58"/>
      <c r="D14" s="104">
        <v>55.46</v>
      </c>
      <c r="E14" s="58"/>
      <c r="F14" s="104">
        <v>62.41</v>
      </c>
      <c r="G14" s="58"/>
      <c r="H14" s="105">
        <v>9.0</v>
      </c>
      <c r="I14" s="106"/>
      <c r="J14" s="96"/>
      <c r="K14" s="107" t="s">
        <v>17</v>
      </c>
      <c r="L14" s="108" t="s">
        <v>162</v>
      </c>
      <c r="M14" s="109"/>
      <c r="N14" s="58"/>
      <c r="O14" s="110"/>
      <c r="P14" s="111">
        <v>11.9</v>
      </c>
      <c r="Q14" s="96"/>
      <c r="R14" s="101" t="s">
        <v>17</v>
      </c>
      <c r="T14" s="101">
        <f t="shared" si="1"/>
        <v>12.32</v>
      </c>
      <c r="V14" s="101">
        <f t="shared" si="2"/>
        <v>34.91</v>
      </c>
      <c r="X14" s="101">
        <f t="shared" si="3"/>
        <v>4</v>
      </c>
      <c r="Z14" s="101"/>
      <c r="AA14" s="102"/>
      <c r="AB14" s="102"/>
      <c r="AC14" s="102"/>
      <c r="AD14" s="102"/>
      <c r="AE14" s="102"/>
    </row>
    <row r="15">
      <c r="A15" s="91"/>
      <c r="B15" s="103" t="s">
        <v>17</v>
      </c>
      <c r="C15" s="58"/>
      <c r="D15" s="104">
        <v>12.32</v>
      </c>
      <c r="E15" s="58"/>
      <c r="F15" s="104">
        <v>34.910000000000004</v>
      </c>
      <c r="G15" s="58"/>
      <c r="H15" s="105">
        <v>4.0</v>
      </c>
      <c r="I15" s="106"/>
      <c r="J15" s="96"/>
      <c r="K15" s="107" t="s">
        <v>16</v>
      </c>
      <c r="L15" s="108" t="s">
        <v>163</v>
      </c>
      <c r="M15" s="109"/>
      <c r="N15" s="58"/>
      <c r="O15" s="112">
        <v>14.62</v>
      </c>
      <c r="P15" s="113">
        <v>11.7</v>
      </c>
      <c r="Q15" s="96"/>
      <c r="R15" s="101" t="s">
        <v>31</v>
      </c>
      <c r="T15" s="101">
        <f t="shared" si="1"/>
        <v>3072.53</v>
      </c>
      <c r="V15" s="101">
        <f t="shared" si="2"/>
        <v>3408.113</v>
      </c>
      <c r="X15" s="101">
        <f t="shared" si="3"/>
        <v>260</v>
      </c>
      <c r="Z15" s="101"/>
      <c r="AA15" s="102"/>
      <c r="AB15" s="102"/>
      <c r="AC15" s="102"/>
      <c r="AD15" s="102"/>
      <c r="AE15" s="102"/>
    </row>
    <row r="16">
      <c r="A16" s="91"/>
      <c r="B16" s="103"/>
      <c r="C16" s="58"/>
      <c r="D16" s="104">
        <v>0.0</v>
      </c>
      <c r="E16" s="58"/>
      <c r="F16" s="104">
        <v>0.0</v>
      </c>
      <c r="G16" s="58"/>
      <c r="H16" s="105">
        <v>0.0</v>
      </c>
      <c r="I16" s="106"/>
      <c r="J16" s="96"/>
      <c r="K16" s="107"/>
      <c r="L16" s="108" t="s">
        <v>164</v>
      </c>
      <c r="M16" s="109"/>
      <c r="N16" s="58"/>
      <c r="O16" s="110" t="s">
        <v>164</v>
      </c>
      <c r="P16" s="113">
        <v>0.0</v>
      </c>
      <c r="Q16" s="96"/>
      <c r="R16" s="101"/>
      <c r="T16" s="101">
        <f t="shared" si="1"/>
        <v>0</v>
      </c>
      <c r="V16" s="101">
        <f t="shared" si="2"/>
        <v>0</v>
      </c>
      <c r="X16" s="101">
        <f t="shared" si="3"/>
        <v>0</v>
      </c>
      <c r="Z16" s="101"/>
      <c r="AA16" s="102"/>
      <c r="AB16" s="102"/>
      <c r="AC16" s="102"/>
      <c r="AD16" s="102"/>
      <c r="AE16" s="102"/>
    </row>
    <row r="17">
      <c r="A17" s="91"/>
      <c r="B17" s="103"/>
      <c r="C17" s="58"/>
      <c r="D17" s="104">
        <v>0.0</v>
      </c>
      <c r="E17" s="58"/>
      <c r="F17" s="104">
        <v>0.0</v>
      </c>
      <c r="G17" s="58"/>
      <c r="H17" s="105">
        <v>0.0</v>
      </c>
      <c r="I17" s="106"/>
      <c r="J17" s="96"/>
      <c r="K17" s="107"/>
      <c r="L17" s="108" t="s">
        <v>164</v>
      </c>
      <c r="M17" s="109"/>
      <c r="N17" s="58"/>
      <c r="O17" s="110" t="s">
        <v>164</v>
      </c>
      <c r="P17" s="113">
        <v>0.0</v>
      </c>
      <c r="Q17" s="96"/>
      <c r="R17" s="101"/>
      <c r="T17" s="101">
        <f t="shared" si="1"/>
        <v>0</v>
      </c>
      <c r="V17" s="101">
        <f t="shared" si="2"/>
        <v>0</v>
      </c>
      <c r="X17" s="101">
        <f t="shared" si="3"/>
        <v>0</v>
      </c>
      <c r="Z17" s="101"/>
      <c r="AA17" s="102"/>
      <c r="AB17" s="102"/>
      <c r="AC17" s="102"/>
      <c r="AD17" s="102"/>
      <c r="AE17" s="102"/>
    </row>
    <row r="18">
      <c r="A18" s="91"/>
      <c r="B18" s="103"/>
      <c r="C18" s="58"/>
      <c r="D18" s="104">
        <v>0.0</v>
      </c>
      <c r="E18" s="58"/>
      <c r="F18" s="104">
        <v>0.0</v>
      </c>
      <c r="G18" s="58"/>
      <c r="H18" s="105">
        <v>0.0</v>
      </c>
      <c r="I18" s="106"/>
      <c r="J18" s="96"/>
      <c r="K18" s="107"/>
      <c r="L18" s="108" t="s">
        <v>164</v>
      </c>
      <c r="M18" s="109"/>
      <c r="N18" s="58"/>
      <c r="O18" s="110" t="s">
        <v>164</v>
      </c>
      <c r="P18" s="113">
        <v>0.0</v>
      </c>
      <c r="Q18" s="96"/>
      <c r="R18" s="101"/>
      <c r="T18" s="101">
        <f t="shared" si="1"/>
        <v>0</v>
      </c>
      <c r="V18" s="101">
        <f t="shared" si="2"/>
        <v>0</v>
      </c>
      <c r="X18" s="101">
        <f t="shared" si="3"/>
        <v>0</v>
      </c>
      <c r="Z18" s="101"/>
      <c r="AA18" s="102"/>
      <c r="AB18" s="102"/>
      <c r="AC18" s="102"/>
      <c r="AD18" s="102"/>
      <c r="AE18" s="102"/>
    </row>
    <row r="19">
      <c r="A19" s="91"/>
      <c r="B19" s="103"/>
      <c r="C19" s="58"/>
      <c r="D19" s="104">
        <v>0.0</v>
      </c>
      <c r="E19" s="58"/>
      <c r="F19" s="104">
        <v>0.0</v>
      </c>
      <c r="G19" s="58"/>
      <c r="H19" s="105">
        <v>0.0</v>
      </c>
      <c r="I19" s="106"/>
      <c r="J19" s="96"/>
      <c r="K19" s="107"/>
      <c r="L19" s="108" t="s">
        <v>164</v>
      </c>
      <c r="M19" s="109"/>
      <c r="N19" s="58"/>
      <c r="O19" s="110" t="s">
        <v>164</v>
      </c>
      <c r="P19" s="113">
        <v>0.0</v>
      </c>
      <c r="Q19" s="96"/>
      <c r="R19" s="101"/>
      <c r="T19" s="101">
        <f t="shared" si="1"/>
        <v>0</v>
      </c>
      <c r="V19" s="101">
        <f t="shared" si="2"/>
        <v>0</v>
      </c>
      <c r="X19" s="101">
        <f t="shared" si="3"/>
        <v>0</v>
      </c>
      <c r="Z19" s="101"/>
      <c r="AA19" s="102"/>
      <c r="AB19" s="102"/>
      <c r="AC19" s="102"/>
      <c r="AD19" s="102"/>
      <c r="AE19" s="102"/>
    </row>
    <row r="20">
      <c r="A20" s="91"/>
      <c r="B20" s="114" t="s">
        <v>165</v>
      </c>
      <c r="C20" s="115"/>
      <c r="D20" s="116">
        <f>sum(D9:E19)</f>
        <v>4237.1</v>
      </c>
      <c r="E20" s="115"/>
      <c r="F20" s="116">
        <f>sum(F9:G19)</f>
        <v>4769.572</v>
      </c>
      <c r="G20" s="115"/>
      <c r="H20" s="117">
        <f>sum(H9:I19)</f>
        <v>367</v>
      </c>
      <c r="I20" s="118"/>
      <c r="J20" s="96"/>
      <c r="K20" s="119" t="s">
        <v>165</v>
      </c>
      <c r="L20" s="120"/>
      <c r="M20" s="121"/>
      <c r="N20" s="115"/>
      <c r="O20" s="122">
        <f t="shared" ref="O20:P20" si="4">sum(O9:O19)</f>
        <v>253.76</v>
      </c>
      <c r="P20" s="123">
        <f t="shared" si="4"/>
        <v>305.26</v>
      </c>
      <c r="Q20" s="96"/>
      <c r="R20" s="101"/>
      <c r="T20" s="101"/>
      <c r="V20" s="101"/>
      <c r="X20" s="101"/>
      <c r="Z20" s="101"/>
      <c r="AA20" s="102"/>
      <c r="AB20" s="102"/>
      <c r="AC20" s="102"/>
      <c r="AD20" s="102"/>
      <c r="AE20" s="102"/>
    </row>
    <row r="21" ht="3.75" customHeight="1">
      <c r="A21" s="91"/>
      <c r="B21" s="96"/>
      <c r="C21" s="96"/>
      <c r="D21" s="96"/>
      <c r="E21" s="96"/>
      <c r="F21" s="96"/>
      <c r="G21" s="96"/>
      <c r="H21" s="96"/>
      <c r="I21" s="96"/>
      <c r="J21" s="96"/>
      <c r="K21" s="96" t="s">
        <v>166</v>
      </c>
      <c r="L21" s="96"/>
      <c r="M21" s="96"/>
      <c r="N21" s="96"/>
      <c r="O21" s="96"/>
      <c r="P21" s="96"/>
      <c r="Q21" s="96"/>
      <c r="R21" s="101"/>
      <c r="S21" s="101"/>
      <c r="T21" s="101"/>
      <c r="U21" s="101"/>
      <c r="V21" s="101"/>
      <c r="W21" s="101"/>
      <c r="X21" s="101"/>
      <c r="Y21" s="101"/>
      <c r="Z21" s="101"/>
      <c r="AA21" s="102"/>
      <c r="AB21" s="102"/>
      <c r="AC21" s="102"/>
      <c r="AD21" s="102"/>
      <c r="AE21" s="102"/>
    </row>
    <row r="22">
      <c r="A22" s="91"/>
      <c r="B22" s="124" t="s">
        <v>6</v>
      </c>
      <c r="C22" s="124" t="s">
        <v>18</v>
      </c>
      <c r="D22" s="125" t="s">
        <v>167</v>
      </c>
      <c r="E22" s="109"/>
      <c r="F22" s="58"/>
      <c r="G22" s="124" t="s">
        <v>168</v>
      </c>
      <c r="H22" s="124" t="s">
        <v>154</v>
      </c>
      <c r="I22" s="124" t="s">
        <v>155</v>
      </c>
      <c r="J22" s="125" t="s">
        <v>169</v>
      </c>
      <c r="K22" s="58"/>
      <c r="L22" s="124" t="s">
        <v>2</v>
      </c>
      <c r="M22" s="125" t="s">
        <v>170</v>
      </c>
      <c r="N22" s="109"/>
      <c r="O22" s="109"/>
      <c r="P22" s="109"/>
      <c r="Q22" s="58"/>
      <c r="R22" s="126"/>
      <c r="S22" s="126" t="str">
        <f t="array" ref="S22:S29">SORT(UNIQUE(B23:B1137))</f>
        <v>DC</v>
      </c>
      <c r="T22" s="126" t="str">
        <f t="shared" ref="T22:T32" si="5">IFERROR(XLOOKUP(X22,$I$23:$I$1137,$D$23:$D$1137),"")</f>
        <v>Batman</v>
      </c>
      <c r="U22" s="126"/>
      <c r="V22" s="126"/>
      <c r="W22" s="101">
        <f t="shared" ref="W22:W32" si="6">IFERROR(XLOOKUP(X22,$I$23:$I$1137,$H$23:$H$1137),"")</f>
        <v>37.58</v>
      </c>
      <c r="X22" s="101">
        <f t="shared" ref="X22:X32" si="7">MAXIFS($I$23:$I$1137,$B$23:$B$1137,S22)</f>
        <v>37.58</v>
      </c>
      <c r="Y22" s="101"/>
      <c r="Z22" s="101"/>
      <c r="AA22" s="102"/>
      <c r="AB22" s="102"/>
      <c r="AC22" s="102"/>
      <c r="AD22" s="102"/>
      <c r="AE22" s="102"/>
    </row>
    <row r="23">
      <c r="A23" s="1"/>
      <c r="B23" s="127" t="s">
        <v>13</v>
      </c>
      <c r="C23" s="127">
        <v>76139.0</v>
      </c>
      <c r="D23" s="108" t="s">
        <v>171</v>
      </c>
      <c r="E23" s="109"/>
      <c r="F23" s="58"/>
      <c r="G23" s="128" t="s">
        <v>172</v>
      </c>
      <c r="H23" s="129">
        <v>28.02</v>
      </c>
      <c r="I23" s="129">
        <v>34.08</v>
      </c>
      <c r="J23" s="130" t="b">
        <v>0</v>
      </c>
      <c r="K23" s="58"/>
      <c r="L23" s="131">
        <f t="shared" ref="L23:L1137" si="8">IF(G23="","", COUNTIFS($G$23:$G$1137,G23))</f>
        <v>1</v>
      </c>
      <c r="M23" s="130"/>
      <c r="N23" s="109"/>
      <c r="O23" s="109"/>
      <c r="P23" s="109"/>
      <c r="Q23" s="58"/>
      <c r="R23" s="126"/>
      <c r="S23" s="126" t="s">
        <v>16</v>
      </c>
      <c r="T23" s="101" t="str">
        <f t="shared" si="5"/>
        <v>Jane Austenová</v>
      </c>
      <c r="W23" s="101">
        <f t="shared" si="6"/>
        <v>14.62</v>
      </c>
      <c r="X23" s="101">
        <f t="shared" si="7"/>
        <v>11.7</v>
      </c>
      <c r="Y23" s="132"/>
      <c r="Z23" s="132"/>
      <c r="AA23" s="133"/>
      <c r="AB23" s="133"/>
      <c r="AC23" s="133"/>
      <c r="AD23" s="133"/>
      <c r="AE23" s="133"/>
    </row>
    <row r="24">
      <c r="A24" s="1"/>
      <c r="B24" s="127" t="s">
        <v>13</v>
      </c>
      <c r="C24" s="127">
        <v>76139.0</v>
      </c>
      <c r="D24" s="108" t="s">
        <v>159</v>
      </c>
      <c r="E24" s="109"/>
      <c r="F24" s="58"/>
      <c r="G24" s="128" t="s">
        <v>173</v>
      </c>
      <c r="H24" s="129">
        <v>24.82</v>
      </c>
      <c r="I24" s="129">
        <v>26.77</v>
      </c>
      <c r="J24" s="130" t="b">
        <v>0</v>
      </c>
      <c r="K24" s="58"/>
      <c r="L24" s="131">
        <f t="shared" si="8"/>
        <v>2</v>
      </c>
      <c r="M24" s="130"/>
      <c r="N24" s="109"/>
      <c r="O24" s="109"/>
      <c r="P24" s="109"/>
      <c r="Q24" s="58"/>
      <c r="R24" s="126"/>
      <c r="S24" s="126" t="s">
        <v>14</v>
      </c>
      <c r="T24" s="101" t="str">
        <f t="shared" si="5"/>
        <v>Ron Weasly</v>
      </c>
      <c r="W24" s="101">
        <f t="shared" si="6"/>
        <v>10.24</v>
      </c>
      <c r="X24" s="101">
        <f t="shared" si="7"/>
        <v>16</v>
      </c>
      <c r="Y24" s="132"/>
      <c r="Z24" s="132"/>
      <c r="AA24" s="133"/>
      <c r="AB24" s="133"/>
      <c r="AC24" s="133"/>
      <c r="AD24" s="133"/>
      <c r="AE24" s="133"/>
    </row>
    <row r="25">
      <c r="A25" s="1"/>
      <c r="B25" s="127" t="s">
        <v>13</v>
      </c>
      <c r="C25" s="127">
        <v>76139.0</v>
      </c>
      <c r="D25" s="108" t="s">
        <v>174</v>
      </c>
      <c r="E25" s="109"/>
      <c r="F25" s="58"/>
      <c r="G25" s="128" t="s">
        <v>175</v>
      </c>
      <c r="H25" s="129">
        <v>10.35</v>
      </c>
      <c r="I25" s="129">
        <v>14.35</v>
      </c>
      <c r="J25" s="108" t="b">
        <v>0</v>
      </c>
      <c r="K25" s="58"/>
      <c r="L25" s="131">
        <f t="shared" si="8"/>
        <v>1</v>
      </c>
      <c r="M25" s="130"/>
      <c r="N25" s="109"/>
      <c r="O25" s="109"/>
      <c r="P25" s="109"/>
      <c r="Q25" s="58"/>
      <c r="R25" s="126"/>
      <c r="S25" s="126" t="s">
        <v>12</v>
      </c>
      <c r="T25" s="101" t="str">
        <f t="shared" si="5"/>
        <v>Ensign Ro Laren</v>
      </c>
      <c r="W25" s="101">
        <f t="shared" si="6"/>
        <v>86.26</v>
      </c>
      <c r="X25" s="101">
        <f t="shared" si="7"/>
        <v>70.28</v>
      </c>
      <c r="Y25" s="132"/>
      <c r="Z25" s="132"/>
      <c r="AA25" s="133"/>
      <c r="AB25" s="133"/>
      <c r="AC25" s="133"/>
      <c r="AD25" s="133"/>
      <c r="AE25" s="133"/>
    </row>
    <row r="26">
      <c r="A26" s="1"/>
      <c r="B26" s="127" t="s">
        <v>13</v>
      </c>
      <c r="C26" s="127">
        <v>76161.0</v>
      </c>
      <c r="D26" s="108" t="s">
        <v>159</v>
      </c>
      <c r="E26" s="109"/>
      <c r="F26" s="58"/>
      <c r="G26" s="128" t="s">
        <v>173</v>
      </c>
      <c r="H26" s="129">
        <v>24.82</v>
      </c>
      <c r="I26" s="129">
        <v>26.77</v>
      </c>
      <c r="J26" s="108" t="b">
        <v>0</v>
      </c>
      <c r="K26" s="58"/>
      <c r="L26" s="131">
        <f t="shared" si="8"/>
        <v>2</v>
      </c>
      <c r="M26" s="130"/>
      <c r="N26" s="109"/>
      <c r="O26" s="109"/>
      <c r="P26" s="109"/>
      <c r="Q26" s="58"/>
      <c r="R26" s="126"/>
      <c r="S26" s="126" t="s">
        <v>15</v>
      </c>
      <c r="T26" s="101" t="str">
        <f t="shared" si="5"/>
        <v>Drax</v>
      </c>
      <c r="W26" s="101">
        <f t="shared" si="6"/>
        <v>19.97</v>
      </c>
      <c r="X26" s="101">
        <f t="shared" si="7"/>
        <v>22.65</v>
      </c>
      <c r="Y26" s="132"/>
      <c r="Z26" s="132"/>
      <c r="AA26" s="133"/>
      <c r="AB26" s="133"/>
      <c r="AC26" s="133"/>
      <c r="AD26" s="133"/>
      <c r="AE26" s="133"/>
    </row>
    <row r="27">
      <c r="A27" s="1"/>
      <c r="B27" s="127" t="s">
        <v>13</v>
      </c>
      <c r="C27" s="127">
        <v>76161.0</v>
      </c>
      <c r="D27" s="108" t="s">
        <v>171</v>
      </c>
      <c r="E27" s="109"/>
      <c r="F27" s="58"/>
      <c r="G27" s="128" t="s">
        <v>176</v>
      </c>
      <c r="H27" s="129">
        <v>24.96</v>
      </c>
      <c r="I27" s="129">
        <v>25.22</v>
      </c>
      <c r="J27" s="130" t="b">
        <v>0</v>
      </c>
      <c r="K27" s="58"/>
      <c r="L27" s="131">
        <f t="shared" si="8"/>
        <v>1</v>
      </c>
      <c r="M27" s="130"/>
      <c r="N27" s="109"/>
      <c r="O27" s="109"/>
      <c r="P27" s="109"/>
      <c r="Q27" s="58"/>
      <c r="R27" s="126"/>
      <c r="S27" s="126" t="s">
        <v>17</v>
      </c>
      <c r="T27" s="101" t="str">
        <f t="shared" si="5"/>
        <v>Joshua Pearce</v>
      </c>
      <c r="W27" s="101" t="str">
        <f t="shared" si="6"/>
        <v/>
      </c>
      <c r="X27" s="101">
        <f t="shared" si="7"/>
        <v>11.9</v>
      </c>
      <c r="Y27" s="132"/>
      <c r="Z27" s="132"/>
      <c r="AA27" s="133"/>
      <c r="AB27" s="133"/>
      <c r="AC27" s="133"/>
      <c r="AD27" s="133"/>
      <c r="AE27" s="133"/>
    </row>
    <row r="28">
      <c r="A28" s="1"/>
      <c r="B28" s="127" t="s">
        <v>13</v>
      </c>
      <c r="C28" s="127">
        <v>76161.0</v>
      </c>
      <c r="D28" s="108" t="s">
        <v>177</v>
      </c>
      <c r="E28" s="109"/>
      <c r="F28" s="58"/>
      <c r="G28" s="128" t="s">
        <v>178</v>
      </c>
      <c r="H28" s="129">
        <v>14.88</v>
      </c>
      <c r="I28" s="129">
        <v>18.34</v>
      </c>
      <c r="J28" s="130" t="b">
        <v>0</v>
      </c>
      <c r="K28" s="58"/>
      <c r="L28" s="131">
        <f t="shared" si="8"/>
        <v>1</v>
      </c>
      <c r="M28" s="130"/>
      <c r="N28" s="109"/>
      <c r="O28" s="109"/>
      <c r="P28" s="109"/>
      <c r="Q28" s="58"/>
      <c r="R28" s="126"/>
      <c r="S28" s="126" t="s">
        <v>31</v>
      </c>
      <c r="T28" s="101" t="str">
        <f t="shared" si="5"/>
        <v>Boba Fett</v>
      </c>
      <c r="W28" s="101">
        <f t="shared" si="6"/>
        <v>85.09</v>
      </c>
      <c r="X28" s="101">
        <f t="shared" si="7"/>
        <v>135.15</v>
      </c>
      <c r="Y28" s="132"/>
      <c r="Z28" s="132"/>
      <c r="AA28" s="133"/>
      <c r="AB28" s="133"/>
      <c r="AC28" s="133"/>
      <c r="AD28" s="133"/>
      <c r="AE28" s="133"/>
    </row>
    <row r="29">
      <c r="A29" s="1"/>
      <c r="B29" s="127" t="s">
        <v>13</v>
      </c>
      <c r="C29" s="127">
        <v>76240.0</v>
      </c>
      <c r="D29" s="108" t="s">
        <v>171</v>
      </c>
      <c r="E29" s="109"/>
      <c r="F29" s="58"/>
      <c r="G29" s="128" t="s">
        <v>179</v>
      </c>
      <c r="H29" s="129">
        <v>26.08</v>
      </c>
      <c r="I29" s="129">
        <v>31.35</v>
      </c>
      <c r="J29" s="130" t="b">
        <v>0</v>
      </c>
      <c r="K29" s="58"/>
      <c r="L29" s="131">
        <f t="shared" si="8"/>
        <v>1</v>
      </c>
      <c r="M29" s="130"/>
      <c r="N29" s="109"/>
      <c r="O29" s="109"/>
      <c r="P29" s="109"/>
      <c r="Q29" s="58"/>
      <c r="R29" s="126"/>
      <c r="S29" s="126"/>
      <c r="T29" s="101" t="str">
        <f t="shared" si="5"/>
        <v/>
      </c>
      <c r="W29" s="101" t="str">
        <f t="shared" si="6"/>
        <v/>
      </c>
      <c r="X29" s="101">
        <f t="shared" si="7"/>
        <v>0</v>
      </c>
      <c r="Y29" s="132"/>
      <c r="Z29" s="132"/>
      <c r="AA29" s="133"/>
      <c r="AB29" s="133"/>
      <c r="AC29" s="133"/>
      <c r="AD29" s="133"/>
      <c r="AE29" s="133"/>
    </row>
    <row r="30">
      <c r="A30" s="1"/>
      <c r="B30" s="127" t="s">
        <v>13</v>
      </c>
      <c r="C30" s="127">
        <v>76240.0</v>
      </c>
      <c r="D30" s="108" t="s">
        <v>159</v>
      </c>
      <c r="E30" s="109"/>
      <c r="F30" s="58"/>
      <c r="G30" s="128" t="s">
        <v>180</v>
      </c>
      <c r="H30" s="129">
        <v>18.23</v>
      </c>
      <c r="I30" s="129">
        <v>22.41</v>
      </c>
      <c r="J30" s="130" t="b">
        <v>0</v>
      </c>
      <c r="K30" s="58"/>
      <c r="L30" s="131">
        <f t="shared" si="8"/>
        <v>1</v>
      </c>
      <c r="M30" s="130"/>
      <c r="N30" s="109"/>
      <c r="O30" s="109"/>
      <c r="P30" s="109"/>
      <c r="Q30" s="58"/>
      <c r="R30" s="126"/>
      <c r="S30" s="126"/>
      <c r="T30" s="101" t="str">
        <f t="shared" si="5"/>
        <v/>
      </c>
      <c r="W30" s="101" t="str">
        <f t="shared" si="6"/>
        <v/>
      </c>
      <c r="X30" s="101">
        <f t="shared" si="7"/>
        <v>0</v>
      </c>
      <c r="Y30" s="132"/>
      <c r="Z30" s="132"/>
      <c r="AA30" s="133"/>
      <c r="AB30" s="133"/>
      <c r="AC30" s="133"/>
      <c r="AD30" s="133"/>
      <c r="AE30" s="133"/>
    </row>
    <row r="31">
      <c r="A31" s="1"/>
      <c r="B31" s="127" t="s">
        <v>13</v>
      </c>
      <c r="C31" s="127">
        <v>76328.0</v>
      </c>
      <c r="D31" s="108" t="s">
        <v>159</v>
      </c>
      <c r="E31" s="109"/>
      <c r="F31" s="58"/>
      <c r="G31" s="128" t="s">
        <v>181</v>
      </c>
      <c r="H31" s="129">
        <v>37.58</v>
      </c>
      <c r="I31" s="129">
        <v>37.58</v>
      </c>
      <c r="J31" s="130" t="b">
        <v>0</v>
      </c>
      <c r="K31" s="58"/>
      <c r="L31" s="131">
        <f t="shared" si="8"/>
        <v>1</v>
      </c>
      <c r="M31" s="130"/>
      <c r="N31" s="109"/>
      <c r="O31" s="109"/>
      <c r="P31" s="109"/>
      <c r="Q31" s="58"/>
      <c r="R31" s="126"/>
      <c r="S31" s="126"/>
      <c r="T31" s="101" t="str">
        <f t="shared" si="5"/>
        <v/>
      </c>
      <c r="W31" s="101" t="str">
        <f t="shared" si="6"/>
        <v/>
      </c>
      <c r="X31" s="101">
        <f t="shared" si="7"/>
        <v>0</v>
      </c>
      <c r="Y31" s="132"/>
      <c r="Z31" s="132"/>
      <c r="AA31" s="133"/>
      <c r="AB31" s="133"/>
      <c r="AC31" s="133"/>
      <c r="AD31" s="133"/>
      <c r="AE31" s="133"/>
    </row>
    <row r="32">
      <c r="A32" s="1"/>
      <c r="B32" s="127" t="s">
        <v>16</v>
      </c>
      <c r="C32" s="127">
        <v>40291.0</v>
      </c>
      <c r="D32" s="108" t="s">
        <v>182</v>
      </c>
      <c r="E32" s="109"/>
      <c r="F32" s="58"/>
      <c r="G32" s="128" t="s">
        <v>183</v>
      </c>
      <c r="H32" s="129">
        <v>2.0</v>
      </c>
      <c r="I32" s="129">
        <v>4.05</v>
      </c>
      <c r="J32" s="108" t="b">
        <v>0</v>
      </c>
      <c r="K32" s="58"/>
      <c r="L32" s="131">
        <f t="shared" si="8"/>
        <v>1</v>
      </c>
      <c r="M32" s="130"/>
      <c r="N32" s="109"/>
      <c r="O32" s="109"/>
      <c r="P32" s="109"/>
      <c r="Q32" s="58"/>
      <c r="R32" s="126"/>
      <c r="S32" s="126"/>
      <c r="T32" s="101" t="str">
        <f t="shared" si="5"/>
        <v/>
      </c>
      <c r="W32" s="101" t="str">
        <f t="shared" si="6"/>
        <v/>
      </c>
      <c r="X32" s="101">
        <f t="shared" si="7"/>
        <v>0</v>
      </c>
      <c r="Y32" s="132"/>
      <c r="Z32" s="132"/>
      <c r="AA32" s="133"/>
      <c r="AB32" s="133"/>
      <c r="AC32" s="133"/>
      <c r="AD32" s="133"/>
      <c r="AE32" s="133"/>
    </row>
    <row r="33">
      <c r="A33" s="1"/>
      <c r="B33" s="127" t="s">
        <v>16</v>
      </c>
      <c r="C33" s="127">
        <v>40291.0</v>
      </c>
      <c r="D33" s="108" t="s">
        <v>184</v>
      </c>
      <c r="E33" s="109"/>
      <c r="F33" s="58"/>
      <c r="G33" s="128" t="s">
        <v>185</v>
      </c>
      <c r="H33" s="129">
        <v>1.91</v>
      </c>
      <c r="I33" s="129">
        <v>1.51</v>
      </c>
      <c r="J33" s="108" t="b">
        <v>0</v>
      </c>
      <c r="K33" s="58"/>
      <c r="L33" s="131">
        <f t="shared" si="8"/>
        <v>1</v>
      </c>
      <c r="M33" s="130"/>
      <c r="N33" s="109"/>
      <c r="O33" s="109"/>
      <c r="P33" s="109"/>
      <c r="Q33" s="58"/>
      <c r="R33" s="126"/>
      <c r="S33" s="126"/>
      <c r="T33" s="101"/>
      <c r="U33" s="101"/>
      <c r="V33" s="101"/>
      <c r="W33" s="101"/>
      <c r="X33" s="101"/>
      <c r="Y33" s="132"/>
      <c r="Z33" s="132"/>
      <c r="AA33" s="133"/>
      <c r="AB33" s="133"/>
      <c r="AC33" s="133"/>
      <c r="AD33" s="133"/>
      <c r="AE33" s="133"/>
    </row>
    <row r="34">
      <c r="A34" s="1"/>
      <c r="B34" s="127" t="s">
        <v>16</v>
      </c>
      <c r="C34" s="127">
        <v>40410.0</v>
      </c>
      <c r="D34" s="108" t="s">
        <v>186</v>
      </c>
      <c r="E34" s="109"/>
      <c r="F34" s="58"/>
      <c r="G34" s="128" t="s">
        <v>187</v>
      </c>
      <c r="H34" s="129">
        <v>6.78</v>
      </c>
      <c r="I34" s="129">
        <v>8.71</v>
      </c>
      <c r="J34" s="130" t="b">
        <v>0</v>
      </c>
      <c r="K34" s="58"/>
      <c r="L34" s="131">
        <f t="shared" si="8"/>
        <v>1</v>
      </c>
      <c r="M34" s="130"/>
      <c r="N34" s="109"/>
      <c r="O34" s="109"/>
      <c r="P34" s="109"/>
      <c r="Q34" s="58"/>
      <c r="R34" s="126"/>
      <c r="S34" s="126"/>
      <c r="T34" s="101"/>
      <c r="U34" s="101"/>
      <c r="V34" s="101"/>
      <c r="W34" s="101"/>
      <c r="X34" s="101"/>
      <c r="Y34" s="132"/>
      <c r="Z34" s="132"/>
      <c r="AA34" s="133"/>
      <c r="AB34" s="133"/>
      <c r="AC34" s="133"/>
      <c r="AD34" s="133"/>
      <c r="AE34" s="133"/>
    </row>
    <row r="35">
      <c r="A35" s="1"/>
      <c r="B35" s="127" t="s">
        <v>16</v>
      </c>
      <c r="C35" s="127">
        <v>40410.0</v>
      </c>
      <c r="D35" s="108" t="s">
        <v>188</v>
      </c>
      <c r="E35" s="109"/>
      <c r="F35" s="58"/>
      <c r="G35" s="128" t="s">
        <v>189</v>
      </c>
      <c r="H35" s="129">
        <v>3.07</v>
      </c>
      <c r="I35" s="129">
        <v>4.49</v>
      </c>
      <c r="J35" s="130" t="b">
        <v>0</v>
      </c>
      <c r="K35" s="58"/>
      <c r="L35" s="131">
        <f t="shared" si="8"/>
        <v>1</v>
      </c>
      <c r="M35" s="130"/>
      <c r="N35" s="109"/>
      <c r="O35" s="109"/>
      <c r="P35" s="109"/>
      <c r="Q35" s="58"/>
      <c r="R35" s="126"/>
      <c r="S35" s="126"/>
      <c r="T35" s="101"/>
      <c r="U35" s="101"/>
      <c r="V35" s="101"/>
      <c r="W35" s="101"/>
      <c r="X35" s="101"/>
      <c r="Y35" s="132"/>
      <c r="Z35" s="132"/>
      <c r="AA35" s="133"/>
      <c r="AB35" s="133"/>
      <c r="AC35" s="133"/>
      <c r="AD35" s="133"/>
      <c r="AE35" s="133"/>
    </row>
    <row r="36">
      <c r="A36" s="1"/>
      <c r="B36" s="127" t="s">
        <v>16</v>
      </c>
      <c r="C36" s="127">
        <v>40410.0</v>
      </c>
      <c r="D36" s="108" t="s">
        <v>190</v>
      </c>
      <c r="E36" s="109"/>
      <c r="F36" s="58"/>
      <c r="G36" s="128" t="s">
        <v>191</v>
      </c>
      <c r="H36" s="129">
        <v>3.31</v>
      </c>
      <c r="I36" s="129">
        <v>4.01</v>
      </c>
      <c r="J36" s="130" t="b">
        <v>0</v>
      </c>
      <c r="K36" s="58"/>
      <c r="L36" s="131">
        <f t="shared" si="8"/>
        <v>1</v>
      </c>
      <c r="M36" s="130"/>
      <c r="N36" s="109"/>
      <c r="O36" s="109"/>
      <c r="P36" s="109"/>
      <c r="Q36" s="58"/>
      <c r="R36" s="126"/>
      <c r="S36" s="126"/>
      <c r="T36" s="101" t="str">
        <f t="array" ref="T36">IFERROR(XLOOKUP(X36,$I$23:$I$1137,$D$23:$D$1137),"")</f>
        <v/>
      </c>
      <c r="W36" s="101" t="str">
        <f t="array" ref="W36">IFERROR(XLOOKUP(X36,$I$23:$I$1137,$H$23:$H$1137),"")</f>
        <v/>
      </c>
      <c r="X36" s="101">
        <f>MAXIFS($I$23:$I$1137,$B$23:$B$1137,S36)</f>
        <v>0</v>
      </c>
      <c r="Y36" s="132"/>
      <c r="Z36" s="132"/>
      <c r="AA36" s="133"/>
      <c r="AB36" s="133"/>
      <c r="AC36" s="133"/>
      <c r="AD36" s="133"/>
      <c r="AE36" s="133"/>
    </row>
    <row r="37">
      <c r="A37" s="1"/>
      <c r="B37" s="127" t="s">
        <v>16</v>
      </c>
      <c r="C37" s="127">
        <v>40690.0</v>
      </c>
      <c r="D37" s="108" t="s">
        <v>192</v>
      </c>
      <c r="E37" s="109"/>
      <c r="F37" s="58"/>
      <c r="G37" s="128" t="s">
        <v>193</v>
      </c>
      <c r="H37" s="129">
        <v>6.36</v>
      </c>
      <c r="I37" s="129">
        <v>7.3</v>
      </c>
      <c r="J37" s="108" t="b">
        <v>0</v>
      </c>
      <c r="K37" s="58"/>
      <c r="L37" s="131">
        <f t="shared" si="8"/>
        <v>1</v>
      </c>
      <c r="M37" s="130"/>
      <c r="N37" s="109"/>
      <c r="O37" s="109"/>
      <c r="P37" s="109"/>
      <c r="Q37" s="58"/>
      <c r="R37" s="126"/>
      <c r="S37" s="126"/>
      <c r="T37" s="132"/>
      <c r="U37" s="132"/>
      <c r="V37" s="132"/>
      <c r="W37" s="132"/>
      <c r="X37" s="132"/>
      <c r="Y37" s="132"/>
      <c r="Z37" s="132"/>
      <c r="AA37" s="133"/>
      <c r="AB37" s="133"/>
      <c r="AC37" s="133"/>
      <c r="AD37" s="133"/>
      <c r="AE37" s="133"/>
    </row>
    <row r="38">
      <c r="A38" s="1"/>
      <c r="B38" s="127" t="s">
        <v>16</v>
      </c>
      <c r="C38" s="127">
        <v>40712.0</v>
      </c>
      <c r="D38" s="108" t="s">
        <v>194</v>
      </c>
      <c r="E38" s="109"/>
      <c r="F38" s="58"/>
      <c r="G38" s="128" t="s">
        <v>195</v>
      </c>
      <c r="H38" s="129">
        <v>11.05</v>
      </c>
      <c r="I38" s="129">
        <v>11.24</v>
      </c>
      <c r="J38" s="130" t="b">
        <v>0</v>
      </c>
      <c r="K38" s="58"/>
      <c r="L38" s="131">
        <f t="shared" si="8"/>
        <v>1</v>
      </c>
      <c r="M38" s="130"/>
      <c r="N38" s="109"/>
      <c r="O38" s="109"/>
      <c r="P38" s="109"/>
      <c r="Q38" s="58"/>
      <c r="R38" s="126"/>
      <c r="S38" s="126"/>
      <c r="T38" s="132"/>
      <c r="U38" s="132"/>
      <c r="V38" s="132"/>
      <c r="W38" s="132"/>
      <c r="X38" s="132"/>
      <c r="Y38" s="132"/>
      <c r="Z38" s="132"/>
      <c r="AA38" s="133"/>
      <c r="AB38" s="133"/>
      <c r="AC38" s="133"/>
      <c r="AD38" s="133"/>
      <c r="AE38" s="133"/>
    </row>
    <row r="39">
      <c r="A39" s="1"/>
      <c r="B39" s="127" t="s">
        <v>16</v>
      </c>
      <c r="C39" s="127">
        <v>40712.0</v>
      </c>
      <c r="D39" s="108" t="s">
        <v>196</v>
      </c>
      <c r="E39" s="109"/>
      <c r="F39" s="58"/>
      <c r="G39" s="128" t="s">
        <v>197</v>
      </c>
      <c r="H39" s="129">
        <v>6.36</v>
      </c>
      <c r="I39" s="129">
        <v>9.4</v>
      </c>
      <c r="J39" s="130" t="b">
        <v>0</v>
      </c>
      <c r="K39" s="58"/>
      <c r="L39" s="131">
        <f t="shared" si="8"/>
        <v>1</v>
      </c>
      <c r="M39" s="130"/>
      <c r="N39" s="109"/>
      <c r="O39" s="109"/>
      <c r="P39" s="109"/>
      <c r="Q39" s="58"/>
      <c r="R39" s="126"/>
      <c r="S39" s="126"/>
      <c r="T39" s="132"/>
      <c r="U39" s="132"/>
      <c r="V39" s="132"/>
      <c r="W39" s="132"/>
      <c r="X39" s="132"/>
      <c r="Y39" s="132"/>
      <c r="Z39" s="132"/>
      <c r="AA39" s="133"/>
      <c r="AB39" s="133"/>
      <c r="AC39" s="133"/>
      <c r="AD39" s="133"/>
      <c r="AE39" s="133"/>
    </row>
    <row r="40">
      <c r="A40" s="1"/>
      <c r="B40" s="127" t="s">
        <v>16</v>
      </c>
      <c r="C40" s="127">
        <v>40766.0</v>
      </c>
      <c r="D40" s="108" t="s">
        <v>163</v>
      </c>
      <c r="E40" s="109"/>
      <c r="F40" s="58"/>
      <c r="G40" s="128" t="s">
        <v>198</v>
      </c>
      <c r="H40" s="129">
        <v>14.62</v>
      </c>
      <c r="I40" s="129">
        <v>11.7</v>
      </c>
      <c r="J40" s="108" t="b">
        <v>0</v>
      </c>
      <c r="K40" s="58"/>
      <c r="L40" s="131">
        <f t="shared" si="8"/>
        <v>1</v>
      </c>
      <c r="M40" s="130"/>
      <c r="N40" s="109"/>
      <c r="O40" s="109"/>
      <c r="P40" s="109"/>
      <c r="Q40" s="58"/>
      <c r="R40" s="126"/>
      <c r="S40" s="126"/>
      <c r="T40" s="132"/>
      <c r="U40" s="132"/>
      <c r="V40" s="132"/>
      <c r="W40" s="132"/>
      <c r="X40" s="132"/>
      <c r="Y40" s="132"/>
      <c r="Z40" s="132"/>
      <c r="AA40" s="133"/>
      <c r="AB40" s="133"/>
      <c r="AC40" s="133"/>
      <c r="AD40" s="133"/>
      <c r="AE40" s="133"/>
    </row>
    <row r="41">
      <c r="A41" s="1"/>
      <c r="B41" s="127" t="s">
        <v>14</v>
      </c>
      <c r="C41" s="127">
        <v>30651.0</v>
      </c>
      <c r="D41" s="108" t="s">
        <v>199</v>
      </c>
      <c r="E41" s="109"/>
      <c r="F41" s="58"/>
      <c r="G41" s="128" t="s">
        <v>200</v>
      </c>
      <c r="H41" s="129">
        <v>1.99</v>
      </c>
      <c r="I41" s="129">
        <v>2.12</v>
      </c>
      <c r="J41" s="130" t="b">
        <v>0</v>
      </c>
      <c r="K41" s="58"/>
      <c r="L41" s="131">
        <f t="shared" si="8"/>
        <v>1</v>
      </c>
      <c r="M41" s="130"/>
      <c r="N41" s="109"/>
      <c r="O41" s="109"/>
      <c r="P41" s="109"/>
      <c r="Q41" s="58"/>
      <c r="R41" s="126"/>
      <c r="S41" s="126"/>
      <c r="T41" s="132"/>
      <c r="U41" s="132"/>
      <c r="V41" s="132"/>
      <c r="W41" s="132"/>
      <c r="X41" s="132"/>
      <c r="Y41" s="132"/>
      <c r="Z41" s="132"/>
      <c r="AA41" s="133"/>
      <c r="AB41" s="133"/>
      <c r="AC41" s="133"/>
      <c r="AD41" s="133"/>
      <c r="AE41" s="133"/>
    </row>
    <row r="42">
      <c r="A42" s="1"/>
      <c r="B42" s="127" t="s">
        <v>14</v>
      </c>
      <c r="C42" s="127">
        <v>30677.0</v>
      </c>
      <c r="D42" s="108" t="s">
        <v>201</v>
      </c>
      <c r="E42" s="109"/>
      <c r="F42" s="58"/>
      <c r="G42" s="128" t="s">
        <v>202</v>
      </c>
      <c r="H42" s="129">
        <v>1.75</v>
      </c>
      <c r="I42" s="129">
        <v>1.83</v>
      </c>
      <c r="J42" s="130" t="b">
        <v>0</v>
      </c>
      <c r="K42" s="58"/>
      <c r="L42" s="131">
        <f t="shared" si="8"/>
        <v>1</v>
      </c>
      <c r="M42" s="108" t="s">
        <v>203</v>
      </c>
      <c r="N42" s="109"/>
      <c r="O42" s="109"/>
      <c r="P42" s="109"/>
      <c r="Q42" s="58"/>
      <c r="R42" s="126"/>
      <c r="S42" s="126"/>
      <c r="T42" s="132"/>
      <c r="U42" s="132"/>
      <c r="V42" s="132"/>
      <c r="W42" s="132"/>
      <c r="X42" s="132"/>
      <c r="Y42" s="132"/>
      <c r="Z42" s="132"/>
      <c r="AA42" s="133"/>
      <c r="AB42" s="133"/>
      <c r="AC42" s="133"/>
      <c r="AD42" s="133"/>
      <c r="AE42" s="133"/>
    </row>
    <row r="43">
      <c r="A43" s="1"/>
      <c r="B43" s="127" t="s">
        <v>14</v>
      </c>
      <c r="C43" s="127">
        <v>75979.0</v>
      </c>
      <c r="D43" s="108" t="s">
        <v>14</v>
      </c>
      <c r="E43" s="109"/>
      <c r="F43" s="58"/>
      <c r="G43" s="128" t="s">
        <v>204</v>
      </c>
      <c r="H43" s="129">
        <v>1.96</v>
      </c>
      <c r="I43" s="129">
        <v>3.69</v>
      </c>
      <c r="J43" s="130" t="b">
        <v>0</v>
      </c>
      <c r="K43" s="58"/>
      <c r="L43" s="131">
        <f t="shared" si="8"/>
        <v>1</v>
      </c>
      <c r="M43" s="108" t="s">
        <v>205</v>
      </c>
      <c r="N43" s="109"/>
      <c r="O43" s="109"/>
      <c r="P43" s="109"/>
      <c r="Q43" s="58"/>
      <c r="R43" s="126"/>
      <c r="S43" s="126"/>
      <c r="T43" s="132"/>
      <c r="U43" s="132"/>
      <c r="V43" s="132"/>
      <c r="W43" s="132"/>
      <c r="X43" s="132"/>
      <c r="Y43" s="132"/>
      <c r="Z43" s="132"/>
      <c r="AA43" s="133"/>
      <c r="AB43" s="133"/>
      <c r="AC43" s="133"/>
      <c r="AD43" s="133"/>
      <c r="AE43" s="133"/>
    </row>
    <row r="44">
      <c r="A44" s="1"/>
      <c r="B44" s="127" t="s">
        <v>14</v>
      </c>
      <c r="C44" s="127">
        <v>76408.0</v>
      </c>
      <c r="D44" s="108" t="s">
        <v>206</v>
      </c>
      <c r="E44" s="109"/>
      <c r="F44" s="58"/>
      <c r="G44" s="128" t="s">
        <v>207</v>
      </c>
      <c r="H44" s="129">
        <v>8.64</v>
      </c>
      <c r="I44" s="129">
        <v>11.43</v>
      </c>
      <c r="J44" s="130" t="b">
        <v>0</v>
      </c>
      <c r="K44" s="58"/>
      <c r="L44" s="131">
        <f t="shared" si="8"/>
        <v>1</v>
      </c>
      <c r="M44" s="130"/>
      <c r="N44" s="109"/>
      <c r="O44" s="109"/>
      <c r="P44" s="109"/>
      <c r="Q44" s="58"/>
      <c r="R44" s="126"/>
      <c r="S44" s="126"/>
      <c r="T44" s="132"/>
      <c r="U44" s="132"/>
      <c r="V44" s="132"/>
      <c r="W44" s="132"/>
      <c r="X44" s="132"/>
      <c r="Y44" s="132"/>
      <c r="Z44" s="132"/>
      <c r="AA44" s="133"/>
      <c r="AB44" s="133"/>
      <c r="AC44" s="133"/>
      <c r="AD44" s="133"/>
      <c r="AE44" s="133"/>
    </row>
    <row r="45">
      <c r="A45" s="1"/>
      <c r="B45" s="127" t="s">
        <v>14</v>
      </c>
      <c r="C45" s="127">
        <v>76408.0</v>
      </c>
      <c r="D45" s="108" t="s">
        <v>208</v>
      </c>
      <c r="E45" s="109"/>
      <c r="F45" s="58"/>
      <c r="G45" s="128" t="s">
        <v>209</v>
      </c>
      <c r="H45" s="129">
        <v>7.45</v>
      </c>
      <c r="I45" s="129">
        <v>10.02</v>
      </c>
      <c r="J45" s="130" t="b">
        <v>0</v>
      </c>
      <c r="K45" s="58"/>
      <c r="L45" s="131">
        <f t="shared" si="8"/>
        <v>1</v>
      </c>
      <c r="M45" s="130"/>
      <c r="N45" s="109"/>
      <c r="O45" s="109"/>
      <c r="P45" s="109"/>
      <c r="Q45" s="58"/>
      <c r="R45" s="126"/>
      <c r="S45" s="126"/>
      <c r="T45" s="132"/>
      <c r="U45" s="132"/>
      <c r="V45" s="132"/>
      <c r="W45" s="132"/>
      <c r="X45" s="132"/>
      <c r="Y45" s="132"/>
      <c r="Z45" s="132"/>
      <c r="AA45" s="133"/>
      <c r="AB45" s="133"/>
      <c r="AC45" s="133"/>
      <c r="AD45" s="133"/>
      <c r="AE45" s="133"/>
    </row>
    <row r="46">
      <c r="A46" s="1"/>
      <c r="B46" s="127" t="s">
        <v>14</v>
      </c>
      <c r="C46" s="127">
        <v>76408.0</v>
      </c>
      <c r="D46" s="108" t="s">
        <v>210</v>
      </c>
      <c r="E46" s="109"/>
      <c r="F46" s="58"/>
      <c r="G46" s="128" t="s">
        <v>211</v>
      </c>
      <c r="H46" s="129">
        <v>6.1</v>
      </c>
      <c r="I46" s="129">
        <v>8.36</v>
      </c>
      <c r="J46" s="130" t="b">
        <v>0</v>
      </c>
      <c r="K46" s="58"/>
      <c r="L46" s="131">
        <f t="shared" si="8"/>
        <v>1</v>
      </c>
      <c r="M46" s="130"/>
      <c r="N46" s="109"/>
      <c r="O46" s="109"/>
      <c r="P46" s="109"/>
      <c r="Q46" s="58"/>
      <c r="R46" s="126"/>
      <c r="S46" s="126"/>
      <c r="T46" s="132"/>
      <c r="U46" s="132"/>
      <c r="V46" s="132"/>
      <c r="W46" s="132"/>
      <c r="X46" s="132"/>
      <c r="Y46" s="132"/>
      <c r="Z46" s="132"/>
      <c r="AA46" s="133"/>
      <c r="AB46" s="133"/>
      <c r="AC46" s="133"/>
      <c r="AD46" s="133"/>
      <c r="AE46" s="133"/>
    </row>
    <row r="47">
      <c r="A47" s="1"/>
      <c r="B47" s="127" t="s">
        <v>14</v>
      </c>
      <c r="C47" s="127">
        <v>76408.0</v>
      </c>
      <c r="D47" s="108" t="s">
        <v>212</v>
      </c>
      <c r="E47" s="109"/>
      <c r="F47" s="58"/>
      <c r="G47" s="128" t="s">
        <v>213</v>
      </c>
      <c r="H47" s="129">
        <v>4.18</v>
      </c>
      <c r="I47" s="129">
        <v>5.88</v>
      </c>
      <c r="J47" s="130" t="b">
        <v>0</v>
      </c>
      <c r="K47" s="58"/>
      <c r="L47" s="131">
        <f t="shared" si="8"/>
        <v>1</v>
      </c>
      <c r="M47" s="130"/>
      <c r="N47" s="109"/>
      <c r="O47" s="109"/>
      <c r="P47" s="109"/>
      <c r="Q47" s="58"/>
      <c r="R47" s="126"/>
      <c r="S47" s="126"/>
      <c r="T47" s="132"/>
      <c r="U47" s="132"/>
      <c r="V47" s="132"/>
      <c r="W47" s="132"/>
      <c r="X47" s="132"/>
      <c r="Y47" s="132"/>
      <c r="Z47" s="132"/>
      <c r="AA47" s="133"/>
      <c r="AB47" s="133"/>
      <c r="AC47" s="133"/>
      <c r="AD47" s="133"/>
      <c r="AE47" s="133"/>
    </row>
    <row r="48">
      <c r="A48" s="1"/>
      <c r="B48" s="127" t="s">
        <v>14</v>
      </c>
      <c r="C48" s="127">
        <v>76408.0</v>
      </c>
      <c r="D48" s="108" t="s">
        <v>214</v>
      </c>
      <c r="E48" s="109"/>
      <c r="F48" s="58"/>
      <c r="G48" s="128" t="s">
        <v>215</v>
      </c>
      <c r="H48" s="129">
        <v>3.69</v>
      </c>
      <c r="I48" s="129">
        <v>5.1</v>
      </c>
      <c r="J48" s="130" t="b">
        <v>0</v>
      </c>
      <c r="K48" s="58"/>
      <c r="L48" s="131">
        <f t="shared" si="8"/>
        <v>1</v>
      </c>
      <c r="M48" s="130"/>
      <c r="N48" s="109"/>
      <c r="O48" s="109"/>
      <c r="P48" s="109"/>
      <c r="Q48" s="58"/>
      <c r="R48" s="126"/>
      <c r="S48" s="126"/>
      <c r="T48" s="132"/>
      <c r="U48" s="132"/>
      <c r="V48" s="132"/>
      <c r="W48" s="132"/>
      <c r="X48" s="132"/>
      <c r="Y48" s="132"/>
      <c r="Z48" s="132"/>
      <c r="AA48" s="133"/>
      <c r="AB48" s="133"/>
      <c r="AC48" s="133"/>
      <c r="AD48" s="133"/>
      <c r="AE48" s="133"/>
    </row>
    <row r="49">
      <c r="A49" s="1"/>
      <c r="B49" s="127" t="s">
        <v>14</v>
      </c>
      <c r="C49" s="127">
        <v>76408.0</v>
      </c>
      <c r="D49" s="108" t="s">
        <v>216</v>
      </c>
      <c r="E49" s="109"/>
      <c r="F49" s="58"/>
      <c r="G49" s="128" t="s">
        <v>217</v>
      </c>
      <c r="H49" s="129">
        <v>4.22</v>
      </c>
      <c r="I49" s="129">
        <v>5.01</v>
      </c>
      <c r="J49" s="130" t="b">
        <v>0</v>
      </c>
      <c r="K49" s="58"/>
      <c r="L49" s="131">
        <f t="shared" si="8"/>
        <v>1</v>
      </c>
      <c r="M49" s="130"/>
      <c r="N49" s="109"/>
      <c r="O49" s="109"/>
      <c r="P49" s="109"/>
      <c r="Q49" s="58"/>
      <c r="R49" s="126"/>
      <c r="S49" s="126"/>
      <c r="T49" s="132"/>
      <c r="U49" s="132"/>
      <c r="V49" s="132"/>
      <c r="W49" s="132"/>
      <c r="X49" s="132"/>
      <c r="Y49" s="132"/>
      <c r="Z49" s="132"/>
      <c r="AA49" s="133"/>
      <c r="AB49" s="133"/>
      <c r="AC49" s="133"/>
      <c r="AD49" s="133"/>
      <c r="AE49" s="133"/>
    </row>
    <row r="50">
      <c r="A50" s="1"/>
      <c r="B50" s="127" t="s">
        <v>14</v>
      </c>
      <c r="C50" s="127">
        <v>76408.0</v>
      </c>
      <c r="D50" s="108" t="s">
        <v>218</v>
      </c>
      <c r="E50" s="109"/>
      <c r="F50" s="58"/>
      <c r="G50" s="128" t="s">
        <v>219</v>
      </c>
      <c r="H50" s="129">
        <v>4.13</v>
      </c>
      <c r="I50" s="129">
        <v>4.89</v>
      </c>
      <c r="J50" s="130" t="b">
        <v>0</v>
      </c>
      <c r="K50" s="58"/>
      <c r="L50" s="131">
        <f t="shared" si="8"/>
        <v>1</v>
      </c>
      <c r="M50" s="130"/>
      <c r="N50" s="109"/>
      <c r="O50" s="109"/>
      <c r="P50" s="109"/>
      <c r="Q50" s="58"/>
      <c r="R50" s="126"/>
      <c r="S50" s="126"/>
      <c r="T50" s="132"/>
      <c r="U50" s="132"/>
      <c r="V50" s="132"/>
      <c r="W50" s="132"/>
      <c r="X50" s="132"/>
      <c r="Y50" s="132"/>
      <c r="Z50" s="132"/>
      <c r="AA50" s="133"/>
      <c r="AB50" s="133"/>
      <c r="AC50" s="133"/>
      <c r="AD50" s="133"/>
      <c r="AE50" s="133"/>
    </row>
    <row r="51">
      <c r="A51" s="1"/>
      <c r="B51" s="127" t="s">
        <v>14</v>
      </c>
      <c r="C51" s="127">
        <v>76408.0</v>
      </c>
      <c r="D51" s="108" t="s">
        <v>161</v>
      </c>
      <c r="E51" s="109"/>
      <c r="F51" s="58"/>
      <c r="G51" s="128" t="s">
        <v>220</v>
      </c>
      <c r="H51" s="129">
        <v>2.64</v>
      </c>
      <c r="I51" s="129">
        <v>4.58</v>
      </c>
      <c r="J51" s="130" t="b">
        <v>0</v>
      </c>
      <c r="K51" s="58"/>
      <c r="L51" s="131">
        <f t="shared" si="8"/>
        <v>1</v>
      </c>
      <c r="M51" s="130"/>
      <c r="N51" s="109"/>
      <c r="O51" s="109"/>
      <c r="P51" s="109"/>
      <c r="Q51" s="58"/>
      <c r="R51" s="126"/>
      <c r="S51" s="126"/>
      <c r="T51" s="132"/>
      <c r="U51" s="132"/>
      <c r="V51" s="132"/>
      <c r="W51" s="132"/>
      <c r="X51" s="132"/>
      <c r="Y51" s="132"/>
      <c r="Z51" s="132"/>
      <c r="AA51" s="133"/>
      <c r="AB51" s="133"/>
      <c r="AC51" s="133"/>
      <c r="AD51" s="133"/>
      <c r="AE51" s="133"/>
    </row>
    <row r="52">
      <c r="A52" s="1"/>
      <c r="B52" s="127" t="s">
        <v>14</v>
      </c>
      <c r="C52" s="127">
        <v>76408.0</v>
      </c>
      <c r="D52" s="108" t="s">
        <v>14</v>
      </c>
      <c r="E52" s="109"/>
      <c r="F52" s="58"/>
      <c r="G52" s="128" t="s">
        <v>221</v>
      </c>
      <c r="H52" s="129">
        <v>2.1</v>
      </c>
      <c r="I52" s="129">
        <v>3.02</v>
      </c>
      <c r="J52" s="130" t="b">
        <v>0</v>
      </c>
      <c r="K52" s="58"/>
      <c r="L52" s="131">
        <f t="shared" si="8"/>
        <v>1</v>
      </c>
      <c r="M52" s="108" t="s">
        <v>222</v>
      </c>
      <c r="N52" s="109"/>
      <c r="O52" s="109"/>
      <c r="P52" s="109"/>
      <c r="Q52" s="58"/>
      <c r="R52" s="126"/>
      <c r="S52" s="126"/>
      <c r="T52" s="132"/>
      <c r="U52" s="132"/>
      <c r="V52" s="132"/>
      <c r="W52" s="132"/>
      <c r="X52" s="132"/>
      <c r="Y52" s="132"/>
      <c r="Z52" s="132"/>
      <c r="AA52" s="133"/>
      <c r="AB52" s="133"/>
      <c r="AC52" s="133"/>
      <c r="AD52" s="133"/>
      <c r="AE52" s="133"/>
    </row>
    <row r="53">
      <c r="A53" s="1"/>
      <c r="B53" s="127" t="s">
        <v>14</v>
      </c>
      <c r="C53" s="127">
        <v>76414.0</v>
      </c>
      <c r="D53" s="108" t="s">
        <v>223</v>
      </c>
      <c r="E53" s="109"/>
      <c r="F53" s="58"/>
      <c r="G53" s="128" t="s">
        <v>224</v>
      </c>
      <c r="H53" s="129">
        <v>5.87</v>
      </c>
      <c r="I53" s="129">
        <v>6.96</v>
      </c>
      <c r="J53" s="130" t="b">
        <v>0</v>
      </c>
      <c r="K53" s="58"/>
      <c r="L53" s="131">
        <f t="shared" si="8"/>
        <v>2</v>
      </c>
      <c r="M53" s="108" t="s">
        <v>225</v>
      </c>
      <c r="N53" s="109"/>
      <c r="O53" s="109"/>
      <c r="P53" s="109"/>
      <c r="Q53" s="58"/>
      <c r="R53" s="126"/>
      <c r="S53" s="126"/>
      <c r="T53" s="132"/>
      <c r="U53" s="132"/>
      <c r="V53" s="132"/>
      <c r="W53" s="132"/>
      <c r="X53" s="132"/>
      <c r="Y53" s="132"/>
      <c r="Z53" s="132"/>
      <c r="AA53" s="133"/>
      <c r="AB53" s="133"/>
      <c r="AC53" s="133"/>
      <c r="AD53" s="133"/>
      <c r="AE53" s="133"/>
    </row>
    <row r="54">
      <c r="A54" s="1"/>
      <c r="B54" s="127" t="s">
        <v>14</v>
      </c>
      <c r="C54" s="127">
        <v>76414.0</v>
      </c>
      <c r="D54" s="108" t="s">
        <v>223</v>
      </c>
      <c r="E54" s="109"/>
      <c r="F54" s="58"/>
      <c r="G54" s="128" t="s">
        <v>224</v>
      </c>
      <c r="H54" s="129">
        <v>5.87</v>
      </c>
      <c r="I54" s="129">
        <v>6.96</v>
      </c>
      <c r="J54" s="130" t="b">
        <v>0</v>
      </c>
      <c r="K54" s="58"/>
      <c r="L54" s="131">
        <f t="shared" si="8"/>
        <v>2</v>
      </c>
      <c r="M54" s="108" t="s">
        <v>225</v>
      </c>
      <c r="N54" s="109"/>
      <c r="O54" s="109"/>
      <c r="P54" s="109"/>
      <c r="Q54" s="58"/>
      <c r="R54" s="126"/>
      <c r="S54" s="126"/>
      <c r="T54" s="132"/>
      <c r="U54" s="132"/>
      <c r="V54" s="132"/>
      <c r="W54" s="132"/>
      <c r="X54" s="132"/>
      <c r="Y54" s="132"/>
      <c r="Z54" s="132"/>
      <c r="AA54" s="133"/>
      <c r="AB54" s="133"/>
      <c r="AC54" s="133"/>
      <c r="AD54" s="133"/>
      <c r="AE54" s="133"/>
    </row>
    <row r="55">
      <c r="A55" s="1"/>
      <c r="B55" s="127" t="s">
        <v>14</v>
      </c>
      <c r="C55" s="127">
        <v>76414.0</v>
      </c>
      <c r="D55" s="108" t="s">
        <v>14</v>
      </c>
      <c r="E55" s="109"/>
      <c r="F55" s="58"/>
      <c r="G55" s="128" t="s">
        <v>226</v>
      </c>
      <c r="H55" s="129">
        <v>5.08</v>
      </c>
      <c r="I55" s="129">
        <v>5.59</v>
      </c>
      <c r="J55" s="130" t="b">
        <v>0</v>
      </c>
      <c r="K55" s="58"/>
      <c r="L55" s="131">
        <f t="shared" si="8"/>
        <v>2</v>
      </c>
      <c r="M55" s="108" t="s">
        <v>225</v>
      </c>
      <c r="N55" s="109"/>
      <c r="O55" s="109"/>
      <c r="P55" s="109"/>
      <c r="Q55" s="58"/>
      <c r="R55" s="126"/>
      <c r="S55" s="126"/>
      <c r="T55" s="132"/>
      <c r="U55" s="132"/>
      <c r="V55" s="132"/>
      <c r="W55" s="132"/>
      <c r="X55" s="132"/>
      <c r="Y55" s="132"/>
      <c r="Z55" s="132"/>
      <c r="AA55" s="133"/>
      <c r="AB55" s="133"/>
      <c r="AC55" s="133"/>
      <c r="AD55" s="133"/>
      <c r="AE55" s="133"/>
    </row>
    <row r="56">
      <c r="A56" s="1"/>
      <c r="B56" s="127" t="s">
        <v>14</v>
      </c>
      <c r="C56" s="127">
        <v>76414.0</v>
      </c>
      <c r="D56" s="108" t="s">
        <v>14</v>
      </c>
      <c r="E56" s="109"/>
      <c r="F56" s="58"/>
      <c r="G56" s="128" t="s">
        <v>226</v>
      </c>
      <c r="H56" s="129">
        <v>5.08</v>
      </c>
      <c r="I56" s="129">
        <v>5.59</v>
      </c>
      <c r="J56" s="130" t="b">
        <v>0</v>
      </c>
      <c r="K56" s="58"/>
      <c r="L56" s="131">
        <f t="shared" si="8"/>
        <v>2</v>
      </c>
      <c r="M56" s="108" t="s">
        <v>225</v>
      </c>
      <c r="N56" s="109"/>
      <c r="O56" s="109"/>
      <c r="P56" s="109"/>
      <c r="Q56" s="58"/>
      <c r="R56" s="126"/>
      <c r="S56" s="126"/>
      <c r="T56" s="132"/>
      <c r="U56" s="132"/>
      <c r="V56" s="132"/>
      <c r="W56" s="132"/>
      <c r="X56" s="132"/>
      <c r="Y56" s="132"/>
      <c r="Z56" s="132"/>
      <c r="AA56" s="133"/>
      <c r="AB56" s="133"/>
      <c r="AC56" s="133"/>
      <c r="AD56" s="133"/>
      <c r="AE56" s="133"/>
    </row>
    <row r="57">
      <c r="A57" s="1"/>
      <c r="B57" s="127" t="s">
        <v>14</v>
      </c>
      <c r="C57" s="127">
        <v>76419.0</v>
      </c>
      <c r="D57" s="108" t="s">
        <v>227</v>
      </c>
      <c r="E57" s="109"/>
      <c r="F57" s="58"/>
      <c r="G57" s="128" t="s">
        <v>228</v>
      </c>
      <c r="H57" s="129">
        <v>12.1</v>
      </c>
      <c r="I57" s="129">
        <v>14.48</v>
      </c>
      <c r="J57" s="130" t="b">
        <v>0</v>
      </c>
      <c r="K57" s="58"/>
      <c r="L57" s="131">
        <f t="shared" si="8"/>
        <v>1</v>
      </c>
      <c r="M57" s="130"/>
      <c r="N57" s="109"/>
      <c r="O57" s="109"/>
      <c r="P57" s="109"/>
      <c r="Q57" s="58"/>
      <c r="R57" s="126"/>
      <c r="S57" s="126"/>
      <c r="T57" s="132"/>
      <c r="U57" s="132"/>
      <c r="V57" s="132"/>
      <c r="W57" s="132"/>
      <c r="X57" s="132"/>
      <c r="Y57" s="132"/>
      <c r="Z57" s="132"/>
      <c r="AA57" s="133"/>
      <c r="AB57" s="133"/>
      <c r="AC57" s="133"/>
      <c r="AD57" s="133"/>
      <c r="AE57" s="133"/>
    </row>
    <row r="58">
      <c r="A58" s="1"/>
      <c r="B58" s="127" t="s">
        <v>14</v>
      </c>
      <c r="C58" s="127">
        <v>76424.0</v>
      </c>
      <c r="D58" s="108" t="s">
        <v>14</v>
      </c>
      <c r="E58" s="109"/>
      <c r="F58" s="58"/>
      <c r="G58" s="128" t="s">
        <v>229</v>
      </c>
      <c r="H58" s="129">
        <v>2.0</v>
      </c>
      <c r="I58" s="129">
        <v>2.91</v>
      </c>
      <c r="J58" s="130" t="b">
        <v>0</v>
      </c>
      <c r="K58" s="58"/>
      <c r="L58" s="131">
        <f t="shared" si="8"/>
        <v>1</v>
      </c>
      <c r="M58" s="108" t="s">
        <v>205</v>
      </c>
      <c r="N58" s="109"/>
      <c r="O58" s="109"/>
      <c r="P58" s="109"/>
      <c r="Q58" s="58"/>
      <c r="R58" s="126"/>
      <c r="S58" s="126"/>
      <c r="T58" s="132"/>
      <c r="U58" s="132"/>
      <c r="V58" s="132"/>
      <c r="W58" s="132"/>
      <c r="X58" s="132"/>
      <c r="Y58" s="132"/>
      <c r="Z58" s="132"/>
      <c r="AA58" s="133"/>
      <c r="AB58" s="133"/>
      <c r="AC58" s="133"/>
      <c r="AD58" s="133"/>
      <c r="AE58" s="133"/>
    </row>
    <row r="59">
      <c r="A59" s="1"/>
      <c r="B59" s="127" t="s">
        <v>14</v>
      </c>
      <c r="C59" s="127">
        <v>76424.0</v>
      </c>
      <c r="D59" s="108" t="s">
        <v>161</v>
      </c>
      <c r="E59" s="109"/>
      <c r="F59" s="58"/>
      <c r="G59" s="128" t="s">
        <v>230</v>
      </c>
      <c r="H59" s="129">
        <v>1.5</v>
      </c>
      <c r="I59" s="129">
        <v>2.65</v>
      </c>
      <c r="J59" s="130" t="b">
        <v>0</v>
      </c>
      <c r="K59" s="58"/>
      <c r="L59" s="131">
        <f t="shared" si="8"/>
        <v>1</v>
      </c>
      <c r="M59" s="108" t="s">
        <v>231</v>
      </c>
      <c r="N59" s="109"/>
      <c r="O59" s="109"/>
      <c r="P59" s="109"/>
      <c r="Q59" s="58"/>
      <c r="R59" s="126"/>
      <c r="S59" s="126"/>
      <c r="T59" s="132"/>
      <c r="U59" s="132"/>
      <c r="V59" s="132"/>
      <c r="W59" s="132"/>
      <c r="X59" s="132"/>
      <c r="Y59" s="132"/>
      <c r="Z59" s="132"/>
      <c r="AA59" s="133"/>
      <c r="AB59" s="133"/>
      <c r="AC59" s="133"/>
      <c r="AD59" s="133"/>
      <c r="AE59" s="133"/>
    </row>
    <row r="60">
      <c r="A60" s="1"/>
      <c r="B60" s="127" t="s">
        <v>14</v>
      </c>
      <c r="C60" s="127">
        <v>76450.0</v>
      </c>
      <c r="D60" s="108" t="s">
        <v>161</v>
      </c>
      <c r="E60" s="109"/>
      <c r="F60" s="58"/>
      <c r="G60" s="128" t="s">
        <v>232</v>
      </c>
      <c r="H60" s="129">
        <v>10.24</v>
      </c>
      <c r="I60" s="129">
        <v>16.0</v>
      </c>
      <c r="J60" s="130" t="b">
        <v>0</v>
      </c>
      <c r="K60" s="58"/>
      <c r="L60" s="131">
        <f t="shared" si="8"/>
        <v>1</v>
      </c>
      <c r="M60" s="108" t="s">
        <v>231</v>
      </c>
      <c r="N60" s="109"/>
      <c r="O60" s="109"/>
      <c r="P60" s="109"/>
      <c r="Q60" s="58"/>
      <c r="R60" s="126"/>
      <c r="S60" s="126"/>
      <c r="T60" s="132"/>
      <c r="U60" s="132"/>
      <c r="V60" s="132"/>
      <c r="W60" s="132"/>
      <c r="X60" s="132"/>
      <c r="Y60" s="132"/>
      <c r="Z60" s="132"/>
      <c r="AA60" s="133"/>
      <c r="AB60" s="133"/>
      <c r="AC60" s="133"/>
      <c r="AD60" s="133"/>
      <c r="AE60" s="133"/>
    </row>
    <row r="61">
      <c r="A61" s="1"/>
      <c r="B61" s="127" t="s">
        <v>14</v>
      </c>
      <c r="C61" s="127">
        <v>76450.0</v>
      </c>
      <c r="D61" s="108" t="s">
        <v>14</v>
      </c>
      <c r="E61" s="109"/>
      <c r="F61" s="58"/>
      <c r="G61" s="128" t="s">
        <v>233</v>
      </c>
      <c r="H61" s="129">
        <v>1.46</v>
      </c>
      <c r="I61" s="129">
        <v>1.91</v>
      </c>
      <c r="J61" s="130" t="b">
        <v>0</v>
      </c>
      <c r="K61" s="58"/>
      <c r="L61" s="131">
        <f t="shared" si="8"/>
        <v>1</v>
      </c>
      <c r="M61" s="108" t="s">
        <v>205</v>
      </c>
      <c r="N61" s="109"/>
      <c r="O61" s="109"/>
      <c r="P61" s="109"/>
      <c r="Q61" s="58"/>
      <c r="R61" s="126"/>
      <c r="S61" s="126"/>
      <c r="T61" s="132"/>
      <c r="U61" s="132"/>
      <c r="V61" s="132"/>
      <c r="W61" s="132"/>
      <c r="X61" s="132"/>
      <c r="Y61" s="132"/>
      <c r="Z61" s="132"/>
      <c r="AA61" s="133"/>
      <c r="AB61" s="133"/>
      <c r="AC61" s="133"/>
      <c r="AD61" s="133"/>
      <c r="AE61" s="133"/>
    </row>
    <row r="62">
      <c r="A62" s="1"/>
      <c r="B62" s="127" t="s">
        <v>14</v>
      </c>
      <c r="C62" s="127">
        <v>76459.0</v>
      </c>
      <c r="D62" s="108" t="s">
        <v>14</v>
      </c>
      <c r="E62" s="109"/>
      <c r="F62" s="58"/>
      <c r="G62" s="128" t="s">
        <v>234</v>
      </c>
      <c r="H62" s="129">
        <v>1.11</v>
      </c>
      <c r="I62" s="129">
        <v>1.7</v>
      </c>
      <c r="J62" s="130" t="b">
        <v>0</v>
      </c>
      <c r="K62" s="58"/>
      <c r="L62" s="131">
        <f t="shared" si="8"/>
        <v>1</v>
      </c>
      <c r="M62" s="130"/>
      <c r="N62" s="109"/>
      <c r="O62" s="109"/>
      <c r="P62" s="109"/>
      <c r="Q62" s="58"/>
      <c r="R62" s="126"/>
      <c r="S62" s="126"/>
      <c r="T62" s="132"/>
      <c r="U62" s="132"/>
      <c r="V62" s="132"/>
      <c r="W62" s="132"/>
      <c r="X62" s="132"/>
      <c r="Y62" s="132"/>
      <c r="Z62" s="132"/>
      <c r="AA62" s="133"/>
      <c r="AB62" s="133"/>
      <c r="AC62" s="133"/>
      <c r="AD62" s="133"/>
      <c r="AE62" s="133"/>
    </row>
    <row r="63">
      <c r="A63" s="1"/>
      <c r="B63" s="127" t="s">
        <v>14</v>
      </c>
      <c r="C63" s="127">
        <v>76459.0</v>
      </c>
      <c r="D63" s="108" t="s">
        <v>235</v>
      </c>
      <c r="E63" s="109"/>
      <c r="F63" s="58"/>
      <c r="G63" s="128" t="s">
        <v>236</v>
      </c>
      <c r="H63" s="129">
        <v>2.92</v>
      </c>
      <c r="I63" s="129">
        <v>6.48</v>
      </c>
      <c r="J63" s="130" t="b">
        <v>0</v>
      </c>
      <c r="K63" s="58"/>
      <c r="L63" s="131">
        <f t="shared" si="8"/>
        <v>1</v>
      </c>
      <c r="M63" s="130"/>
      <c r="N63" s="109"/>
      <c r="O63" s="109"/>
      <c r="P63" s="109"/>
      <c r="Q63" s="58"/>
      <c r="R63" s="126"/>
      <c r="S63" s="126"/>
      <c r="T63" s="132"/>
      <c r="U63" s="132"/>
      <c r="V63" s="132"/>
      <c r="W63" s="132"/>
      <c r="X63" s="132"/>
      <c r="Y63" s="132"/>
      <c r="Z63" s="132"/>
      <c r="AA63" s="133"/>
      <c r="AB63" s="133"/>
      <c r="AC63" s="133"/>
      <c r="AD63" s="133"/>
      <c r="AE63" s="133"/>
    </row>
    <row r="64">
      <c r="A64" s="1"/>
      <c r="B64" s="127" t="s">
        <v>14</v>
      </c>
      <c r="C64" s="127">
        <v>76459.0</v>
      </c>
      <c r="D64" s="108" t="s">
        <v>237</v>
      </c>
      <c r="E64" s="109"/>
      <c r="F64" s="58"/>
      <c r="G64" s="128" t="s">
        <v>238</v>
      </c>
      <c r="H64" s="129">
        <v>2.48</v>
      </c>
      <c r="I64" s="129">
        <v>5.68</v>
      </c>
      <c r="J64" s="130" t="b">
        <v>0</v>
      </c>
      <c r="K64" s="58"/>
      <c r="L64" s="131">
        <f t="shared" si="8"/>
        <v>1</v>
      </c>
      <c r="M64" s="130"/>
      <c r="N64" s="109"/>
      <c r="O64" s="109"/>
      <c r="P64" s="109"/>
      <c r="Q64" s="58"/>
      <c r="R64" s="126"/>
      <c r="S64" s="126"/>
      <c r="T64" s="132"/>
      <c r="U64" s="132"/>
      <c r="V64" s="132"/>
      <c r="W64" s="132"/>
      <c r="X64" s="132"/>
      <c r="Y64" s="132"/>
      <c r="Z64" s="132"/>
      <c r="AA64" s="133"/>
      <c r="AB64" s="133"/>
      <c r="AC64" s="133"/>
      <c r="AD64" s="133"/>
      <c r="AE64" s="133"/>
    </row>
    <row r="65">
      <c r="A65" s="1"/>
      <c r="B65" s="127" t="s">
        <v>14</v>
      </c>
      <c r="C65" s="127">
        <v>76459.0</v>
      </c>
      <c r="D65" s="108" t="s">
        <v>235</v>
      </c>
      <c r="E65" s="109"/>
      <c r="F65" s="58"/>
      <c r="G65" s="128" t="s">
        <v>239</v>
      </c>
      <c r="H65" s="129">
        <v>2.92</v>
      </c>
      <c r="I65" s="129">
        <v>5.73</v>
      </c>
      <c r="J65" s="130" t="b">
        <v>0</v>
      </c>
      <c r="K65" s="58"/>
      <c r="L65" s="131">
        <f t="shared" si="8"/>
        <v>1</v>
      </c>
      <c r="M65" s="130"/>
      <c r="N65" s="109"/>
      <c r="O65" s="109"/>
      <c r="P65" s="109"/>
      <c r="Q65" s="58"/>
      <c r="R65" s="126"/>
      <c r="S65" s="126"/>
      <c r="T65" s="132"/>
      <c r="U65" s="132"/>
      <c r="V65" s="132"/>
      <c r="W65" s="132"/>
      <c r="X65" s="132"/>
      <c r="Y65" s="132"/>
      <c r="Z65" s="132"/>
      <c r="AA65" s="133"/>
      <c r="AB65" s="133"/>
      <c r="AC65" s="133"/>
      <c r="AD65" s="133"/>
      <c r="AE65" s="133"/>
    </row>
    <row r="66">
      <c r="A66" s="1"/>
      <c r="B66" s="127" t="s">
        <v>14</v>
      </c>
      <c r="C66" s="127">
        <v>76464.0</v>
      </c>
      <c r="D66" s="108" t="s">
        <v>240</v>
      </c>
      <c r="E66" s="109"/>
      <c r="F66" s="58"/>
      <c r="G66" s="128" t="s">
        <v>241</v>
      </c>
      <c r="H66" s="129">
        <v>3.27</v>
      </c>
      <c r="I66" s="129">
        <v>3.41</v>
      </c>
      <c r="J66" s="130" t="b">
        <v>0</v>
      </c>
      <c r="K66" s="58"/>
      <c r="L66" s="131">
        <f t="shared" si="8"/>
        <v>1</v>
      </c>
      <c r="M66" s="130"/>
      <c r="N66" s="109"/>
      <c r="O66" s="109"/>
      <c r="P66" s="109"/>
      <c r="Q66" s="58"/>
      <c r="R66" s="126"/>
      <c r="S66" s="126"/>
      <c r="T66" s="132"/>
      <c r="U66" s="132"/>
      <c r="V66" s="132"/>
      <c r="W66" s="132"/>
      <c r="X66" s="132"/>
      <c r="Y66" s="132"/>
      <c r="Z66" s="132"/>
      <c r="AA66" s="133"/>
      <c r="AB66" s="133"/>
      <c r="AC66" s="133"/>
      <c r="AD66" s="133"/>
      <c r="AE66" s="133"/>
    </row>
    <row r="67">
      <c r="A67" s="1"/>
      <c r="B67" s="127" t="s">
        <v>14</v>
      </c>
      <c r="C67" s="127">
        <v>76464.0</v>
      </c>
      <c r="D67" s="108" t="s">
        <v>242</v>
      </c>
      <c r="E67" s="109"/>
      <c r="F67" s="58"/>
      <c r="G67" s="128" t="s">
        <v>243</v>
      </c>
      <c r="H67" s="129">
        <v>1.38</v>
      </c>
      <c r="I67" s="129">
        <v>1.81</v>
      </c>
      <c r="J67" s="130" t="b">
        <v>0</v>
      </c>
      <c r="K67" s="58"/>
      <c r="L67" s="131">
        <f t="shared" si="8"/>
        <v>1</v>
      </c>
      <c r="M67" s="130"/>
      <c r="N67" s="109"/>
      <c r="O67" s="109"/>
      <c r="P67" s="109"/>
      <c r="Q67" s="58"/>
      <c r="R67" s="126"/>
      <c r="S67" s="126"/>
      <c r="T67" s="132"/>
      <c r="U67" s="132"/>
      <c r="V67" s="132"/>
      <c r="W67" s="132"/>
      <c r="X67" s="132"/>
      <c r="Y67" s="132"/>
      <c r="Z67" s="132"/>
      <c r="AA67" s="133"/>
      <c r="AB67" s="133"/>
      <c r="AC67" s="133"/>
      <c r="AD67" s="133"/>
      <c r="AE67" s="133"/>
    </row>
    <row r="68">
      <c r="A68" s="1"/>
      <c r="B68" s="127" t="s">
        <v>12</v>
      </c>
      <c r="C68" s="127">
        <v>10300.0</v>
      </c>
      <c r="D68" s="108" t="s">
        <v>244</v>
      </c>
      <c r="E68" s="109"/>
      <c r="F68" s="58"/>
      <c r="G68" s="128" t="s">
        <v>245</v>
      </c>
      <c r="H68" s="129">
        <v>12.79</v>
      </c>
      <c r="I68" s="129">
        <v>16.13</v>
      </c>
      <c r="J68" s="130" t="b">
        <v>0</v>
      </c>
      <c r="K68" s="58"/>
      <c r="L68" s="131">
        <f t="shared" si="8"/>
        <v>1</v>
      </c>
      <c r="M68" s="130"/>
      <c r="N68" s="109"/>
      <c r="O68" s="109"/>
      <c r="P68" s="109"/>
      <c r="Q68" s="58"/>
      <c r="R68" s="126"/>
      <c r="S68" s="126"/>
      <c r="T68" s="132"/>
      <c r="U68" s="132"/>
      <c r="V68" s="132"/>
      <c r="W68" s="132"/>
      <c r="X68" s="132"/>
      <c r="Y68" s="132"/>
      <c r="Z68" s="132"/>
      <c r="AA68" s="133"/>
      <c r="AB68" s="133"/>
      <c r="AC68" s="133"/>
      <c r="AD68" s="133"/>
      <c r="AE68" s="133"/>
    </row>
    <row r="69">
      <c r="A69" s="1"/>
      <c r="B69" s="127" t="s">
        <v>12</v>
      </c>
      <c r="C69" s="127">
        <v>10300.0</v>
      </c>
      <c r="D69" s="108" t="s">
        <v>246</v>
      </c>
      <c r="E69" s="109"/>
      <c r="F69" s="58"/>
      <c r="G69" s="128" t="s">
        <v>247</v>
      </c>
      <c r="H69" s="129">
        <v>12.27</v>
      </c>
      <c r="I69" s="129">
        <v>13.55</v>
      </c>
      <c r="J69" s="130" t="b">
        <v>0</v>
      </c>
      <c r="K69" s="58"/>
      <c r="L69" s="131">
        <f t="shared" si="8"/>
        <v>1</v>
      </c>
      <c r="M69" s="130"/>
      <c r="N69" s="109"/>
      <c r="O69" s="109"/>
      <c r="P69" s="109"/>
      <c r="Q69" s="58"/>
      <c r="R69" s="126"/>
      <c r="S69" s="126"/>
      <c r="T69" s="132"/>
      <c r="U69" s="132"/>
      <c r="V69" s="132"/>
      <c r="W69" s="132"/>
      <c r="X69" s="132"/>
      <c r="Y69" s="132"/>
      <c r="Z69" s="132"/>
      <c r="AA69" s="133"/>
      <c r="AB69" s="133"/>
      <c r="AC69" s="133"/>
      <c r="AD69" s="133"/>
      <c r="AE69" s="133"/>
    </row>
    <row r="70">
      <c r="A70" s="1"/>
      <c r="B70" s="127" t="s">
        <v>12</v>
      </c>
      <c r="C70" s="127">
        <v>10327.0</v>
      </c>
      <c r="D70" s="108" t="s">
        <v>248</v>
      </c>
      <c r="E70" s="109"/>
      <c r="F70" s="58"/>
      <c r="G70" s="128" t="s">
        <v>249</v>
      </c>
      <c r="H70" s="129">
        <v>10.97</v>
      </c>
      <c r="I70" s="129">
        <v>12.92</v>
      </c>
      <c r="J70" s="130" t="b">
        <v>0</v>
      </c>
      <c r="K70" s="58"/>
      <c r="L70" s="131">
        <f t="shared" si="8"/>
        <v>1</v>
      </c>
      <c r="M70" s="130"/>
      <c r="N70" s="109"/>
      <c r="O70" s="109"/>
      <c r="P70" s="109"/>
      <c r="Q70" s="58"/>
      <c r="R70" s="126"/>
      <c r="S70" s="126"/>
      <c r="T70" s="132"/>
      <c r="U70" s="132"/>
      <c r="V70" s="132"/>
      <c r="W70" s="132"/>
      <c r="X70" s="132"/>
      <c r="Y70" s="132"/>
      <c r="Z70" s="132"/>
      <c r="AA70" s="133"/>
      <c r="AB70" s="133"/>
      <c r="AC70" s="133"/>
      <c r="AD70" s="133"/>
      <c r="AE70" s="133"/>
    </row>
    <row r="71">
      <c r="A71" s="1"/>
      <c r="B71" s="127" t="s">
        <v>12</v>
      </c>
      <c r="C71" s="127">
        <v>10327.0</v>
      </c>
      <c r="D71" s="108" t="s">
        <v>250</v>
      </c>
      <c r="E71" s="109"/>
      <c r="F71" s="58"/>
      <c r="G71" s="128" t="s">
        <v>251</v>
      </c>
      <c r="H71" s="129">
        <v>9.59</v>
      </c>
      <c r="I71" s="129">
        <v>11.84</v>
      </c>
      <c r="J71" s="130" t="b">
        <v>0</v>
      </c>
      <c r="K71" s="58"/>
      <c r="L71" s="131">
        <f t="shared" si="8"/>
        <v>1</v>
      </c>
      <c r="M71" s="130"/>
      <c r="N71" s="109"/>
      <c r="O71" s="109"/>
      <c r="P71" s="109"/>
      <c r="Q71" s="58"/>
      <c r="R71" s="126"/>
      <c r="S71" s="126"/>
      <c r="T71" s="132"/>
      <c r="U71" s="132"/>
      <c r="V71" s="132"/>
      <c r="W71" s="132"/>
      <c r="X71" s="132"/>
      <c r="Y71" s="132"/>
      <c r="Z71" s="132"/>
      <c r="AA71" s="133"/>
      <c r="AB71" s="133"/>
      <c r="AC71" s="133"/>
      <c r="AD71" s="133"/>
      <c r="AE71" s="133"/>
    </row>
    <row r="72">
      <c r="A72" s="1"/>
      <c r="B72" s="127" t="s">
        <v>12</v>
      </c>
      <c r="C72" s="127">
        <v>10327.0</v>
      </c>
      <c r="D72" s="108" t="s">
        <v>252</v>
      </c>
      <c r="E72" s="109"/>
      <c r="F72" s="58"/>
      <c r="G72" s="128" t="s">
        <v>253</v>
      </c>
      <c r="H72" s="129">
        <v>11.5</v>
      </c>
      <c r="I72" s="129">
        <v>11.57</v>
      </c>
      <c r="J72" s="130" t="b">
        <v>0</v>
      </c>
      <c r="K72" s="58"/>
      <c r="L72" s="131">
        <f t="shared" si="8"/>
        <v>1</v>
      </c>
      <c r="M72" s="130"/>
      <c r="N72" s="109"/>
      <c r="O72" s="109"/>
      <c r="P72" s="109"/>
      <c r="Q72" s="58"/>
      <c r="R72" s="126"/>
      <c r="S72" s="126"/>
      <c r="T72" s="132"/>
      <c r="U72" s="132"/>
      <c r="V72" s="132"/>
      <c r="W72" s="132"/>
      <c r="X72" s="132"/>
      <c r="Y72" s="132"/>
      <c r="Z72" s="132"/>
      <c r="AA72" s="133"/>
      <c r="AB72" s="133"/>
      <c r="AC72" s="133"/>
      <c r="AD72" s="133"/>
      <c r="AE72" s="133"/>
    </row>
    <row r="73">
      <c r="A73" s="1"/>
      <c r="B73" s="127" t="s">
        <v>12</v>
      </c>
      <c r="C73" s="127">
        <v>10327.0</v>
      </c>
      <c r="D73" s="108" t="s">
        <v>254</v>
      </c>
      <c r="E73" s="109"/>
      <c r="F73" s="58"/>
      <c r="G73" s="128" t="s">
        <v>255</v>
      </c>
      <c r="H73" s="129">
        <v>11.21</v>
      </c>
      <c r="I73" s="129">
        <v>11.53</v>
      </c>
      <c r="J73" s="130" t="b">
        <v>0</v>
      </c>
      <c r="K73" s="58"/>
      <c r="L73" s="131">
        <f t="shared" si="8"/>
        <v>1</v>
      </c>
      <c r="M73" s="130"/>
      <c r="N73" s="109"/>
      <c r="O73" s="109"/>
      <c r="P73" s="109"/>
      <c r="Q73" s="58"/>
      <c r="R73" s="126"/>
      <c r="S73" s="126"/>
      <c r="T73" s="132"/>
      <c r="U73" s="132"/>
      <c r="V73" s="132"/>
      <c r="W73" s="132"/>
      <c r="X73" s="132"/>
      <c r="Y73" s="132"/>
      <c r="Z73" s="132"/>
      <c r="AA73" s="133"/>
      <c r="AB73" s="133"/>
      <c r="AC73" s="133"/>
      <c r="AD73" s="133"/>
      <c r="AE73" s="133"/>
    </row>
    <row r="74">
      <c r="A74" s="1"/>
      <c r="B74" s="127" t="s">
        <v>12</v>
      </c>
      <c r="C74" s="127">
        <v>10327.0</v>
      </c>
      <c r="D74" s="108" t="s">
        <v>256</v>
      </c>
      <c r="E74" s="109"/>
      <c r="F74" s="58"/>
      <c r="G74" s="128" t="s">
        <v>257</v>
      </c>
      <c r="H74" s="129">
        <v>9.87</v>
      </c>
      <c r="I74" s="129">
        <v>11.3</v>
      </c>
      <c r="J74" s="130" t="b">
        <v>0</v>
      </c>
      <c r="K74" s="58"/>
      <c r="L74" s="131">
        <f t="shared" si="8"/>
        <v>1</v>
      </c>
      <c r="M74" s="130"/>
      <c r="N74" s="109"/>
      <c r="O74" s="109"/>
      <c r="P74" s="109"/>
      <c r="Q74" s="58"/>
      <c r="R74" s="126"/>
      <c r="S74" s="126"/>
      <c r="T74" s="132"/>
      <c r="U74" s="132"/>
      <c r="V74" s="132"/>
      <c r="W74" s="132"/>
      <c r="X74" s="132"/>
      <c r="Y74" s="132"/>
      <c r="Z74" s="132"/>
      <c r="AA74" s="133"/>
      <c r="AB74" s="133"/>
      <c r="AC74" s="133"/>
      <c r="AD74" s="133"/>
      <c r="AE74" s="133"/>
    </row>
    <row r="75">
      <c r="A75" s="1"/>
      <c r="B75" s="127" t="s">
        <v>12</v>
      </c>
      <c r="C75" s="127">
        <v>10327.0</v>
      </c>
      <c r="D75" s="108" t="s">
        <v>258</v>
      </c>
      <c r="E75" s="109"/>
      <c r="F75" s="58"/>
      <c r="G75" s="128" t="s">
        <v>259</v>
      </c>
      <c r="H75" s="129">
        <v>10.78</v>
      </c>
      <c r="I75" s="129">
        <v>11.27</v>
      </c>
      <c r="J75" s="130" t="b">
        <v>0</v>
      </c>
      <c r="K75" s="58"/>
      <c r="L75" s="131">
        <f t="shared" si="8"/>
        <v>1</v>
      </c>
      <c r="M75" s="130"/>
      <c r="N75" s="109"/>
      <c r="O75" s="109"/>
      <c r="P75" s="109"/>
      <c r="Q75" s="58"/>
      <c r="R75" s="126"/>
      <c r="S75" s="126"/>
      <c r="T75" s="132"/>
      <c r="U75" s="132"/>
      <c r="V75" s="132"/>
      <c r="W75" s="132"/>
      <c r="X75" s="132"/>
      <c r="Y75" s="132"/>
      <c r="Z75" s="132"/>
      <c r="AA75" s="133"/>
      <c r="AB75" s="133"/>
      <c r="AC75" s="133"/>
      <c r="AD75" s="133"/>
      <c r="AE75" s="133"/>
    </row>
    <row r="76">
      <c r="A76" s="1"/>
      <c r="B76" s="127" t="s">
        <v>12</v>
      </c>
      <c r="C76" s="127">
        <v>10327.0</v>
      </c>
      <c r="D76" s="108" t="s">
        <v>260</v>
      </c>
      <c r="E76" s="109"/>
      <c r="F76" s="58"/>
      <c r="G76" s="128" t="s">
        <v>261</v>
      </c>
      <c r="H76" s="129">
        <v>8.25</v>
      </c>
      <c r="I76" s="129">
        <v>9.08</v>
      </c>
      <c r="J76" s="130" t="b">
        <v>0</v>
      </c>
      <c r="K76" s="58"/>
      <c r="L76" s="131">
        <f t="shared" si="8"/>
        <v>1</v>
      </c>
      <c r="M76" s="130"/>
      <c r="N76" s="109"/>
      <c r="O76" s="109"/>
      <c r="P76" s="109"/>
      <c r="Q76" s="58"/>
      <c r="R76" s="126"/>
      <c r="S76" s="126"/>
      <c r="T76" s="132"/>
      <c r="U76" s="132"/>
      <c r="V76" s="132"/>
      <c r="W76" s="132"/>
      <c r="X76" s="132"/>
      <c r="Y76" s="132"/>
      <c r="Z76" s="132"/>
      <c r="AA76" s="133"/>
      <c r="AB76" s="133"/>
      <c r="AC76" s="133"/>
      <c r="AD76" s="133"/>
      <c r="AE76" s="133"/>
    </row>
    <row r="77">
      <c r="A77" s="1"/>
      <c r="B77" s="127" t="s">
        <v>12</v>
      </c>
      <c r="C77" s="127">
        <v>10327.0</v>
      </c>
      <c r="D77" s="108" t="s">
        <v>262</v>
      </c>
      <c r="E77" s="109"/>
      <c r="F77" s="58"/>
      <c r="G77" s="128" t="s">
        <v>263</v>
      </c>
      <c r="H77" s="129">
        <v>5.34</v>
      </c>
      <c r="I77" s="129">
        <v>7.34</v>
      </c>
      <c r="J77" s="130" t="b">
        <v>0</v>
      </c>
      <c r="K77" s="58"/>
      <c r="L77" s="131">
        <f t="shared" si="8"/>
        <v>1</v>
      </c>
      <c r="M77" s="130"/>
      <c r="N77" s="109"/>
      <c r="O77" s="109"/>
      <c r="P77" s="109"/>
      <c r="Q77" s="58"/>
      <c r="R77" s="126"/>
      <c r="S77" s="126"/>
      <c r="T77" s="132"/>
      <c r="U77" s="132"/>
      <c r="V77" s="132"/>
      <c r="W77" s="132"/>
      <c r="X77" s="132"/>
      <c r="Y77" s="132"/>
      <c r="Z77" s="132"/>
      <c r="AA77" s="133"/>
      <c r="AB77" s="133"/>
      <c r="AC77" s="133"/>
      <c r="AD77" s="133"/>
      <c r="AE77" s="133"/>
    </row>
    <row r="78">
      <c r="A78" s="1"/>
      <c r="B78" s="127" t="s">
        <v>12</v>
      </c>
      <c r="C78" s="127">
        <v>10330.0</v>
      </c>
      <c r="D78" s="108" t="s">
        <v>264</v>
      </c>
      <c r="E78" s="109"/>
      <c r="F78" s="58"/>
      <c r="G78" s="128" t="s">
        <v>265</v>
      </c>
      <c r="H78" s="129">
        <v>11.38</v>
      </c>
      <c r="I78" s="129">
        <v>13.06</v>
      </c>
      <c r="J78" s="130" t="b">
        <v>0</v>
      </c>
      <c r="K78" s="58"/>
      <c r="L78" s="131">
        <f t="shared" si="8"/>
        <v>1</v>
      </c>
      <c r="M78" s="130"/>
      <c r="N78" s="109"/>
      <c r="O78" s="109"/>
      <c r="P78" s="109"/>
      <c r="Q78" s="58"/>
      <c r="R78" s="126"/>
      <c r="S78" s="126"/>
      <c r="T78" s="132"/>
      <c r="U78" s="132"/>
      <c r="V78" s="132"/>
      <c r="W78" s="132"/>
      <c r="X78" s="132"/>
      <c r="Y78" s="132"/>
      <c r="Z78" s="132"/>
      <c r="AA78" s="133"/>
      <c r="AB78" s="133"/>
      <c r="AC78" s="133"/>
      <c r="AD78" s="133"/>
      <c r="AE78" s="133"/>
    </row>
    <row r="79">
      <c r="A79" s="1"/>
      <c r="B79" s="127" t="s">
        <v>12</v>
      </c>
      <c r="C79" s="127">
        <v>10351.0</v>
      </c>
      <c r="D79" s="108" t="s">
        <v>266</v>
      </c>
      <c r="E79" s="109"/>
      <c r="F79" s="58"/>
      <c r="G79" s="128" t="s">
        <v>267</v>
      </c>
      <c r="H79" s="129">
        <v>7.89</v>
      </c>
      <c r="I79" s="129">
        <v>10.96</v>
      </c>
      <c r="J79" s="130" t="b">
        <v>0</v>
      </c>
      <c r="K79" s="58"/>
      <c r="L79" s="131">
        <f t="shared" si="8"/>
        <v>1</v>
      </c>
      <c r="M79" s="130"/>
      <c r="N79" s="109"/>
      <c r="O79" s="109"/>
      <c r="P79" s="109"/>
      <c r="Q79" s="58"/>
      <c r="R79" s="126"/>
      <c r="S79" s="126"/>
      <c r="T79" s="132"/>
      <c r="U79" s="132"/>
      <c r="V79" s="132"/>
      <c r="W79" s="132"/>
      <c r="X79" s="132"/>
      <c r="Y79" s="132"/>
      <c r="Z79" s="132"/>
      <c r="AA79" s="133"/>
      <c r="AB79" s="133"/>
      <c r="AC79" s="133"/>
      <c r="AD79" s="133"/>
      <c r="AE79" s="133"/>
    </row>
    <row r="80">
      <c r="A80" s="1"/>
      <c r="B80" s="127" t="s">
        <v>12</v>
      </c>
      <c r="C80" s="127">
        <v>10351.0</v>
      </c>
      <c r="D80" s="108" t="s">
        <v>268</v>
      </c>
      <c r="E80" s="109"/>
      <c r="F80" s="58"/>
      <c r="G80" s="128" t="s">
        <v>269</v>
      </c>
      <c r="H80" s="129">
        <v>7.82</v>
      </c>
      <c r="I80" s="129">
        <v>8.89</v>
      </c>
      <c r="J80" s="130" t="b">
        <v>0</v>
      </c>
      <c r="K80" s="58"/>
      <c r="L80" s="131">
        <f t="shared" si="8"/>
        <v>1</v>
      </c>
      <c r="M80" s="130"/>
      <c r="N80" s="109"/>
      <c r="O80" s="109"/>
      <c r="P80" s="109"/>
      <c r="Q80" s="58"/>
      <c r="R80" s="126"/>
      <c r="S80" s="126"/>
      <c r="T80" s="132"/>
      <c r="U80" s="132"/>
      <c r="V80" s="132"/>
      <c r="W80" s="132"/>
      <c r="X80" s="132"/>
      <c r="Y80" s="132"/>
      <c r="Z80" s="132"/>
      <c r="AA80" s="133"/>
      <c r="AB80" s="133"/>
      <c r="AC80" s="133"/>
      <c r="AD80" s="133"/>
      <c r="AE80" s="133"/>
    </row>
    <row r="81">
      <c r="A81" s="1"/>
      <c r="B81" s="127" t="s">
        <v>12</v>
      </c>
      <c r="C81" s="127">
        <v>10351.0</v>
      </c>
      <c r="D81" s="108" t="s">
        <v>270</v>
      </c>
      <c r="E81" s="109"/>
      <c r="F81" s="58"/>
      <c r="G81" s="128" t="s">
        <v>271</v>
      </c>
      <c r="H81" s="129">
        <v>3.99</v>
      </c>
      <c r="I81" s="129">
        <v>3.87</v>
      </c>
      <c r="J81" s="130" t="b">
        <v>0</v>
      </c>
      <c r="K81" s="58"/>
      <c r="L81" s="131">
        <f t="shared" si="8"/>
        <v>1</v>
      </c>
      <c r="M81" s="130"/>
      <c r="N81" s="109"/>
      <c r="O81" s="109"/>
      <c r="P81" s="109"/>
      <c r="Q81" s="58"/>
      <c r="R81" s="126"/>
      <c r="S81" s="126"/>
      <c r="T81" s="132"/>
      <c r="U81" s="132"/>
      <c r="V81" s="132"/>
      <c r="W81" s="132"/>
      <c r="X81" s="132"/>
      <c r="Y81" s="132"/>
      <c r="Z81" s="132"/>
      <c r="AA81" s="133"/>
      <c r="AB81" s="133"/>
      <c r="AC81" s="133"/>
      <c r="AD81" s="133"/>
      <c r="AE81" s="133"/>
    </row>
    <row r="82">
      <c r="A82" s="1"/>
      <c r="B82" s="127" t="s">
        <v>12</v>
      </c>
      <c r="C82" s="127">
        <v>10351.0</v>
      </c>
      <c r="D82" s="108" t="s">
        <v>272</v>
      </c>
      <c r="E82" s="109"/>
      <c r="F82" s="58"/>
      <c r="G82" s="128" t="s">
        <v>273</v>
      </c>
      <c r="H82" s="129">
        <v>10.7</v>
      </c>
      <c r="I82" s="129">
        <v>14.38</v>
      </c>
      <c r="J82" s="130" t="b">
        <v>0</v>
      </c>
      <c r="K82" s="58"/>
      <c r="L82" s="131">
        <f t="shared" si="8"/>
        <v>1</v>
      </c>
      <c r="M82" s="130"/>
      <c r="N82" s="109"/>
      <c r="O82" s="109"/>
      <c r="P82" s="109"/>
      <c r="Q82" s="58"/>
      <c r="R82" s="126"/>
      <c r="S82" s="126"/>
      <c r="T82" s="132"/>
      <c r="U82" s="132"/>
      <c r="V82" s="132"/>
      <c r="W82" s="132"/>
      <c r="X82" s="132"/>
      <c r="Y82" s="132"/>
      <c r="Z82" s="132"/>
      <c r="AA82" s="133"/>
      <c r="AB82" s="133"/>
      <c r="AC82" s="133"/>
      <c r="AD82" s="133"/>
      <c r="AE82" s="133"/>
    </row>
    <row r="83">
      <c r="A83" s="1"/>
      <c r="B83" s="127" t="s">
        <v>12</v>
      </c>
      <c r="C83" s="127">
        <v>10353.0</v>
      </c>
      <c r="D83" s="108" t="s">
        <v>274</v>
      </c>
      <c r="E83" s="109"/>
      <c r="F83" s="58"/>
      <c r="G83" s="128" t="s">
        <v>275</v>
      </c>
      <c r="H83" s="129">
        <v>14.91</v>
      </c>
      <c r="I83" s="129">
        <v>14.91</v>
      </c>
      <c r="J83" s="130" t="b">
        <v>0</v>
      </c>
      <c r="K83" s="58"/>
      <c r="L83" s="131">
        <f t="shared" si="8"/>
        <v>1</v>
      </c>
      <c r="M83" s="130"/>
      <c r="N83" s="109"/>
      <c r="O83" s="109"/>
      <c r="P83" s="109"/>
      <c r="Q83" s="58"/>
      <c r="R83" s="126"/>
      <c r="S83" s="126"/>
      <c r="T83" s="132"/>
      <c r="U83" s="132"/>
      <c r="V83" s="132"/>
      <c r="W83" s="132"/>
      <c r="X83" s="132"/>
      <c r="Y83" s="132"/>
      <c r="Z83" s="132"/>
      <c r="AA83" s="133"/>
      <c r="AB83" s="133"/>
      <c r="AC83" s="133"/>
      <c r="AD83" s="133"/>
      <c r="AE83" s="133"/>
    </row>
    <row r="84">
      <c r="A84" s="1"/>
      <c r="B84" s="127" t="s">
        <v>12</v>
      </c>
      <c r="C84" s="127">
        <v>10356.0</v>
      </c>
      <c r="D84" s="108" t="s">
        <v>276</v>
      </c>
      <c r="E84" s="109"/>
      <c r="F84" s="58"/>
      <c r="G84" s="128" t="s">
        <v>277</v>
      </c>
      <c r="H84" s="129">
        <v>19.67</v>
      </c>
      <c r="I84" s="129">
        <v>25.55</v>
      </c>
      <c r="J84" s="130" t="b">
        <v>0</v>
      </c>
      <c r="K84" s="58"/>
      <c r="L84" s="131">
        <f t="shared" si="8"/>
        <v>1</v>
      </c>
      <c r="M84" s="130"/>
      <c r="N84" s="109"/>
      <c r="O84" s="109"/>
      <c r="P84" s="109"/>
      <c r="Q84" s="58"/>
      <c r="R84" s="126"/>
      <c r="S84" s="126"/>
      <c r="T84" s="132"/>
      <c r="U84" s="132"/>
      <c r="V84" s="132"/>
      <c r="W84" s="132"/>
      <c r="X84" s="132"/>
      <c r="Y84" s="132"/>
      <c r="Z84" s="132"/>
      <c r="AA84" s="133"/>
      <c r="AB84" s="133"/>
      <c r="AC84" s="133"/>
      <c r="AD84" s="133"/>
      <c r="AE84" s="133"/>
    </row>
    <row r="85">
      <c r="A85" s="1"/>
      <c r="B85" s="127" t="s">
        <v>12</v>
      </c>
      <c r="C85" s="127">
        <v>10356.0</v>
      </c>
      <c r="D85" s="108" t="s">
        <v>278</v>
      </c>
      <c r="E85" s="109"/>
      <c r="F85" s="58"/>
      <c r="G85" s="128" t="s">
        <v>279</v>
      </c>
      <c r="H85" s="129">
        <v>23.22</v>
      </c>
      <c r="I85" s="129">
        <v>23.22</v>
      </c>
      <c r="J85" s="130" t="b">
        <v>0</v>
      </c>
      <c r="K85" s="58"/>
      <c r="L85" s="131">
        <f t="shared" si="8"/>
        <v>1</v>
      </c>
      <c r="M85" s="108" t="s">
        <v>280</v>
      </c>
      <c r="N85" s="109"/>
      <c r="O85" s="109"/>
      <c r="P85" s="109"/>
      <c r="Q85" s="58"/>
      <c r="R85" s="126"/>
      <c r="S85" s="126"/>
      <c r="T85" s="132"/>
      <c r="U85" s="132"/>
      <c r="V85" s="132"/>
      <c r="W85" s="132"/>
      <c r="X85" s="132"/>
      <c r="Y85" s="132"/>
      <c r="Z85" s="132"/>
      <c r="AA85" s="133"/>
      <c r="AB85" s="133"/>
      <c r="AC85" s="133"/>
      <c r="AD85" s="133"/>
      <c r="AE85" s="133"/>
    </row>
    <row r="86">
      <c r="A86" s="1"/>
      <c r="B86" s="127" t="s">
        <v>12</v>
      </c>
      <c r="C86" s="127">
        <v>10356.0</v>
      </c>
      <c r="D86" s="108" t="s">
        <v>281</v>
      </c>
      <c r="E86" s="109"/>
      <c r="F86" s="58"/>
      <c r="G86" s="128" t="s">
        <v>282</v>
      </c>
      <c r="H86" s="129">
        <v>21.51</v>
      </c>
      <c r="I86" s="129">
        <v>22.75</v>
      </c>
      <c r="J86" s="130" t="b">
        <v>0</v>
      </c>
      <c r="K86" s="58"/>
      <c r="L86" s="131">
        <f t="shared" si="8"/>
        <v>1</v>
      </c>
      <c r="M86" s="130"/>
      <c r="N86" s="109"/>
      <c r="O86" s="109"/>
      <c r="P86" s="109"/>
      <c r="Q86" s="58"/>
      <c r="R86" s="126"/>
      <c r="S86" s="126"/>
      <c r="T86" s="132"/>
      <c r="U86" s="132"/>
      <c r="V86" s="132"/>
      <c r="W86" s="132"/>
      <c r="X86" s="132"/>
      <c r="Y86" s="132"/>
      <c r="Z86" s="132"/>
      <c r="AA86" s="133"/>
      <c r="AB86" s="133"/>
      <c r="AC86" s="133"/>
      <c r="AD86" s="133"/>
      <c r="AE86" s="133"/>
    </row>
    <row r="87">
      <c r="A87" s="1"/>
      <c r="B87" s="127" t="s">
        <v>12</v>
      </c>
      <c r="C87" s="127">
        <v>10356.0</v>
      </c>
      <c r="D87" s="108" t="s">
        <v>283</v>
      </c>
      <c r="E87" s="109"/>
      <c r="F87" s="58"/>
      <c r="G87" s="128" t="s">
        <v>284</v>
      </c>
      <c r="H87" s="129">
        <v>22.01</v>
      </c>
      <c r="I87" s="129">
        <v>22.69</v>
      </c>
      <c r="J87" s="130" t="b">
        <v>0</v>
      </c>
      <c r="K87" s="58"/>
      <c r="L87" s="131">
        <f t="shared" si="8"/>
        <v>1</v>
      </c>
      <c r="M87" s="130"/>
      <c r="N87" s="109"/>
      <c r="O87" s="109"/>
      <c r="P87" s="109"/>
      <c r="Q87" s="58"/>
      <c r="R87" s="126"/>
      <c r="S87" s="126"/>
      <c r="T87" s="132"/>
      <c r="U87" s="132"/>
      <c r="V87" s="132"/>
      <c r="W87" s="132"/>
      <c r="X87" s="132"/>
      <c r="Y87" s="132"/>
      <c r="Z87" s="132"/>
      <c r="AA87" s="133"/>
      <c r="AB87" s="133"/>
      <c r="AC87" s="133"/>
      <c r="AD87" s="133"/>
      <c r="AE87" s="133"/>
    </row>
    <row r="88">
      <c r="A88" s="1"/>
      <c r="B88" s="127" t="s">
        <v>12</v>
      </c>
      <c r="C88" s="127">
        <v>10356.0</v>
      </c>
      <c r="D88" s="108" t="s">
        <v>285</v>
      </c>
      <c r="E88" s="109"/>
      <c r="F88" s="58"/>
      <c r="G88" s="128" t="s">
        <v>286</v>
      </c>
      <c r="H88" s="129">
        <v>19.34</v>
      </c>
      <c r="I88" s="129">
        <v>21.78</v>
      </c>
      <c r="J88" s="130" t="b">
        <v>0</v>
      </c>
      <c r="K88" s="58"/>
      <c r="L88" s="131">
        <f t="shared" si="8"/>
        <v>1</v>
      </c>
      <c r="M88" s="130"/>
      <c r="N88" s="109"/>
      <c r="O88" s="109"/>
      <c r="P88" s="109"/>
      <c r="Q88" s="58"/>
      <c r="R88" s="126"/>
      <c r="S88" s="126"/>
      <c r="T88" s="132"/>
      <c r="U88" s="132"/>
      <c r="V88" s="132"/>
      <c r="W88" s="132"/>
      <c r="X88" s="132"/>
      <c r="Y88" s="132"/>
      <c r="Z88" s="132"/>
      <c r="AA88" s="133"/>
      <c r="AB88" s="133"/>
      <c r="AC88" s="133"/>
      <c r="AD88" s="133"/>
      <c r="AE88" s="133"/>
    </row>
    <row r="89">
      <c r="A89" s="1"/>
      <c r="B89" s="127" t="s">
        <v>12</v>
      </c>
      <c r="C89" s="127">
        <v>10356.0</v>
      </c>
      <c r="D89" s="108" t="s">
        <v>287</v>
      </c>
      <c r="E89" s="109"/>
      <c r="F89" s="58"/>
      <c r="G89" s="128" t="s">
        <v>288</v>
      </c>
      <c r="H89" s="129">
        <v>18.42</v>
      </c>
      <c r="I89" s="129">
        <v>20.12</v>
      </c>
      <c r="J89" s="130" t="b">
        <v>0</v>
      </c>
      <c r="K89" s="58"/>
      <c r="L89" s="131">
        <f t="shared" si="8"/>
        <v>1</v>
      </c>
      <c r="M89" s="130"/>
      <c r="N89" s="109"/>
      <c r="O89" s="109"/>
      <c r="P89" s="109"/>
      <c r="Q89" s="58"/>
      <c r="R89" s="126"/>
      <c r="S89" s="126"/>
      <c r="T89" s="132"/>
      <c r="U89" s="132"/>
      <c r="V89" s="132"/>
      <c r="W89" s="132"/>
      <c r="X89" s="132"/>
      <c r="Y89" s="132"/>
      <c r="Z89" s="132"/>
      <c r="AA89" s="133"/>
      <c r="AB89" s="133"/>
      <c r="AC89" s="133"/>
      <c r="AD89" s="133"/>
      <c r="AE89" s="133"/>
    </row>
    <row r="90">
      <c r="A90" s="1"/>
      <c r="B90" s="127" t="s">
        <v>12</v>
      </c>
      <c r="C90" s="127">
        <v>10356.0</v>
      </c>
      <c r="D90" s="108" t="s">
        <v>289</v>
      </c>
      <c r="E90" s="109"/>
      <c r="F90" s="58"/>
      <c r="G90" s="128" t="s">
        <v>290</v>
      </c>
      <c r="H90" s="129">
        <v>19.51</v>
      </c>
      <c r="I90" s="129">
        <v>19.54</v>
      </c>
      <c r="J90" s="130" t="b">
        <v>0</v>
      </c>
      <c r="K90" s="58"/>
      <c r="L90" s="131">
        <f t="shared" si="8"/>
        <v>1</v>
      </c>
      <c r="M90" s="130"/>
      <c r="N90" s="109"/>
      <c r="O90" s="109"/>
      <c r="P90" s="109"/>
      <c r="Q90" s="58"/>
      <c r="R90" s="126"/>
      <c r="S90" s="126"/>
      <c r="T90" s="132"/>
      <c r="U90" s="132"/>
      <c r="V90" s="132"/>
      <c r="W90" s="132"/>
      <c r="X90" s="132"/>
      <c r="Y90" s="132"/>
      <c r="Z90" s="132"/>
      <c r="AA90" s="133"/>
      <c r="AB90" s="133"/>
      <c r="AC90" s="133"/>
      <c r="AD90" s="133"/>
      <c r="AE90" s="133"/>
    </row>
    <row r="91">
      <c r="A91" s="1"/>
      <c r="B91" s="127" t="s">
        <v>12</v>
      </c>
      <c r="C91" s="127">
        <v>10356.0</v>
      </c>
      <c r="D91" s="108" t="s">
        <v>291</v>
      </c>
      <c r="E91" s="109"/>
      <c r="F91" s="58"/>
      <c r="G91" s="128" t="s">
        <v>292</v>
      </c>
      <c r="H91" s="129">
        <v>16.5</v>
      </c>
      <c r="I91" s="129">
        <v>18.94</v>
      </c>
      <c r="J91" s="130" t="b">
        <v>0</v>
      </c>
      <c r="K91" s="58"/>
      <c r="L91" s="131">
        <f t="shared" si="8"/>
        <v>1</v>
      </c>
      <c r="M91" s="130"/>
      <c r="N91" s="109"/>
      <c r="O91" s="109"/>
      <c r="P91" s="109"/>
      <c r="Q91" s="58"/>
      <c r="R91" s="126"/>
      <c r="S91" s="126"/>
      <c r="T91" s="132"/>
      <c r="U91" s="132"/>
      <c r="V91" s="132"/>
      <c r="W91" s="132"/>
      <c r="X91" s="132"/>
      <c r="Y91" s="132"/>
      <c r="Z91" s="132"/>
      <c r="AA91" s="133"/>
      <c r="AB91" s="133"/>
      <c r="AC91" s="133"/>
      <c r="AD91" s="133"/>
      <c r="AE91" s="133"/>
    </row>
    <row r="92">
      <c r="A92" s="1"/>
      <c r="B92" s="127" t="s">
        <v>12</v>
      </c>
      <c r="C92" s="127">
        <v>10356.0</v>
      </c>
      <c r="D92" s="108" t="s">
        <v>293</v>
      </c>
      <c r="E92" s="109"/>
      <c r="F92" s="58"/>
      <c r="G92" s="128" t="s">
        <v>294</v>
      </c>
      <c r="H92" s="129">
        <v>12.38</v>
      </c>
      <c r="I92" s="129">
        <v>12.09</v>
      </c>
      <c r="J92" s="130" t="b">
        <v>0</v>
      </c>
      <c r="K92" s="58"/>
      <c r="L92" s="131">
        <f t="shared" si="8"/>
        <v>1</v>
      </c>
      <c r="M92" s="130"/>
      <c r="N92" s="109"/>
      <c r="O92" s="109"/>
      <c r="P92" s="109"/>
      <c r="Q92" s="58"/>
      <c r="R92" s="126"/>
      <c r="S92" s="126"/>
      <c r="T92" s="132"/>
      <c r="U92" s="132"/>
      <c r="V92" s="132"/>
      <c r="W92" s="132"/>
      <c r="X92" s="132"/>
      <c r="Y92" s="132"/>
      <c r="Z92" s="132"/>
      <c r="AA92" s="133"/>
      <c r="AB92" s="133"/>
      <c r="AC92" s="133"/>
      <c r="AD92" s="133"/>
      <c r="AE92" s="133"/>
    </row>
    <row r="93">
      <c r="A93" s="1"/>
      <c r="B93" s="127" t="s">
        <v>12</v>
      </c>
      <c r="C93" s="127">
        <v>10363.0</v>
      </c>
      <c r="D93" s="108" t="s">
        <v>295</v>
      </c>
      <c r="E93" s="109"/>
      <c r="F93" s="58"/>
      <c r="G93" s="128" t="s">
        <v>296</v>
      </c>
      <c r="H93" s="129">
        <v>2.36</v>
      </c>
      <c r="I93" s="129">
        <v>6.73</v>
      </c>
      <c r="J93" s="130" t="b">
        <v>0</v>
      </c>
      <c r="K93" s="58"/>
      <c r="L93" s="131">
        <f t="shared" si="8"/>
        <v>1</v>
      </c>
      <c r="M93" s="130"/>
      <c r="N93" s="109"/>
      <c r="O93" s="109"/>
      <c r="P93" s="109"/>
      <c r="Q93" s="58"/>
      <c r="R93" s="126"/>
      <c r="S93" s="126"/>
      <c r="T93" s="132"/>
      <c r="U93" s="132"/>
      <c r="V93" s="132"/>
      <c r="W93" s="132"/>
      <c r="X93" s="132"/>
      <c r="Y93" s="132"/>
      <c r="Z93" s="132"/>
      <c r="AA93" s="133"/>
      <c r="AB93" s="133"/>
      <c r="AC93" s="133"/>
      <c r="AD93" s="133"/>
      <c r="AE93" s="133"/>
    </row>
    <row r="94">
      <c r="A94" s="1"/>
      <c r="B94" s="127" t="s">
        <v>12</v>
      </c>
      <c r="C94" s="127">
        <v>10365.0</v>
      </c>
      <c r="D94" s="108" t="s">
        <v>297</v>
      </c>
      <c r="E94" s="109"/>
      <c r="F94" s="58"/>
      <c r="G94" s="128" t="s">
        <v>298</v>
      </c>
      <c r="H94" s="129">
        <v>40.55</v>
      </c>
      <c r="I94" s="129">
        <v>46.98</v>
      </c>
      <c r="J94" s="130" t="b">
        <v>0</v>
      </c>
      <c r="K94" s="58"/>
      <c r="L94" s="131">
        <f t="shared" si="8"/>
        <v>1</v>
      </c>
      <c r="M94" s="130"/>
      <c r="N94" s="109"/>
      <c r="O94" s="109"/>
      <c r="P94" s="109"/>
      <c r="Q94" s="58"/>
      <c r="R94" s="126"/>
      <c r="S94" s="126"/>
      <c r="T94" s="132"/>
      <c r="U94" s="132"/>
      <c r="V94" s="132"/>
      <c r="W94" s="132"/>
      <c r="X94" s="132"/>
      <c r="Y94" s="132"/>
      <c r="Z94" s="132"/>
      <c r="AA94" s="133"/>
      <c r="AB94" s="133"/>
      <c r="AC94" s="133"/>
      <c r="AD94" s="133"/>
      <c r="AE94" s="133"/>
    </row>
    <row r="95">
      <c r="A95" s="1"/>
      <c r="B95" s="127" t="s">
        <v>12</v>
      </c>
      <c r="C95" s="127">
        <v>10365.0</v>
      </c>
      <c r="D95" s="108" t="s">
        <v>299</v>
      </c>
      <c r="E95" s="109"/>
      <c r="F95" s="58"/>
      <c r="G95" s="128" t="s">
        <v>300</v>
      </c>
      <c r="H95" s="129">
        <v>38.35</v>
      </c>
      <c r="I95" s="129">
        <v>41.48</v>
      </c>
      <c r="J95" s="130" t="b">
        <v>0</v>
      </c>
      <c r="K95" s="58"/>
      <c r="L95" s="131">
        <f t="shared" si="8"/>
        <v>1</v>
      </c>
      <c r="M95" s="130"/>
      <c r="N95" s="109"/>
      <c r="O95" s="109"/>
      <c r="P95" s="109"/>
      <c r="Q95" s="58"/>
      <c r="R95" s="126"/>
      <c r="S95" s="126"/>
      <c r="T95" s="132"/>
      <c r="U95" s="132"/>
      <c r="V95" s="132"/>
      <c r="W95" s="132"/>
      <c r="X95" s="132"/>
      <c r="Y95" s="132"/>
      <c r="Z95" s="132"/>
      <c r="AA95" s="133"/>
      <c r="AB95" s="133"/>
      <c r="AC95" s="133"/>
      <c r="AD95" s="133"/>
      <c r="AE95" s="133"/>
    </row>
    <row r="96">
      <c r="A96" s="1"/>
      <c r="B96" s="127" t="s">
        <v>12</v>
      </c>
      <c r="C96" s="127">
        <v>10365.0</v>
      </c>
      <c r="D96" s="108" t="s">
        <v>301</v>
      </c>
      <c r="E96" s="109"/>
      <c r="F96" s="58"/>
      <c r="G96" s="128" t="s">
        <v>302</v>
      </c>
      <c r="H96" s="129">
        <v>30.03</v>
      </c>
      <c r="I96" s="129">
        <v>32.68</v>
      </c>
      <c r="J96" s="130" t="b">
        <v>0</v>
      </c>
      <c r="K96" s="58"/>
      <c r="L96" s="131">
        <f t="shared" si="8"/>
        <v>1</v>
      </c>
      <c r="M96" s="130"/>
      <c r="N96" s="109"/>
      <c r="O96" s="109"/>
      <c r="P96" s="109"/>
      <c r="Q96" s="58"/>
      <c r="R96" s="126"/>
      <c r="S96" s="126"/>
      <c r="T96" s="132"/>
      <c r="U96" s="132"/>
      <c r="V96" s="132"/>
      <c r="W96" s="132"/>
      <c r="X96" s="132"/>
      <c r="Y96" s="132"/>
      <c r="Z96" s="132"/>
      <c r="AA96" s="133"/>
      <c r="AB96" s="133"/>
      <c r="AC96" s="133"/>
      <c r="AD96" s="133"/>
      <c r="AE96" s="133"/>
    </row>
    <row r="97">
      <c r="A97" s="1"/>
      <c r="B97" s="127" t="s">
        <v>12</v>
      </c>
      <c r="C97" s="127">
        <v>10365.0</v>
      </c>
      <c r="D97" s="108" t="s">
        <v>303</v>
      </c>
      <c r="E97" s="109"/>
      <c r="F97" s="58"/>
      <c r="G97" s="128" t="s">
        <v>304</v>
      </c>
      <c r="H97" s="129">
        <v>22.16</v>
      </c>
      <c r="I97" s="129">
        <v>28.92</v>
      </c>
      <c r="J97" s="130" t="b">
        <v>0</v>
      </c>
      <c r="K97" s="58"/>
      <c r="L97" s="131">
        <f t="shared" si="8"/>
        <v>1</v>
      </c>
      <c r="M97" s="130"/>
      <c r="N97" s="109"/>
      <c r="O97" s="109"/>
      <c r="P97" s="109"/>
      <c r="Q97" s="58"/>
      <c r="R97" s="126"/>
      <c r="S97" s="126"/>
      <c r="T97" s="132"/>
      <c r="U97" s="132"/>
      <c r="V97" s="132"/>
      <c r="W97" s="132"/>
      <c r="X97" s="132"/>
      <c r="Y97" s="132"/>
      <c r="Z97" s="132"/>
      <c r="AA97" s="133"/>
      <c r="AB97" s="133"/>
      <c r="AC97" s="133"/>
      <c r="AD97" s="133"/>
      <c r="AE97" s="133"/>
    </row>
    <row r="98">
      <c r="A98" s="1"/>
      <c r="B98" s="127" t="s">
        <v>12</v>
      </c>
      <c r="C98" s="127">
        <v>10365.0</v>
      </c>
      <c r="D98" s="108" t="s">
        <v>305</v>
      </c>
      <c r="E98" s="109"/>
      <c r="F98" s="58"/>
      <c r="G98" s="128" t="s">
        <v>306</v>
      </c>
      <c r="H98" s="129">
        <v>7.18</v>
      </c>
      <c r="I98" s="129">
        <v>23.2</v>
      </c>
      <c r="J98" s="130" t="b">
        <v>0</v>
      </c>
      <c r="K98" s="58"/>
      <c r="L98" s="131">
        <f t="shared" si="8"/>
        <v>1</v>
      </c>
      <c r="M98" s="130"/>
      <c r="N98" s="109"/>
      <c r="O98" s="109"/>
      <c r="P98" s="109"/>
      <c r="Q98" s="58"/>
      <c r="R98" s="126"/>
      <c r="S98" s="126"/>
      <c r="T98" s="132"/>
      <c r="U98" s="132"/>
      <c r="V98" s="132"/>
      <c r="W98" s="132"/>
      <c r="X98" s="132"/>
      <c r="Y98" s="132"/>
      <c r="Z98" s="132"/>
      <c r="AA98" s="133"/>
      <c r="AB98" s="133"/>
      <c r="AC98" s="133"/>
      <c r="AD98" s="133"/>
      <c r="AE98" s="133"/>
    </row>
    <row r="99">
      <c r="A99" s="1"/>
      <c r="B99" s="127" t="s">
        <v>12</v>
      </c>
      <c r="C99" s="127">
        <v>10365.0</v>
      </c>
      <c r="D99" s="108" t="s">
        <v>307</v>
      </c>
      <c r="E99" s="109"/>
      <c r="F99" s="58"/>
      <c r="G99" s="128" t="s">
        <v>308</v>
      </c>
      <c r="H99" s="129">
        <v>17.58</v>
      </c>
      <c r="I99" s="129">
        <v>19.97</v>
      </c>
      <c r="J99" s="130" t="b">
        <v>0</v>
      </c>
      <c r="K99" s="58"/>
      <c r="L99" s="131">
        <f t="shared" si="8"/>
        <v>1</v>
      </c>
      <c r="M99" s="130"/>
      <c r="N99" s="109"/>
      <c r="O99" s="109"/>
      <c r="P99" s="109"/>
      <c r="Q99" s="58"/>
      <c r="R99" s="126"/>
      <c r="S99" s="126"/>
      <c r="T99" s="132"/>
      <c r="U99" s="132"/>
      <c r="V99" s="132"/>
      <c r="W99" s="132"/>
      <c r="X99" s="132"/>
      <c r="Y99" s="132"/>
      <c r="Z99" s="132"/>
      <c r="AA99" s="133"/>
      <c r="AB99" s="133"/>
      <c r="AC99" s="133"/>
      <c r="AD99" s="133"/>
      <c r="AE99" s="133"/>
    </row>
    <row r="100">
      <c r="A100" s="1"/>
      <c r="B100" s="127" t="s">
        <v>12</v>
      </c>
      <c r="C100" s="127">
        <v>10365.0</v>
      </c>
      <c r="D100" s="108" t="s">
        <v>309</v>
      </c>
      <c r="E100" s="109"/>
      <c r="F100" s="58"/>
      <c r="G100" s="128" t="s">
        <v>310</v>
      </c>
      <c r="H100" s="129">
        <v>13.94</v>
      </c>
      <c r="I100" s="129">
        <v>18.03</v>
      </c>
      <c r="J100" s="130" t="b">
        <v>0</v>
      </c>
      <c r="K100" s="58"/>
      <c r="L100" s="131">
        <f t="shared" si="8"/>
        <v>1</v>
      </c>
      <c r="M100" s="130"/>
      <c r="N100" s="109"/>
      <c r="O100" s="109"/>
      <c r="P100" s="109"/>
      <c r="Q100" s="58"/>
      <c r="R100" s="126"/>
      <c r="S100" s="126"/>
      <c r="T100" s="132"/>
      <c r="U100" s="132"/>
      <c r="V100" s="132"/>
      <c r="W100" s="132"/>
      <c r="X100" s="132"/>
      <c r="Y100" s="132"/>
      <c r="Z100" s="132"/>
      <c r="AA100" s="133"/>
      <c r="AB100" s="133"/>
      <c r="AC100" s="133"/>
      <c r="AD100" s="133"/>
      <c r="AE100" s="133"/>
    </row>
    <row r="101">
      <c r="A101" s="1"/>
      <c r="B101" s="127" t="s">
        <v>12</v>
      </c>
      <c r="C101" s="127">
        <v>10365.0</v>
      </c>
      <c r="D101" s="108" t="s">
        <v>311</v>
      </c>
      <c r="E101" s="109"/>
      <c r="F101" s="58"/>
      <c r="G101" s="128" t="s">
        <v>312</v>
      </c>
      <c r="H101" s="129">
        <v>15.74</v>
      </c>
      <c r="I101" s="129">
        <v>17.74</v>
      </c>
      <c r="J101" s="130" t="b">
        <v>0</v>
      </c>
      <c r="K101" s="58"/>
      <c r="L101" s="131">
        <f t="shared" si="8"/>
        <v>1</v>
      </c>
      <c r="M101" s="130"/>
      <c r="N101" s="109"/>
      <c r="O101" s="109"/>
      <c r="P101" s="109"/>
      <c r="Q101" s="58"/>
      <c r="R101" s="126"/>
      <c r="S101" s="126"/>
      <c r="T101" s="132"/>
      <c r="U101" s="132"/>
      <c r="V101" s="132"/>
      <c r="W101" s="132"/>
      <c r="X101" s="132"/>
      <c r="Y101" s="132"/>
      <c r="Z101" s="132"/>
      <c r="AA101" s="133"/>
      <c r="AB101" s="133"/>
      <c r="AC101" s="133"/>
      <c r="AD101" s="133"/>
      <c r="AE101" s="133"/>
    </row>
    <row r="102">
      <c r="A102" s="1"/>
      <c r="B102" s="127" t="s">
        <v>12</v>
      </c>
      <c r="C102" s="127">
        <v>10365.0</v>
      </c>
      <c r="D102" s="108" t="s">
        <v>313</v>
      </c>
      <c r="E102" s="109"/>
      <c r="F102" s="58"/>
      <c r="G102" s="128" t="s">
        <v>314</v>
      </c>
      <c r="H102" s="129">
        <v>15.76</v>
      </c>
      <c r="I102" s="129">
        <v>17.15</v>
      </c>
      <c r="J102" s="130" t="b">
        <v>0</v>
      </c>
      <c r="K102" s="58"/>
      <c r="L102" s="131">
        <f t="shared" si="8"/>
        <v>1</v>
      </c>
      <c r="M102" s="130"/>
      <c r="N102" s="109"/>
      <c r="O102" s="109"/>
      <c r="P102" s="109"/>
      <c r="Q102" s="58"/>
      <c r="R102" s="126"/>
      <c r="S102" s="126"/>
      <c r="T102" s="132"/>
      <c r="U102" s="132"/>
      <c r="V102" s="132"/>
      <c r="W102" s="132"/>
      <c r="X102" s="132"/>
      <c r="Y102" s="132"/>
      <c r="Z102" s="132"/>
      <c r="AA102" s="133"/>
      <c r="AB102" s="133"/>
      <c r="AC102" s="133"/>
      <c r="AD102" s="133"/>
      <c r="AE102" s="133"/>
    </row>
    <row r="103">
      <c r="A103" s="1"/>
      <c r="B103" s="127" t="s">
        <v>12</v>
      </c>
      <c r="C103" s="127">
        <v>10367.0</v>
      </c>
      <c r="D103" s="108" t="s">
        <v>315</v>
      </c>
      <c r="E103" s="109"/>
      <c r="F103" s="58"/>
      <c r="G103" s="128" t="s">
        <v>316</v>
      </c>
      <c r="H103" s="129">
        <v>8.99</v>
      </c>
      <c r="I103" s="129">
        <v>9.49</v>
      </c>
      <c r="J103" s="130" t="b">
        <v>0</v>
      </c>
      <c r="K103" s="58"/>
      <c r="L103" s="131">
        <f t="shared" si="8"/>
        <v>1</v>
      </c>
      <c r="M103" s="130"/>
      <c r="N103" s="109"/>
      <c r="O103" s="109"/>
      <c r="P103" s="109"/>
      <c r="Q103" s="58"/>
      <c r="R103" s="126"/>
      <c r="S103" s="126"/>
      <c r="T103" s="132"/>
      <c r="U103" s="132"/>
      <c r="V103" s="132"/>
      <c r="W103" s="132"/>
      <c r="X103" s="132"/>
      <c r="Y103" s="132"/>
      <c r="Z103" s="132"/>
      <c r="AA103" s="133"/>
      <c r="AB103" s="133"/>
      <c r="AC103" s="133"/>
      <c r="AD103" s="133"/>
      <c r="AE103" s="133"/>
    </row>
    <row r="104">
      <c r="A104" s="1"/>
      <c r="B104" s="127" t="s">
        <v>12</v>
      </c>
      <c r="C104" s="127">
        <v>11375.0</v>
      </c>
      <c r="D104" s="108" t="s">
        <v>317</v>
      </c>
      <c r="E104" s="109"/>
      <c r="F104" s="58"/>
      <c r="G104" s="128" t="s">
        <v>318</v>
      </c>
      <c r="H104" s="129"/>
      <c r="I104" s="129">
        <v>19.65</v>
      </c>
      <c r="J104" s="130" t="b">
        <v>0</v>
      </c>
      <c r="K104" s="58"/>
      <c r="L104" s="131">
        <f t="shared" si="8"/>
        <v>1</v>
      </c>
      <c r="M104" s="130"/>
      <c r="N104" s="109"/>
      <c r="O104" s="109"/>
      <c r="P104" s="109"/>
      <c r="Q104" s="58"/>
      <c r="R104" s="126"/>
      <c r="S104" s="126"/>
      <c r="T104" s="132"/>
      <c r="U104" s="132"/>
      <c r="V104" s="132"/>
      <c r="W104" s="132"/>
      <c r="X104" s="132"/>
      <c r="Y104" s="132"/>
      <c r="Z104" s="132"/>
      <c r="AA104" s="133"/>
      <c r="AB104" s="133"/>
      <c r="AC104" s="133"/>
      <c r="AD104" s="133"/>
      <c r="AE104" s="133"/>
    </row>
    <row r="105">
      <c r="A105" s="1"/>
      <c r="B105" s="127" t="s">
        <v>12</v>
      </c>
      <c r="C105" s="127">
        <v>40768.0</v>
      </c>
      <c r="D105" s="108" t="s">
        <v>158</v>
      </c>
      <c r="E105" s="109"/>
      <c r="F105" s="58"/>
      <c r="G105" s="128" t="s">
        <v>319</v>
      </c>
      <c r="H105" s="129">
        <v>86.26</v>
      </c>
      <c r="I105" s="129">
        <v>70.28</v>
      </c>
      <c r="J105" s="130" t="b">
        <v>0</v>
      </c>
      <c r="K105" s="58"/>
      <c r="L105" s="131">
        <f t="shared" si="8"/>
        <v>1</v>
      </c>
      <c r="M105" s="130"/>
      <c r="N105" s="109"/>
      <c r="O105" s="109"/>
      <c r="P105" s="109"/>
      <c r="Q105" s="58"/>
      <c r="R105" s="126"/>
      <c r="S105" s="126"/>
      <c r="T105" s="132"/>
      <c r="U105" s="132"/>
      <c r="V105" s="132"/>
      <c r="W105" s="132"/>
      <c r="X105" s="132"/>
      <c r="Y105" s="132"/>
      <c r="Z105" s="132"/>
      <c r="AA105" s="133"/>
      <c r="AB105" s="133"/>
      <c r="AC105" s="133"/>
      <c r="AD105" s="133"/>
      <c r="AE105" s="133"/>
    </row>
    <row r="106">
      <c r="A106" s="1"/>
      <c r="B106" s="127" t="s">
        <v>15</v>
      </c>
      <c r="C106" s="127">
        <v>76193.0</v>
      </c>
      <c r="D106" s="108" t="s">
        <v>320</v>
      </c>
      <c r="E106" s="109"/>
      <c r="F106" s="58"/>
      <c r="G106" s="128" t="s">
        <v>321</v>
      </c>
      <c r="H106" s="129">
        <v>6.08</v>
      </c>
      <c r="I106" s="129">
        <v>6.9</v>
      </c>
      <c r="J106" s="130" t="b">
        <v>0</v>
      </c>
      <c r="K106" s="58"/>
      <c r="L106" s="131">
        <f t="shared" si="8"/>
        <v>1</v>
      </c>
      <c r="M106" s="130"/>
      <c r="N106" s="109"/>
      <c r="O106" s="109"/>
      <c r="P106" s="109"/>
      <c r="Q106" s="58"/>
      <c r="R106" s="126"/>
      <c r="S106" s="126"/>
      <c r="T106" s="132"/>
      <c r="U106" s="132"/>
      <c r="V106" s="132"/>
      <c r="W106" s="132"/>
      <c r="X106" s="132"/>
      <c r="Y106" s="132"/>
      <c r="Z106" s="132"/>
      <c r="AA106" s="133"/>
      <c r="AB106" s="133"/>
      <c r="AC106" s="133"/>
      <c r="AD106" s="133"/>
      <c r="AE106" s="133"/>
    </row>
    <row r="107">
      <c r="A107" s="1"/>
      <c r="B107" s="127" t="s">
        <v>15</v>
      </c>
      <c r="C107" s="127">
        <v>76193.0</v>
      </c>
      <c r="D107" s="108" t="s">
        <v>322</v>
      </c>
      <c r="E107" s="109"/>
      <c r="F107" s="58"/>
      <c r="G107" s="128" t="s">
        <v>323</v>
      </c>
      <c r="H107" s="129">
        <v>4.45</v>
      </c>
      <c r="I107" s="129">
        <v>5.669</v>
      </c>
      <c r="J107" s="130" t="b">
        <v>0</v>
      </c>
      <c r="K107" s="58"/>
      <c r="L107" s="131">
        <f t="shared" si="8"/>
        <v>1</v>
      </c>
      <c r="M107" s="130"/>
      <c r="N107" s="109"/>
      <c r="O107" s="109"/>
      <c r="P107" s="109"/>
      <c r="Q107" s="58"/>
      <c r="R107" s="126"/>
      <c r="S107" s="126"/>
      <c r="T107" s="132"/>
      <c r="U107" s="132"/>
      <c r="V107" s="132"/>
      <c r="W107" s="132"/>
      <c r="X107" s="132"/>
      <c r="Y107" s="132"/>
      <c r="Z107" s="132"/>
      <c r="AA107" s="133"/>
      <c r="AB107" s="133"/>
      <c r="AC107" s="133"/>
      <c r="AD107" s="133"/>
      <c r="AE107" s="133"/>
    </row>
    <row r="108">
      <c r="A108" s="1"/>
      <c r="B108" s="127" t="s">
        <v>15</v>
      </c>
      <c r="C108" s="127">
        <v>76193.0</v>
      </c>
      <c r="D108" s="108" t="s">
        <v>324</v>
      </c>
      <c r="E108" s="109"/>
      <c r="F108" s="58"/>
      <c r="G108" s="128" t="s">
        <v>325</v>
      </c>
      <c r="H108" s="129">
        <v>3.71</v>
      </c>
      <c r="I108" s="129">
        <v>4.79</v>
      </c>
      <c r="J108" s="130" t="b">
        <v>0</v>
      </c>
      <c r="K108" s="58"/>
      <c r="L108" s="131">
        <f t="shared" si="8"/>
        <v>1</v>
      </c>
      <c r="M108" s="130"/>
      <c r="N108" s="109"/>
      <c r="O108" s="109"/>
      <c r="P108" s="109"/>
      <c r="Q108" s="58"/>
      <c r="R108" s="126"/>
      <c r="S108" s="126"/>
      <c r="T108" s="132"/>
      <c r="U108" s="132"/>
      <c r="V108" s="132"/>
      <c r="W108" s="132"/>
      <c r="X108" s="132"/>
      <c r="Y108" s="132"/>
      <c r="Z108" s="132"/>
      <c r="AA108" s="133"/>
      <c r="AB108" s="133"/>
      <c r="AC108" s="133"/>
      <c r="AD108" s="133"/>
      <c r="AE108" s="133"/>
    </row>
    <row r="109">
      <c r="A109" s="1"/>
      <c r="B109" s="127" t="s">
        <v>15</v>
      </c>
      <c r="C109" s="127">
        <v>76193.0</v>
      </c>
      <c r="D109" s="108" t="s">
        <v>326</v>
      </c>
      <c r="E109" s="109"/>
      <c r="F109" s="58"/>
      <c r="G109" s="128" t="s">
        <v>327</v>
      </c>
      <c r="H109" s="129">
        <v>3.32</v>
      </c>
      <c r="I109" s="129">
        <v>4.37</v>
      </c>
      <c r="J109" s="130" t="b">
        <v>0</v>
      </c>
      <c r="K109" s="58"/>
      <c r="L109" s="131">
        <f t="shared" si="8"/>
        <v>1</v>
      </c>
      <c r="M109" s="130"/>
      <c r="N109" s="109"/>
      <c r="O109" s="109"/>
      <c r="P109" s="109"/>
      <c r="Q109" s="58"/>
      <c r="R109" s="126"/>
      <c r="S109" s="126"/>
      <c r="T109" s="132"/>
      <c r="U109" s="132"/>
      <c r="V109" s="132"/>
      <c r="W109" s="132"/>
      <c r="X109" s="132"/>
      <c r="Y109" s="132"/>
      <c r="Z109" s="132"/>
      <c r="AA109" s="133"/>
      <c r="AB109" s="133"/>
      <c r="AC109" s="133"/>
      <c r="AD109" s="133"/>
      <c r="AE109" s="133"/>
    </row>
    <row r="110">
      <c r="A110" s="1"/>
      <c r="B110" s="127" t="s">
        <v>15</v>
      </c>
      <c r="C110" s="127">
        <v>76193.0</v>
      </c>
      <c r="D110" s="108" t="s">
        <v>328</v>
      </c>
      <c r="E110" s="109"/>
      <c r="F110" s="58"/>
      <c r="G110" s="128" t="s">
        <v>329</v>
      </c>
      <c r="H110" s="129">
        <v>3.59</v>
      </c>
      <c r="I110" s="129">
        <v>4.28</v>
      </c>
      <c r="J110" s="130" t="b">
        <v>0</v>
      </c>
      <c r="K110" s="58"/>
      <c r="L110" s="131">
        <f t="shared" si="8"/>
        <v>1</v>
      </c>
      <c r="M110" s="130"/>
      <c r="N110" s="109"/>
      <c r="O110" s="109"/>
      <c r="P110" s="109"/>
      <c r="Q110" s="58"/>
      <c r="R110" s="126"/>
      <c r="S110" s="126"/>
      <c r="T110" s="132"/>
      <c r="U110" s="132"/>
      <c r="V110" s="132"/>
      <c r="W110" s="132"/>
      <c r="X110" s="132"/>
      <c r="Y110" s="132"/>
      <c r="Z110" s="132"/>
      <c r="AA110" s="133"/>
      <c r="AB110" s="133"/>
      <c r="AC110" s="133"/>
      <c r="AD110" s="133"/>
      <c r="AE110" s="133"/>
    </row>
    <row r="111">
      <c r="A111" s="1"/>
      <c r="B111" s="127" t="s">
        <v>15</v>
      </c>
      <c r="C111" s="127">
        <v>76193.0</v>
      </c>
      <c r="D111" s="108" t="s">
        <v>330</v>
      </c>
      <c r="E111" s="109"/>
      <c r="F111" s="58"/>
      <c r="G111" s="128" t="s">
        <v>331</v>
      </c>
      <c r="H111" s="129">
        <v>1.57</v>
      </c>
      <c r="I111" s="129">
        <v>2.11</v>
      </c>
      <c r="J111" s="130" t="b">
        <v>0</v>
      </c>
      <c r="K111" s="58"/>
      <c r="L111" s="131">
        <f t="shared" si="8"/>
        <v>1</v>
      </c>
      <c r="M111" s="130"/>
      <c r="N111" s="109"/>
      <c r="O111" s="109"/>
      <c r="P111" s="109"/>
      <c r="Q111" s="58"/>
      <c r="R111" s="126"/>
      <c r="S111" s="126"/>
      <c r="T111" s="132"/>
      <c r="U111" s="132"/>
      <c r="V111" s="132"/>
      <c r="W111" s="132"/>
      <c r="X111" s="132"/>
      <c r="Y111" s="132"/>
      <c r="Z111" s="132"/>
      <c r="AA111" s="133"/>
      <c r="AB111" s="133"/>
      <c r="AC111" s="133"/>
      <c r="AD111" s="133"/>
      <c r="AE111" s="133"/>
    </row>
    <row r="112">
      <c r="A112" s="1"/>
      <c r="B112" s="127" t="s">
        <v>15</v>
      </c>
      <c r="C112" s="127">
        <v>76218.0</v>
      </c>
      <c r="D112" s="108" t="s">
        <v>332</v>
      </c>
      <c r="E112" s="109"/>
      <c r="F112" s="58"/>
      <c r="G112" s="128" t="s">
        <v>333</v>
      </c>
      <c r="H112" s="129">
        <v>7.27</v>
      </c>
      <c r="I112" s="129">
        <v>8.15</v>
      </c>
      <c r="J112" s="130" t="b">
        <v>0</v>
      </c>
      <c r="K112" s="58"/>
      <c r="L112" s="131">
        <f t="shared" si="8"/>
        <v>1</v>
      </c>
      <c r="M112" s="130"/>
      <c r="N112" s="109"/>
      <c r="O112" s="109"/>
      <c r="P112" s="109"/>
      <c r="Q112" s="58"/>
      <c r="R112" s="126"/>
      <c r="S112" s="126"/>
      <c r="T112" s="132"/>
      <c r="U112" s="132"/>
      <c r="V112" s="132"/>
      <c r="W112" s="132"/>
      <c r="X112" s="132"/>
      <c r="Y112" s="132"/>
      <c r="Z112" s="132"/>
      <c r="AA112" s="133"/>
      <c r="AB112" s="133"/>
      <c r="AC112" s="133"/>
      <c r="AD112" s="133"/>
      <c r="AE112" s="133"/>
    </row>
    <row r="113">
      <c r="A113" s="1"/>
      <c r="B113" s="127" t="s">
        <v>15</v>
      </c>
      <c r="C113" s="127">
        <v>76218.0</v>
      </c>
      <c r="D113" s="108" t="s">
        <v>334</v>
      </c>
      <c r="E113" s="109"/>
      <c r="F113" s="58"/>
      <c r="G113" s="128" t="s">
        <v>335</v>
      </c>
      <c r="H113" s="129">
        <v>6.01</v>
      </c>
      <c r="I113" s="129">
        <v>7.23</v>
      </c>
      <c r="J113" s="130" t="b">
        <v>0</v>
      </c>
      <c r="K113" s="58"/>
      <c r="L113" s="131">
        <f t="shared" si="8"/>
        <v>1</v>
      </c>
      <c r="M113" s="130"/>
      <c r="N113" s="109"/>
      <c r="O113" s="109"/>
      <c r="P113" s="109"/>
      <c r="Q113" s="58"/>
      <c r="R113" s="126"/>
      <c r="S113" s="126"/>
      <c r="T113" s="132"/>
      <c r="U113" s="132"/>
      <c r="V113" s="132"/>
      <c r="W113" s="132"/>
      <c r="X113" s="132"/>
      <c r="Y113" s="132"/>
      <c r="Z113" s="132"/>
      <c r="AA113" s="133"/>
      <c r="AB113" s="133"/>
      <c r="AC113" s="133"/>
      <c r="AD113" s="133"/>
      <c r="AE113" s="133"/>
    </row>
    <row r="114">
      <c r="A114" s="1"/>
      <c r="B114" s="127" t="s">
        <v>15</v>
      </c>
      <c r="C114" s="127">
        <v>76218.0</v>
      </c>
      <c r="D114" s="108" t="s">
        <v>336</v>
      </c>
      <c r="E114" s="109"/>
      <c r="F114" s="58"/>
      <c r="G114" s="128" t="s">
        <v>337</v>
      </c>
      <c r="H114" s="129">
        <v>5.71</v>
      </c>
      <c r="I114" s="129">
        <v>7.17</v>
      </c>
      <c r="J114" s="130" t="b">
        <v>0</v>
      </c>
      <c r="K114" s="58"/>
      <c r="L114" s="131">
        <f t="shared" si="8"/>
        <v>1</v>
      </c>
      <c r="M114" s="130"/>
      <c r="N114" s="109"/>
      <c r="O114" s="109"/>
      <c r="P114" s="109"/>
      <c r="Q114" s="58"/>
      <c r="R114" s="126"/>
      <c r="S114" s="126"/>
      <c r="T114" s="132"/>
      <c r="U114" s="132"/>
      <c r="V114" s="132"/>
      <c r="W114" s="132"/>
      <c r="X114" s="132"/>
      <c r="Y114" s="132"/>
      <c r="Z114" s="132"/>
      <c r="AA114" s="133"/>
      <c r="AB114" s="133"/>
      <c r="AC114" s="133"/>
      <c r="AD114" s="133"/>
      <c r="AE114" s="133"/>
    </row>
    <row r="115">
      <c r="A115" s="1"/>
      <c r="B115" s="127" t="s">
        <v>15</v>
      </c>
      <c r="C115" s="127">
        <v>76218.0</v>
      </c>
      <c r="D115" s="108" t="s">
        <v>338</v>
      </c>
      <c r="E115" s="109"/>
      <c r="F115" s="58"/>
      <c r="G115" s="128" t="s">
        <v>339</v>
      </c>
      <c r="H115" s="129">
        <v>6.17</v>
      </c>
      <c r="I115" s="129">
        <v>6.79</v>
      </c>
      <c r="J115" s="130" t="b">
        <v>0</v>
      </c>
      <c r="K115" s="58"/>
      <c r="L115" s="131">
        <f t="shared" si="8"/>
        <v>1</v>
      </c>
      <c r="M115" s="130"/>
      <c r="N115" s="109"/>
      <c r="O115" s="109"/>
      <c r="P115" s="109"/>
      <c r="Q115" s="58"/>
      <c r="R115" s="126"/>
      <c r="S115" s="126"/>
      <c r="T115" s="132"/>
      <c r="U115" s="132"/>
      <c r="V115" s="132"/>
      <c r="W115" s="132"/>
      <c r="X115" s="132"/>
      <c r="Y115" s="132"/>
      <c r="Z115" s="132"/>
      <c r="AA115" s="133"/>
      <c r="AB115" s="133"/>
      <c r="AC115" s="133"/>
      <c r="AD115" s="133"/>
      <c r="AE115" s="133"/>
    </row>
    <row r="116">
      <c r="A116" s="1"/>
      <c r="B116" s="127" t="s">
        <v>15</v>
      </c>
      <c r="C116" s="127">
        <v>76218.0</v>
      </c>
      <c r="D116" s="108" t="s">
        <v>340</v>
      </c>
      <c r="E116" s="109"/>
      <c r="F116" s="58"/>
      <c r="G116" s="128" t="s">
        <v>341</v>
      </c>
      <c r="H116" s="129">
        <v>6.78</v>
      </c>
      <c r="I116" s="129">
        <v>6.33</v>
      </c>
      <c r="J116" s="130" t="b">
        <v>0</v>
      </c>
      <c r="K116" s="58"/>
      <c r="L116" s="131">
        <f t="shared" si="8"/>
        <v>1</v>
      </c>
      <c r="M116" s="130"/>
      <c r="N116" s="109"/>
      <c r="O116" s="109"/>
      <c r="P116" s="109"/>
      <c r="Q116" s="58"/>
      <c r="R116" s="126"/>
      <c r="S116" s="126"/>
      <c r="T116" s="132"/>
      <c r="U116" s="132"/>
      <c r="V116" s="132"/>
      <c r="W116" s="132"/>
      <c r="X116" s="132"/>
      <c r="Y116" s="132"/>
      <c r="Z116" s="132"/>
      <c r="AA116" s="133"/>
      <c r="AB116" s="133"/>
      <c r="AC116" s="133"/>
      <c r="AD116" s="133"/>
      <c r="AE116" s="133"/>
    </row>
    <row r="117">
      <c r="A117" s="1"/>
      <c r="B117" s="127" t="s">
        <v>15</v>
      </c>
      <c r="C117" s="127">
        <v>76218.0</v>
      </c>
      <c r="D117" s="108" t="s">
        <v>342</v>
      </c>
      <c r="E117" s="109"/>
      <c r="F117" s="58"/>
      <c r="G117" s="128" t="s">
        <v>343</v>
      </c>
      <c r="H117" s="129">
        <v>5.69</v>
      </c>
      <c r="I117" s="129">
        <v>6.28</v>
      </c>
      <c r="J117" s="130" t="b">
        <v>0</v>
      </c>
      <c r="K117" s="58"/>
      <c r="L117" s="131">
        <f t="shared" si="8"/>
        <v>1</v>
      </c>
      <c r="M117" s="130"/>
      <c r="N117" s="109"/>
      <c r="O117" s="109"/>
      <c r="P117" s="109"/>
      <c r="Q117" s="58"/>
      <c r="R117" s="126"/>
      <c r="S117" s="126"/>
      <c r="T117" s="132"/>
      <c r="U117" s="132"/>
      <c r="V117" s="132"/>
      <c r="W117" s="132"/>
      <c r="X117" s="132"/>
      <c r="Y117" s="132"/>
      <c r="Z117" s="132"/>
      <c r="AA117" s="133"/>
      <c r="AB117" s="133"/>
      <c r="AC117" s="133"/>
      <c r="AD117" s="133"/>
      <c r="AE117" s="133"/>
    </row>
    <row r="118">
      <c r="A118" s="1"/>
      <c r="B118" s="127" t="s">
        <v>15</v>
      </c>
      <c r="C118" s="127">
        <v>76218.0</v>
      </c>
      <c r="D118" s="108" t="s">
        <v>344</v>
      </c>
      <c r="E118" s="109"/>
      <c r="F118" s="58"/>
      <c r="G118" s="128" t="s">
        <v>345</v>
      </c>
      <c r="H118" s="129">
        <v>3.67</v>
      </c>
      <c r="I118" s="129">
        <v>4.06</v>
      </c>
      <c r="J118" s="130" t="b">
        <v>0</v>
      </c>
      <c r="K118" s="58"/>
      <c r="L118" s="131">
        <f t="shared" si="8"/>
        <v>1</v>
      </c>
      <c r="M118" s="130"/>
      <c r="N118" s="109"/>
      <c r="O118" s="109"/>
      <c r="P118" s="109"/>
      <c r="Q118" s="58"/>
      <c r="R118" s="126"/>
      <c r="S118" s="126"/>
      <c r="T118" s="132"/>
      <c r="U118" s="132"/>
      <c r="V118" s="132"/>
      <c r="W118" s="132"/>
      <c r="X118" s="132"/>
      <c r="Y118" s="132"/>
      <c r="Z118" s="132"/>
      <c r="AA118" s="133"/>
      <c r="AB118" s="133"/>
      <c r="AC118" s="133"/>
      <c r="AD118" s="133"/>
      <c r="AE118" s="133"/>
    </row>
    <row r="119">
      <c r="A119" s="1"/>
      <c r="B119" s="127" t="s">
        <v>15</v>
      </c>
      <c r="C119" s="127">
        <v>76218.0</v>
      </c>
      <c r="D119" s="108" t="s">
        <v>346</v>
      </c>
      <c r="E119" s="109"/>
      <c r="F119" s="58"/>
      <c r="G119" s="128" t="s">
        <v>347</v>
      </c>
      <c r="H119" s="129">
        <v>3.03</v>
      </c>
      <c r="I119" s="129">
        <v>3.37</v>
      </c>
      <c r="J119" s="130" t="b">
        <v>0</v>
      </c>
      <c r="K119" s="58"/>
      <c r="L119" s="131">
        <f t="shared" si="8"/>
        <v>1</v>
      </c>
      <c r="M119" s="130"/>
      <c r="N119" s="109"/>
      <c r="O119" s="109"/>
      <c r="P119" s="109"/>
      <c r="Q119" s="58"/>
      <c r="R119" s="126"/>
      <c r="S119" s="126"/>
      <c r="T119" s="132"/>
      <c r="U119" s="132"/>
      <c r="V119" s="132"/>
      <c r="W119" s="132"/>
      <c r="X119" s="132"/>
      <c r="Y119" s="132"/>
      <c r="Z119" s="132"/>
      <c r="AA119" s="133"/>
      <c r="AB119" s="133"/>
      <c r="AC119" s="133"/>
      <c r="AD119" s="133"/>
      <c r="AE119" s="133"/>
    </row>
    <row r="120">
      <c r="A120" s="1"/>
      <c r="B120" s="127" t="s">
        <v>15</v>
      </c>
      <c r="C120" s="127">
        <v>76218.0</v>
      </c>
      <c r="D120" s="134" t="s">
        <v>348</v>
      </c>
      <c r="E120" s="109"/>
      <c r="F120" s="58"/>
      <c r="G120" s="128" t="s">
        <v>349</v>
      </c>
      <c r="H120" s="129">
        <v>2.38</v>
      </c>
      <c r="I120" s="129">
        <v>2.57</v>
      </c>
      <c r="J120" s="108" t="b">
        <v>0</v>
      </c>
      <c r="K120" s="58"/>
      <c r="L120" s="131">
        <f t="shared" si="8"/>
        <v>1</v>
      </c>
      <c r="M120" s="130"/>
      <c r="N120" s="109"/>
      <c r="O120" s="109"/>
      <c r="P120" s="109"/>
      <c r="Q120" s="58"/>
      <c r="R120" s="126"/>
      <c r="S120" s="126"/>
      <c r="T120" s="132"/>
      <c r="U120" s="132"/>
      <c r="V120" s="132"/>
      <c r="W120" s="132"/>
      <c r="X120" s="132"/>
      <c r="Y120" s="132"/>
      <c r="Z120" s="132"/>
      <c r="AA120" s="133"/>
      <c r="AB120" s="133"/>
      <c r="AC120" s="133"/>
      <c r="AD120" s="133"/>
      <c r="AE120" s="133"/>
    </row>
    <row r="121">
      <c r="A121" s="1"/>
      <c r="B121" s="127" t="s">
        <v>15</v>
      </c>
      <c r="C121" s="127">
        <v>76286.0</v>
      </c>
      <c r="D121" s="108" t="s">
        <v>160</v>
      </c>
      <c r="E121" s="109"/>
      <c r="F121" s="58"/>
      <c r="G121" s="128" t="s">
        <v>350</v>
      </c>
      <c r="H121" s="129">
        <v>19.97</v>
      </c>
      <c r="I121" s="129">
        <v>22.65</v>
      </c>
      <c r="J121" s="130" t="b">
        <v>0</v>
      </c>
      <c r="K121" s="58"/>
      <c r="L121" s="131">
        <f t="shared" si="8"/>
        <v>1</v>
      </c>
      <c r="M121" s="130"/>
      <c r="N121" s="109"/>
      <c r="O121" s="109"/>
      <c r="P121" s="109"/>
      <c r="Q121" s="58"/>
      <c r="R121" s="126"/>
      <c r="S121" s="126"/>
      <c r="T121" s="132"/>
      <c r="U121" s="132"/>
      <c r="V121" s="132"/>
      <c r="W121" s="132"/>
      <c r="X121" s="132"/>
      <c r="Y121" s="132"/>
      <c r="Z121" s="132"/>
      <c r="AA121" s="133"/>
      <c r="AB121" s="133"/>
      <c r="AC121" s="133"/>
      <c r="AD121" s="133"/>
      <c r="AE121" s="133"/>
    </row>
    <row r="122">
      <c r="A122" s="1"/>
      <c r="B122" s="127" t="s">
        <v>15</v>
      </c>
      <c r="C122" s="127">
        <v>76286.0</v>
      </c>
      <c r="D122" s="108" t="s">
        <v>351</v>
      </c>
      <c r="E122" s="109"/>
      <c r="F122" s="58"/>
      <c r="G122" s="128" t="s">
        <v>352</v>
      </c>
      <c r="H122" s="129">
        <v>16.47</v>
      </c>
      <c r="I122" s="129">
        <v>16.47</v>
      </c>
      <c r="J122" s="130" t="b">
        <v>0</v>
      </c>
      <c r="K122" s="58"/>
      <c r="L122" s="131">
        <f t="shared" si="8"/>
        <v>1</v>
      </c>
      <c r="M122" s="130"/>
      <c r="N122" s="109"/>
      <c r="O122" s="109"/>
      <c r="P122" s="109"/>
      <c r="Q122" s="58"/>
      <c r="R122" s="126"/>
      <c r="S122" s="126"/>
      <c r="T122" s="132"/>
      <c r="U122" s="132"/>
      <c r="V122" s="132"/>
      <c r="W122" s="132"/>
      <c r="X122" s="132"/>
      <c r="Y122" s="132"/>
      <c r="Z122" s="132"/>
      <c r="AA122" s="133"/>
      <c r="AB122" s="133"/>
      <c r="AC122" s="133"/>
      <c r="AD122" s="133"/>
      <c r="AE122" s="133"/>
    </row>
    <row r="123">
      <c r="A123" s="1"/>
      <c r="B123" s="127" t="s">
        <v>15</v>
      </c>
      <c r="C123" s="127">
        <v>76286.0</v>
      </c>
      <c r="D123" s="108" t="s">
        <v>320</v>
      </c>
      <c r="E123" s="109"/>
      <c r="F123" s="58"/>
      <c r="G123" s="128" t="s">
        <v>353</v>
      </c>
      <c r="H123" s="129">
        <v>20.91</v>
      </c>
      <c r="I123" s="129">
        <v>14.79</v>
      </c>
      <c r="J123" s="130" t="b">
        <v>0</v>
      </c>
      <c r="K123" s="58"/>
      <c r="L123" s="131">
        <f t="shared" si="8"/>
        <v>1</v>
      </c>
      <c r="M123" s="130"/>
      <c r="N123" s="109"/>
      <c r="O123" s="109"/>
      <c r="P123" s="109"/>
      <c r="Q123" s="58"/>
      <c r="R123" s="126"/>
      <c r="S123" s="126"/>
      <c r="T123" s="132"/>
      <c r="U123" s="132"/>
      <c r="V123" s="132"/>
      <c r="W123" s="132"/>
      <c r="X123" s="132"/>
      <c r="Y123" s="132"/>
      <c r="Z123" s="132"/>
      <c r="AA123" s="133"/>
      <c r="AB123" s="133"/>
      <c r="AC123" s="133"/>
      <c r="AD123" s="133"/>
      <c r="AE123" s="133"/>
    </row>
    <row r="124">
      <c r="A124" s="1"/>
      <c r="B124" s="127" t="s">
        <v>15</v>
      </c>
      <c r="C124" s="127">
        <v>76286.0</v>
      </c>
      <c r="D124" s="108" t="s">
        <v>354</v>
      </c>
      <c r="E124" s="109"/>
      <c r="F124" s="58"/>
      <c r="G124" s="128" t="s">
        <v>355</v>
      </c>
      <c r="H124" s="129">
        <v>11.66</v>
      </c>
      <c r="I124" s="129">
        <v>11.66</v>
      </c>
      <c r="J124" s="130" t="b">
        <v>0</v>
      </c>
      <c r="K124" s="58"/>
      <c r="L124" s="131">
        <f t="shared" si="8"/>
        <v>1</v>
      </c>
      <c r="M124" s="130"/>
      <c r="N124" s="109"/>
      <c r="O124" s="109"/>
      <c r="P124" s="109"/>
      <c r="Q124" s="58"/>
      <c r="R124" s="126"/>
      <c r="S124" s="126"/>
      <c r="T124" s="132"/>
      <c r="U124" s="132"/>
      <c r="V124" s="132"/>
      <c r="W124" s="132"/>
      <c r="X124" s="132"/>
      <c r="Y124" s="132"/>
      <c r="Z124" s="132"/>
      <c r="AA124" s="133"/>
      <c r="AB124" s="133"/>
      <c r="AC124" s="133"/>
      <c r="AD124" s="133"/>
      <c r="AE124" s="133"/>
    </row>
    <row r="125">
      <c r="A125" s="1"/>
      <c r="B125" s="127" t="s">
        <v>15</v>
      </c>
      <c r="C125" s="127">
        <v>76286.0</v>
      </c>
      <c r="D125" s="108" t="s">
        <v>326</v>
      </c>
      <c r="E125" s="109"/>
      <c r="F125" s="58"/>
      <c r="G125" s="128" t="s">
        <v>356</v>
      </c>
      <c r="H125" s="129">
        <v>5.76</v>
      </c>
      <c r="I125" s="129">
        <v>6.26</v>
      </c>
      <c r="J125" s="130" t="b">
        <v>0</v>
      </c>
      <c r="K125" s="58"/>
      <c r="L125" s="131">
        <f t="shared" si="8"/>
        <v>1</v>
      </c>
      <c r="M125" s="130"/>
      <c r="N125" s="109"/>
      <c r="O125" s="109"/>
      <c r="P125" s="109"/>
      <c r="Q125" s="58"/>
      <c r="R125" s="126"/>
      <c r="S125" s="126"/>
      <c r="T125" s="132"/>
      <c r="U125" s="132"/>
      <c r="V125" s="132"/>
      <c r="W125" s="132"/>
      <c r="X125" s="132"/>
      <c r="Y125" s="132"/>
      <c r="Z125" s="132"/>
      <c r="AA125" s="133"/>
      <c r="AB125" s="133"/>
      <c r="AC125" s="133"/>
      <c r="AD125" s="133"/>
      <c r="AE125" s="133"/>
    </row>
    <row r="126">
      <c r="A126" s="1"/>
      <c r="B126" s="127" t="s">
        <v>17</v>
      </c>
      <c r="C126" s="127">
        <v>77252.0</v>
      </c>
      <c r="D126" s="108" t="s">
        <v>162</v>
      </c>
      <c r="E126" s="109"/>
      <c r="F126" s="58"/>
      <c r="G126" s="128" t="s">
        <v>357</v>
      </c>
      <c r="H126" s="129"/>
      <c r="I126" s="129">
        <v>11.9</v>
      </c>
      <c r="J126" s="130" t="b">
        <v>0</v>
      </c>
      <c r="K126" s="58"/>
      <c r="L126" s="131">
        <f t="shared" si="8"/>
        <v>1</v>
      </c>
      <c r="M126" s="130"/>
      <c r="N126" s="109"/>
      <c r="O126" s="109"/>
      <c r="P126" s="109"/>
      <c r="Q126" s="58"/>
      <c r="R126" s="126"/>
      <c r="S126" s="126"/>
      <c r="T126" s="132"/>
      <c r="U126" s="132"/>
      <c r="V126" s="132"/>
      <c r="W126" s="132"/>
      <c r="X126" s="132"/>
      <c r="Y126" s="132"/>
      <c r="Z126" s="132"/>
      <c r="AA126" s="133"/>
      <c r="AB126" s="133"/>
      <c r="AC126" s="133"/>
      <c r="AD126" s="133"/>
      <c r="AE126" s="133"/>
    </row>
    <row r="127">
      <c r="A127" s="1"/>
      <c r="B127" s="127" t="s">
        <v>17</v>
      </c>
      <c r="C127" s="127">
        <v>77252.0</v>
      </c>
      <c r="D127" s="108" t="s">
        <v>358</v>
      </c>
      <c r="E127" s="109"/>
      <c r="F127" s="58"/>
      <c r="G127" s="128" t="s">
        <v>359</v>
      </c>
      <c r="H127" s="129"/>
      <c r="I127" s="129">
        <v>11.23</v>
      </c>
      <c r="J127" s="130" t="b">
        <v>0</v>
      </c>
      <c r="K127" s="58"/>
      <c r="L127" s="131">
        <f t="shared" si="8"/>
        <v>1</v>
      </c>
      <c r="M127" s="130"/>
      <c r="N127" s="109"/>
      <c r="O127" s="109"/>
      <c r="P127" s="109"/>
      <c r="Q127" s="58"/>
      <c r="R127" s="126"/>
      <c r="S127" s="126"/>
      <c r="T127" s="132"/>
      <c r="U127" s="132"/>
      <c r="V127" s="132"/>
      <c r="W127" s="132"/>
      <c r="X127" s="132"/>
      <c r="Y127" s="132"/>
      <c r="Z127" s="132"/>
      <c r="AA127" s="133"/>
      <c r="AB127" s="133"/>
      <c r="AC127" s="133"/>
      <c r="AD127" s="133"/>
      <c r="AE127" s="133"/>
    </row>
    <row r="128">
      <c r="A128" s="1"/>
      <c r="B128" s="127" t="s">
        <v>17</v>
      </c>
      <c r="C128" s="127">
        <v>77256.0</v>
      </c>
      <c r="D128" s="108" t="s">
        <v>246</v>
      </c>
      <c r="E128" s="109"/>
      <c r="F128" s="58"/>
      <c r="G128" s="128" t="s">
        <v>360</v>
      </c>
      <c r="H128" s="129">
        <v>6.04</v>
      </c>
      <c r="I128" s="129">
        <v>5.91</v>
      </c>
      <c r="J128" s="130" t="b">
        <v>0</v>
      </c>
      <c r="K128" s="58"/>
      <c r="L128" s="131">
        <f t="shared" si="8"/>
        <v>1</v>
      </c>
      <c r="M128" s="130"/>
      <c r="N128" s="109"/>
      <c r="O128" s="109"/>
      <c r="P128" s="109"/>
      <c r="Q128" s="58"/>
      <c r="R128" s="126"/>
      <c r="S128" s="126"/>
      <c r="T128" s="132"/>
      <c r="U128" s="132"/>
      <c r="V128" s="132"/>
      <c r="W128" s="132"/>
      <c r="X128" s="132"/>
      <c r="Y128" s="132"/>
      <c r="Z128" s="132"/>
      <c r="AA128" s="133"/>
      <c r="AB128" s="133"/>
      <c r="AC128" s="133"/>
      <c r="AD128" s="133"/>
      <c r="AE128" s="133"/>
    </row>
    <row r="129">
      <c r="A129" s="1"/>
      <c r="B129" s="127" t="s">
        <v>17</v>
      </c>
      <c r="C129" s="127">
        <v>77256.0</v>
      </c>
      <c r="D129" s="108" t="s">
        <v>361</v>
      </c>
      <c r="E129" s="109"/>
      <c r="F129" s="58"/>
      <c r="G129" s="128" t="s">
        <v>362</v>
      </c>
      <c r="H129" s="129">
        <v>6.28</v>
      </c>
      <c r="I129" s="129">
        <v>5.87</v>
      </c>
      <c r="J129" s="130" t="b">
        <v>0</v>
      </c>
      <c r="K129" s="58"/>
      <c r="L129" s="131">
        <f t="shared" si="8"/>
        <v>1</v>
      </c>
      <c r="M129" s="130"/>
      <c r="N129" s="109"/>
      <c r="O129" s="109"/>
      <c r="P129" s="109"/>
      <c r="Q129" s="58"/>
      <c r="R129" s="126"/>
      <c r="S129" s="126"/>
      <c r="T129" s="132"/>
      <c r="U129" s="132"/>
      <c r="V129" s="132"/>
      <c r="W129" s="132"/>
      <c r="X129" s="132"/>
      <c r="Y129" s="132"/>
      <c r="Z129" s="132"/>
      <c r="AA129" s="133"/>
      <c r="AB129" s="133"/>
      <c r="AC129" s="133"/>
      <c r="AD129" s="133"/>
      <c r="AE129" s="133"/>
    </row>
    <row r="130">
      <c r="A130" s="1"/>
      <c r="B130" s="127" t="s">
        <v>31</v>
      </c>
      <c r="C130" s="127">
        <v>40686.0</v>
      </c>
      <c r="D130" s="108" t="s">
        <v>363</v>
      </c>
      <c r="E130" s="109"/>
      <c r="F130" s="58"/>
      <c r="G130" s="128" t="s">
        <v>364</v>
      </c>
      <c r="H130" s="129">
        <v>1.43</v>
      </c>
      <c r="I130" s="129">
        <v>1.7</v>
      </c>
      <c r="J130" s="130" t="b">
        <v>0</v>
      </c>
      <c r="K130" s="58"/>
      <c r="L130" s="131">
        <f t="shared" si="8"/>
        <v>15</v>
      </c>
      <c r="M130" s="130"/>
      <c r="N130" s="109"/>
      <c r="O130" s="109"/>
      <c r="P130" s="109"/>
      <c r="Q130" s="58"/>
      <c r="R130" s="126"/>
      <c r="S130" s="126"/>
      <c r="T130" s="132"/>
      <c r="U130" s="132"/>
      <c r="V130" s="132"/>
      <c r="W130" s="132"/>
      <c r="X130" s="132"/>
      <c r="Y130" s="132"/>
      <c r="Z130" s="132"/>
      <c r="AA130" s="133"/>
      <c r="AB130" s="133"/>
      <c r="AC130" s="133"/>
      <c r="AD130" s="133"/>
      <c r="AE130" s="133"/>
    </row>
    <row r="131">
      <c r="A131" s="1"/>
      <c r="B131" s="127" t="s">
        <v>31</v>
      </c>
      <c r="C131" s="127">
        <v>40686.0</v>
      </c>
      <c r="D131" s="108" t="s">
        <v>363</v>
      </c>
      <c r="E131" s="109"/>
      <c r="F131" s="58"/>
      <c r="G131" s="128" t="s">
        <v>364</v>
      </c>
      <c r="H131" s="129">
        <v>1.43</v>
      </c>
      <c r="I131" s="129">
        <v>1.7</v>
      </c>
      <c r="J131" s="130" t="b">
        <v>0</v>
      </c>
      <c r="K131" s="58"/>
      <c r="L131" s="131">
        <f t="shared" si="8"/>
        <v>15</v>
      </c>
      <c r="M131" s="130"/>
      <c r="N131" s="109"/>
      <c r="O131" s="109"/>
      <c r="P131" s="109"/>
      <c r="Q131" s="58"/>
      <c r="R131" s="126"/>
      <c r="S131" s="126"/>
      <c r="T131" s="132"/>
      <c r="U131" s="132"/>
      <c r="V131" s="132"/>
      <c r="W131" s="132"/>
      <c r="X131" s="132"/>
      <c r="Y131" s="132"/>
      <c r="Z131" s="132"/>
      <c r="AA131" s="133"/>
      <c r="AB131" s="133"/>
      <c r="AC131" s="133"/>
      <c r="AD131" s="133"/>
      <c r="AE131" s="133"/>
    </row>
    <row r="132">
      <c r="A132" s="1"/>
      <c r="B132" s="127" t="s">
        <v>31</v>
      </c>
      <c r="C132" s="127">
        <v>40686.0</v>
      </c>
      <c r="D132" s="108" t="s">
        <v>363</v>
      </c>
      <c r="E132" s="109"/>
      <c r="F132" s="58"/>
      <c r="G132" s="128" t="s">
        <v>364</v>
      </c>
      <c r="H132" s="129">
        <v>1.43</v>
      </c>
      <c r="I132" s="129">
        <v>1.7</v>
      </c>
      <c r="J132" s="130" t="b">
        <v>0</v>
      </c>
      <c r="K132" s="58"/>
      <c r="L132" s="131">
        <f t="shared" si="8"/>
        <v>15</v>
      </c>
      <c r="M132" s="130"/>
      <c r="N132" s="109"/>
      <c r="O132" s="109"/>
      <c r="P132" s="109"/>
      <c r="Q132" s="58"/>
      <c r="R132" s="126"/>
      <c r="S132" s="126"/>
      <c r="T132" s="132"/>
      <c r="U132" s="132"/>
      <c r="V132" s="132"/>
      <c r="W132" s="132"/>
      <c r="X132" s="132"/>
      <c r="Y132" s="132"/>
      <c r="Z132" s="132"/>
      <c r="AA132" s="133"/>
      <c r="AB132" s="133"/>
      <c r="AC132" s="133"/>
      <c r="AD132" s="133"/>
      <c r="AE132" s="133"/>
    </row>
    <row r="133">
      <c r="A133" s="1"/>
      <c r="B133" s="127" t="s">
        <v>31</v>
      </c>
      <c r="C133" s="127">
        <v>40686.0</v>
      </c>
      <c r="D133" s="108" t="s">
        <v>363</v>
      </c>
      <c r="E133" s="109"/>
      <c r="F133" s="58"/>
      <c r="G133" s="128" t="s">
        <v>364</v>
      </c>
      <c r="H133" s="129">
        <v>1.43</v>
      </c>
      <c r="I133" s="129">
        <v>1.7</v>
      </c>
      <c r="J133" s="130" t="b">
        <v>0</v>
      </c>
      <c r="K133" s="58"/>
      <c r="L133" s="131">
        <f t="shared" si="8"/>
        <v>15</v>
      </c>
      <c r="M133" s="130"/>
      <c r="N133" s="109"/>
      <c r="O133" s="109"/>
      <c r="P133" s="109"/>
      <c r="Q133" s="58"/>
      <c r="R133" s="126"/>
      <c r="S133" s="126"/>
      <c r="T133" s="132"/>
      <c r="U133" s="132"/>
      <c r="V133" s="132"/>
      <c r="W133" s="132"/>
      <c r="X133" s="132"/>
      <c r="Y133" s="132"/>
      <c r="Z133" s="132"/>
      <c r="AA133" s="133"/>
      <c r="AB133" s="133"/>
      <c r="AC133" s="133"/>
      <c r="AD133" s="133"/>
      <c r="AE133" s="133"/>
    </row>
    <row r="134">
      <c r="A134" s="1"/>
      <c r="B134" s="127" t="s">
        <v>31</v>
      </c>
      <c r="C134" s="127">
        <v>40686.0</v>
      </c>
      <c r="D134" s="108" t="s">
        <v>363</v>
      </c>
      <c r="E134" s="109"/>
      <c r="F134" s="58"/>
      <c r="G134" s="128" t="s">
        <v>364</v>
      </c>
      <c r="H134" s="129">
        <v>1.43</v>
      </c>
      <c r="I134" s="129">
        <v>1.7</v>
      </c>
      <c r="J134" s="130" t="b">
        <v>0</v>
      </c>
      <c r="K134" s="58"/>
      <c r="L134" s="131">
        <f t="shared" si="8"/>
        <v>15</v>
      </c>
      <c r="M134" s="130"/>
      <c r="N134" s="109"/>
      <c r="O134" s="109"/>
      <c r="P134" s="109"/>
      <c r="Q134" s="58"/>
      <c r="R134" s="126"/>
      <c r="S134" s="126"/>
      <c r="T134" s="132"/>
      <c r="U134" s="132"/>
      <c r="V134" s="132"/>
      <c r="W134" s="132"/>
      <c r="X134" s="132"/>
      <c r="Y134" s="132"/>
      <c r="Z134" s="132"/>
      <c r="AA134" s="133"/>
      <c r="AB134" s="133"/>
      <c r="AC134" s="133"/>
      <c r="AD134" s="133"/>
      <c r="AE134" s="133"/>
    </row>
    <row r="135">
      <c r="A135" s="1"/>
      <c r="B135" s="127" t="s">
        <v>31</v>
      </c>
      <c r="C135" s="127">
        <v>40686.0</v>
      </c>
      <c r="D135" s="108" t="s">
        <v>363</v>
      </c>
      <c r="E135" s="109"/>
      <c r="F135" s="58"/>
      <c r="G135" s="128" t="s">
        <v>364</v>
      </c>
      <c r="H135" s="129">
        <v>1.43</v>
      </c>
      <c r="I135" s="129">
        <v>1.7</v>
      </c>
      <c r="J135" s="130" t="b">
        <v>0</v>
      </c>
      <c r="K135" s="58"/>
      <c r="L135" s="131">
        <f t="shared" si="8"/>
        <v>15</v>
      </c>
      <c r="M135" s="130"/>
      <c r="N135" s="109"/>
      <c r="O135" s="109"/>
      <c r="P135" s="109"/>
      <c r="Q135" s="58"/>
      <c r="R135" s="126"/>
      <c r="S135" s="126"/>
      <c r="T135" s="132"/>
      <c r="U135" s="132"/>
      <c r="V135" s="132"/>
      <c r="W135" s="132"/>
      <c r="X135" s="132"/>
      <c r="Y135" s="132"/>
      <c r="Z135" s="132"/>
      <c r="AA135" s="133"/>
      <c r="AB135" s="133"/>
      <c r="AC135" s="133"/>
      <c r="AD135" s="133"/>
      <c r="AE135" s="133"/>
    </row>
    <row r="136">
      <c r="A136" s="1"/>
      <c r="B136" s="127" t="s">
        <v>31</v>
      </c>
      <c r="C136" s="127">
        <v>40686.0</v>
      </c>
      <c r="D136" s="108" t="s">
        <v>365</v>
      </c>
      <c r="E136" s="109"/>
      <c r="F136" s="58"/>
      <c r="G136" s="128" t="s">
        <v>366</v>
      </c>
      <c r="H136" s="129">
        <v>7.35</v>
      </c>
      <c r="I136" s="129">
        <v>8.23</v>
      </c>
      <c r="J136" s="130" t="b">
        <v>0</v>
      </c>
      <c r="K136" s="58"/>
      <c r="L136" s="131">
        <f t="shared" si="8"/>
        <v>3</v>
      </c>
      <c r="M136" s="130"/>
      <c r="N136" s="109"/>
      <c r="O136" s="109"/>
      <c r="P136" s="109"/>
      <c r="Q136" s="58"/>
      <c r="R136" s="126"/>
      <c r="S136" s="126"/>
      <c r="T136" s="132"/>
      <c r="U136" s="132"/>
      <c r="V136" s="132"/>
      <c r="W136" s="132"/>
      <c r="X136" s="132"/>
      <c r="Y136" s="132"/>
      <c r="Z136" s="132"/>
      <c r="AA136" s="133"/>
      <c r="AB136" s="133"/>
      <c r="AC136" s="133"/>
      <c r="AD136" s="133"/>
      <c r="AE136" s="133"/>
    </row>
    <row r="137">
      <c r="A137" s="1"/>
      <c r="B137" s="127" t="s">
        <v>31</v>
      </c>
      <c r="C137" s="127">
        <v>40686.0</v>
      </c>
      <c r="D137" s="108" t="s">
        <v>365</v>
      </c>
      <c r="E137" s="109"/>
      <c r="F137" s="58"/>
      <c r="G137" s="128" t="s">
        <v>366</v>
      </c>
      <c r="H137" s="129">
        <v>7.35</v>
      </c>
      <c r="I137" s="129">
        <v>8.23</v>
      </c>
      <c r="J137" s="130" t="b">
        <v>0</v>
      </c>
      <c r="K137" s="58"/>
      <c r="L137" s="131">
        <f t="shared" si="8"/>
        <v>3</v>
      </c>
      <c r="M137" s="130"/>
      <c r="N137" s="109"/>
      <c r="O137" s="109"/>
      <c r="P137" s="109"/>
      <c r="Q137" s="58"/>
      <c r="R137" s="126"/>
      <c r="S137" s="126"/>
      <c r="T137" s="132"/>
      <c r="U137" s="132"/>
      <c r="V137" s="132"/>
      <c r="W137" s="132"/>
      <c r="X137" s="132"/>
      <c r="Y137" s="132"/>
      <c r="Z137" s="132"/>
      <c r="AA137" s="133"/>
      <c r="AB137" s="133"/>
      <c r="AC137" s="133"/>
      <c r="AD137" s="133"/>
      <c r="AE137" s="133"/>
    </row>
    <row r="138">
      <c r="A138" s="1"/>
      <c r="B138" s="127" t="s">
        <v>31</v>
      </c>
      <c r="C138" s="127">
        <v>40755.0</v>
      </c>
      <c r="D138" s="108" t="s">
        <v>367</v>
      </c>
      <c r="E138" s="109"/>
      <c r="F138" s="58"/>
      <c r="G138" s="128" t="s">
        <v>368</v>
      </c>
      <c r="H138" s="129">
        <v>14.49</v>
      </c>
      <c r="I138" s="129">
        <v>15.48</v>
      </c>
      <c r="J138" s="108" t="b">
        <v>1</v>
      </c>
      <c r="K138" s="58"/>
      <c r="L138" s="131">
        <f t="shared" si="8"/>
        <v>1</v>
      </c>
      <c r="M138" s="130"/>
      <c r="N138" s="109"/>
      <c r="O138" s="109"/>
      <c r="P138" s="109"/>
      <c r="Q138" s="58"/>
      <c r="R138" s="126"/>
      <c r="S138" s="126"/>
      <c r="T138" s="132"/>
      <c r="U138" s="132"/>
      <c r="V138" s="132"/>
      <c r="W138" s="132"/>
      <c r="X138" s="132"/>
      <c r="Y138" s="132"/>
      <c r="Z138" s="132"/>
      <c r="AA138" s="133"/>
      <c r="AB138" s="133"/>
      <c r="AC138" s="133"/>
      <c r="AD138" s="133"/>
      <c r="AE138" s="133"/>
    </row>
    <row r="139">
      <c r="A139" s="1"/>
      <c r="B139" s="127" t="s">
        <v>31</v>
      </c>
      <c r="C139" s="127">
        <v>40755.0</v>
      </c>
      <c r="D139" s="108" t="s">
        <v>369</v>
      </c>
      <c r="E139" s="109"/>
      <c r="F139" s="58"/>
      <c r="G139" s="128" t="s">
        <v>370</v>
      </c>
      <c r="H139" s="129">
        <v>4.09</v>
      </c>
      <c r="I139" s="129">
        <v>4.35</v>
      </c>
      <c r="J139" s="130" t="b">
        <v>0</v>
      </c>
      <c r="K139" s="58"/>
      <c r="L139" s="131">
        <f t="shared" si="8"/>
        <v>3</v>
      </c>
      <c r="M139" s="130"/>
      <c r="N139" s="109"/>
      <c r="O139" s="109"/>
      <c r="P139" s="109"/>
      <c r="Q139" s="58"/>
      <c r="R139" s="126"/>
      <c r="S139" s="126"/>
      <c r="T139" s="132"/>
      <c r="U139" s="132"/>
      <c r="V139" s="132"/>
      <c r="W139" s="132"/>
      <c r="X139" s="132"/>
      <c r="Y139" s="132"/>
      <c r="Z139" s="132"/>
      <c r="AA139" s="133"/>
      <c r="AB139" s="133"/>
      <c r="AC139" s="133"/>
      <c r="AD139" s="133"/>
      <c r="AE139" s="133"/>
    </row>
    <row r="140">
      <c r="A140" s="1"/>
      <c r="B140" s="127" t="s">
        <v>31</v>
      </c>
      <c r="C140" s="127">
        <v>40755.0</v>
      </c>
      <c r="D140" s="108" t="s">
        <v>371</v>
      </c>
      <c r="E140" s="109"/>
      <c r="F140" s="58"/>
      <c r="G140" s="128" t="s">
        <v>372</v>
      </c>
      <c r="H140" s="129">
        <v>2.7</v>
      </c>
      <c r="I140" s="129">
        <v>3.13</v>
      </c>
      <c r="J140" s="130" t="b">
        <v>0</v>
      </c>
      <c r="K140" s="58"/>
      <c r="L140" s="131">
        <f t="shared" si="8"/>
        <v>4</v>
      </c>
      <c r="M140" s="130"/>
      <c r="N140" s="109"/>
      <c r="O140" s="109"/>
      <c r="P140" s="109"/>
      <c r="Q140" s="58"/>
      <c r="R140" s="126"/>
      <c r="S140" s="126"/>
      <c r="T140" s="132"/>
      <c r="U140" s="132"/>
      <c r="V140" s="132"/>
      <c r="W140" s="132"/>
      <c r="X140" s="132"/>
      <c r="Y140" s="132"/>
      <c r="Z140" s="132"/>
      <c r="AA140" s="133"/>
      <c r="AB140" s="133"/>
      <c r="AC140" s="133"/>
      <c r="AD140" s="133"/>
      <c r="AE140" s="133"/>
    </row>
    <row r="141">
      <c r="A141" s="1"/>
      <c r="B141" s="127" t="s">
        <v>31</v>
      </c>
      <c r="C141" s="127">
        <v>40755.0</v>
      </c>
      <c r="D141" s="108" t="s">
        <v>373</v>
      </c>
      <c r="E141" s="109"/>
      <c r="F141" s="58"/>
      <c r="G141" s="128" t="s">
        <v>374</v>
      </c>
      <c r="H141" s="129">
        <v>3.76</v>
      </c>
      <c r="I141" s="129">
        <v>5.53</v>
      </c>
      <c r="J141" s="130" t="b">
        <v>0</v>
      </c>
      <c r="K141" s="58"/>
      <c r="L141" s="131">
        <f t="shared" si="8"/>
        <v>1</v>
      </c>
      <c r="M141" s="130"/>
      <c r="N141" s="109"/>
      <c r="O141" s="109"/>
      <c r="P141" s="109"/>
      <c r="Q141" s="58"/>
      <c r="R141" s="126"/>
      <c r="S141" s="126"/>
      <c r="T141" s="132"/>
      <c r="U141" s="132"/>
      <c r="V141" s="132"/>
      <c r="W141" s="132"/>
      <c r="X141" s="132"/>
      <c r="Y141" s="132"/>
      <c r="Z141" s="132"/>
      <c r="AA141" s="133"/>
      <c r="AB141" s="133"/>
      <c r="AC141" s="133"/>
      <c r="AD141" s="133"/>
      <c r="AE141" s="133"/>
    </row>
    <row r="142">
      <c r="A142" s="1"/>
      <c r="B142" s="127" t="s">
        <v>31</v>
      </c>
      <c r="C142" s="127">
        <v>40755.0</v>
      </c>
      <c r="D142" s="108" t="s">
        <v>373</v>
      </c>
      <c r="E142" s="109"/>
      <c r="F142" s="58"/>
      <c r="G142" s="128" t="s">
        <v>375</v>
      </c>
      <c r="H142" s="129">
        <v>2.52</v>
      </c>
      <c r="I142" s="129">
        <v>2.64</v>
      </c>
      <c r="J142" s="130" t="b">
        <v>0</v>
      </c>
      <c r="K142" s="58"/>
      <c r="L142" s="131">
        <f t="shared" si="8"/>
        <v>4</v>
      </c>
      <c r="M142" s="130"/>
      <c r="N142" s="109"/>
      <c r="O142" s="109"/>
      <c r="P142" s="109"/>
      <c r="Q142" s="58"/>
      <c r="R142" s="126"/>
      <c r="S142" s="126"/>
      <c r="T142" s="132"/>
      <c r="U142" s="132"/>
      <c r="V142" s="132"/>
      <c r="W142" s="132"/>
      <c r="X142" s="132"/>
      <c r="Y142" s="132"/>
      <c r="Z142" s="132"/>
      <c r="AA142" s="133"/>
      <c r="AB142" s="133"/>
      <c r="AC142" s="133"/>
      <c r="AD142" s="133"/>
      <c r="AE142" s="133"/>
    </row>
    <row r="143">
      <c r="A143" s="1"/>
      <c r="B143" s="127" t="s">
        <v>31</v>
      </c>
      <c r="C143" s="127">
        <v>40755.0</v>
      </c>
      <c r="D143" s="108" t="s">
        <v>376</v>
      </c>
      <c r="E143" s="109"/>
      <c r="F143" s="58"/>
      <c r="G143" s="128" t="s">
        <v>377</v>
      </c>
      <c r="H143" s="129">
        <v>2.66</v>
      </c>
      <c r="I143" s="129">
        <v>3.46</v>
      </c>
      <c r="J143" s="130" t="b">
        <v>0</v>
      </c>
      <c r="K143" s="58"/>
      <c r="L143" s="131">
        <f t="shared" si="8"/>
        <v>1</v>
      </c>
      <c r="M143" s="130"/>
      <c r="N143" s="109"/>
      <c r="O143" s="109"/>
      <c r="P143" s="109"/>
      <c r="Q143" s="58"/>
      <c r="R143" s="126"/>
      <c r="S143" s="126"/>
      <c r="T143" s="132"/>
      <c r="U143" s="132"/>
      <c r="V143" s="132"/>
      <c r="W143" s="132"/>
      <c r="X143" s="132"/>
      <c r="Y143" s="132"/>
      <c r="Z143" s="132"/>
      <c r="AA143" s="133"/>
      <c r="AB143" s="133"/>
      <c r="AC143" s="133"/>
      <c r="AD143" s="133"/>
      <c r="AE143" s="133"/>
    </row>
    <row r="144">
      <c r="A144" s="1"/>
      <c r="B144" s="127" t="s">
        <v>31</v>
      </c>
      <c r="C144" s="127">
        <v>40771.0</v>
      </c>
      <c r="D144" s="108" t="s">
        <v>369</v>
      </c>
      <c r="E144" s="109"/>
      <c r="F144" s="58"/>
      <c r="G144" s="128" t="s">
        <v>370</v>
      </c>
      <c r="H144" s="129">
        <v>4.09</v>
      </c>
      <c r="I144" s="129">
        <v>4.35</v>
      </c>
      <c r="J144" s="130" t="b">
        <v>0</v>
      </c>
      <c r="K144" s="58"/>
      <c r="L144" s="131">
        <f t="shared" si="8"/>
        <v>3</v>
      </c>
      <c r="M144" s="130"/>
      <c r="N144" s="109"/>
      <c r="O144" s="109"/>
      <c r="P144" s="109"/>
      <c r="Q144" s="58"/>
      <c r="R144" s="126"/>
      <c r="S144" s="126"/>
      <c r="T144" s="132"/>
      <c r="U144" s="132"/>
      <c r="V144" s="132"/>
      <c r="W144" s="132"/>
      <c r="X144" s="132"/>
      <c r="Y144" s="132"/>
      <c r="Z144" s="132"/>
      <c r="AA144" s="133"/>
      <c r="AB144" s="133"/>
      <c r="AC144" s="133"/>
      <c r="AD144" s="133"/>
      <c r="AE144" s="133"/>
    </row>
    <row r="145">
      <c r="A145" s="1"/>
      <c r="B145" s="127" t="s">
        <v>31</v>
      </c>
      <c r="C145" s="127">
        <v>40771.0</v>
      </c>
      <c r="D145" s="108" t="s">
        <v>369</v>
      </c>
      <c r="E145" s="109"/>
      <c r="F145" s="58"/>
      <c r="G145" s="128" t="s">
        <v>370</v>
      </c>
      <c r="H145" s="129">
        <v>4.09</v>
      </c>
      <c r="I145" s="129">
        <v>4.35</v>
      </c>
      <c r="J145" s="130" t="b">
        <v>0</v>
      </c>
      <c r="K145" s="58"/>
      <c r="L145" s="131">
        <f t="shared" si="8"/>
        <v>3</v>
      </c>
      <c r="M145" s="130"/>
      <c r="N145" s="109"/>
      <c r="O145" s="109"/>
      <c r="P145" s="109"/>
      <c r="Q145" s="58"/>
      <c r="R145" s="126"/>
      <c r="S145" s="126"/>
      <c r="T145" s="132"/>
      <c r="U145" s="132"/>
      <c r="V145" s="132"/>
      <c r="W145" s="132"/>
      <c r="X145" s="132"/>
      <c r="Y145" s="132"/>
      <c r="Z145" s="132"/>
      <c r="AA145" s="133"/>
      <c r="AB145" s="133"/>
      <c r="AC145" s="133"/>
      <c r="AD145" s="133"/>
      <c r="AE145" s="133"/>
    </row>
    <row r="146">
      <c r="A146" s="1"/>
      <c r="B146" s="127" t="s">
        <v>31</v>
      </c>
      <c r="C146" s="127">
        <v>40771.0</v>
      </c>
      <c r="D146" s="108" t="s">
        <v>378</v>
      </c>
      <c r="E146" s="109"/>
      <c r="F146" s="58"/>
      <c r="G146" s="128" t="s">
        <v>379</v>
      </c>
      <c r="H146" s="129">
        <v>36.95</v>
      </c>
      <c r="I146" s="129">
        <v>41.95</v>
      </c>
      <c r="J146" s="130" t="b">
        <v>0</v>
      </c>
      <c r="K146" s="58"/>
      <c r="L146" s="131">
        <f t="shared" si="8"/>
        <v>2</v>
      </c>
      <c r="M146" s="130"/>
      <c r="N146" s="109"/>
      <c r="O146" s="109"/>
      <c r="P146" s="109"/>
      <c r="Q146" s="58"/>
      <c r="R146" s="126"/>
      <c r="S146" s="126"/>
      <c r="T146" s="132"/>
      <c r="U146" s="132"/>
      <c r="V146" s="132"/>
      <c r="W146" s="132"/>
      <c r="X146" s="132"/>
      <c r="Y146" s="132"/>
      <c r="Z146" s="132"/>
      <c r="AA146" s="133"/>
      <c r="AB146" s="133"/>
      <c r="AC146" s="133"/>
      <c r="AD146" s="133"/>
      <c r="AE146" s="133"/>
    </row>
    <row r="147">
      <c r="A147" s="1"/>
      <c r="B147" s="127" t="s">
        <v>31</v>
      </c>
      <c r="C147" s="127">
        <v>40806.0</v>
      </c>
      <c r="D147" s="108" t="s">
        <v>380</v>
      </c>
      <c r="E147" s="109"/>
      <c r="F147" s="58"/>
      <c r="G147" s="128" t="s">
        <v>381</v>
      </c>
      <c r="H147" s="129">
        <v>28.06</v>
      </c>
      <c r="I147" s="129">
        <v>32.65</v>
      </c>
      <c r="J147" s="130" t="b">
        <v>0</v>
      </c>
      <c r="K147" s="58"/>
      <c r="L147" s="131">
        <f t="shared" si="8"/>
        <v>1</v>
      </c>
      <c r="M147" s="130"/>
      <c r="N147" s="109"/>
      <c r="O147" s="109"/>
      <c r="P147" s="109"/>
      <c r="Q147" s="58"/>
      <c r="R147" s="126"/>
      <c r="S147" s="126"/>
      <c r="T147" s="132"/>
      <c r="U147" s="132"/>
      <c r="V147" s="132"/>
      <c r="W147" s="132"/>
      <c r="X147" s="132"/>
      <c r="Y147" s="132"/>
      <c r="Z147" s="132"/>
      <c r="AA147" s="133"/>
      <c r="AB147" s="133"/>
      <c r="AC147" s="133"/>
      <c r="AD147" s="133"/>
      <c r="AE147" s="133"/>
    </row>
    <row r="148">
      <c r="A148" s="1"/>
      <c r="B148" s="127" t="s">
        <v>31</v>
      </c>
      <c r="C148" s="127">
        <v>75060.0</v>
      </c>
      <c r="D148" s="108" t="s">
        <v>382</v>
      </c>
      <c r="E148" s="109"/>
      <c r="F148" s="58"/>
      <c r="G148" s="128" t="s">
        <v>383</v>
      </c>
      <c r="H148" s="129">
        <v>6.85</v>
      </c>
      <c r="I148" s="129">
        <v>8.64</v>
      </c>
      <c r="J148" s="130" t="b">
        <v>0</v>
      </c>
      <c r="K148" s="58"/>
      <c r="L148" s="131">
        <f t="shared" si="8"/>
        <v>1</v>
      </c>
      <c r="M148" s="130"/>
      <c r="N148" s="109"/>
      <c r="O148" s="109"/>
      <c r="P148" s="109"/>
      <c r="Q148" s="58"/>
      <c r="R148" s="126"/>
      <c r="S148" s="126"/>
      <c r="T148" s="132"/>
      <c r="U148" s="132"/>
      <c r="V148" s="132"/>
      <c r="W148" s="132"/>
      <c r="X148" s="132"/>
      <c r="Y148" s="132"/>
      <c r="Z148" s="132"/>
      <c r="AA148" s="133"/>
      <c r="AB148" s="133"/>
      <c r="AC148" s="133"/>
      <c r="AD148" s="133"/>
      <c r="AE148" s="133"/>
    </row>
    <row r="149">
      <c r="A149" s="1"/>
      <c r="B149" s="127" t="s">
        <v>31</v>
      </c>
      <c r="C149" s="127">
        <v>75060.0</v>
      </c>
      <c r="D149" s="108" t="s">
        <v>157</v>
      </c>
      <c r="E149" s="109"/>
      <c r="F149" s="58"/>
      <c r="G149" s="128" t="s">
        <v>384</v>
      </c>
      <c r="H149" s="129">
        <v>85.09</v>
      </c>
      <c r="I149" s="129">
        <v>135.15</v>
      </c>
      <c r="J149" s="130" t="b">
        <v>0</v>
      </c>
      <c r="K149" s="58"/>
      <c r="L149" s="131">
        <f t="shared" si="8"/>
        <v>1</v>
      </c>
      <c r="M149" s="130"/>
      <c r="N149" s="109"/>
      <c r="O149" s="109"/>
      <c r="P149" s="109"/>
      <c r="Q149" s="58"/>
      <c r="R149" s="126"/>
      <c r="S149" s="126"/>
      <c r="T149" s="132"/>
      <c r="U149" s="132"/>
      <c r="V149" s="132"/>
      <c r="W149" s="132"/>
      <c r="X149" s="132"/>
      <c r="Y149" s="132"/>
      <c r="Z149" s="132"/>
      <c r="AA149" s="133"/>
      <c r="AB149" s="133"/>
      <c r="AC149" s="133"/>
      <c r="AD149" s="133"/>
      <c r="AE149" s="133"/>
    </row>
    <row r="150">
      <c r="A150" s="1"/>
      <c r="B150" s="127" t="s">
        <v>31</v>
      </c>
      <c r="C150" s="127">
        <v>75060.0</v>
      </c>
      <c r="D150" s="108" t="s">
        <v>385</v>
      </c>
      <c r="E150" s="109"/>
      <c r="F150" s="58"/>
      <c r="G150" s="128" t="s">
        <v>386</v>
      </c>
      <c r="H150" s="129">
        <v>4.22</v>
      </c>
      <c r="I150" s="129">
        <v>5.6</v>
      </c>
      <c r="J150" s="130" t="b">
        <v>0</v>
      </c>
      <c r="K150" s="58"/>
      <c r="L150" s="131">
        <f t="shared" si="8"/>
        <v>1</v>
      </c>
      <c r="M150" s="130"/>
      <c r="N150" s="109"/>
      <c r="O150" s="109"/>
      <c r="P150" s="109"/>
      <c r="Q150" s="58"/>
      <c r="R150" s="126"/>
      <c r="S150" s="126"/>
      <c r="T150" s="132"/>
      <c r="U150" s="132"/>
      <c r="V150" s="132"/>
      <c r="W150" s="132"/>
      <c r="X150" s="132"/>
      <c r="Y150" s="132"/>
      <c r="Z150" s="132"/>
      <c r="AA150" s="133"/>
      <c r="AB150" s="133"/>
      <c r="AC150" s="133"/>
      <c r="AD150" s="133"/>
      <c r="AE150" s="133"/>
    </row>
    <row r="151">
      <c r="A151" s="1"/>
      <c r="B151" s="127" t="s">
        <v>31</v>
      </c>
      <c r="C151" s="127">
        <v>75060.0</v>
      </c>
      <c r="D151" s="108" t="s">
        <v>387</v>
      </c>
      <c r="E151" s="109"/>
      <c r="F151" s="58"/>
      <c r="G151" s="128" t="s">
        <v>388</v>
      </c>
      <c r="H151" s="129">
        <v>5.42</v>
      </c>
      <c r="I151" s="129">
        <v>8.41</v>
      </c>
      <c r="J151" s="130" t="b">
        <v>0</v>
      </c>
      <c r="K151" s="58"/>
      <c r="L151" s="131">
        <f t="shared" si="8"/>
        <v>1</v>
      </c>
      <c r="M151" s="130"/>
      <c r="N151" s="109"/>
      <c r="O151" s="109"/>
      <c r="P151" s="109"/>
      <c r="Q151" s="58"/>
      <c r="R151" s="126"/>
      <c r="S151" s="126"/>
      <c r="T151" s="132"/>
      <c r="U151" s="132"/>
      <c r="V151" s="132"/>
      <c r="W151" s="132"/>
      <c r="X151" s="132"/>
      <c r="Y151" s="132"/>
      <c r="Z151" s="132"/>
      <c r="AA151" s="133"/>
      <c r="AB151" s="133"/>
      <c r="AC151" s="133"/>
      <c r="AD151" s="133"/>
      <c r="AE151" s="133"/>
    </row>
    <row r="152">
      <c r="A152" s="1"/>
      <c r="B152" s="127" t="s">
        <v>31</v>
      </c>
      <c r="C152" s="127">
        <v>75187.0</v>
      </c>
      <c r="D152" s="108" t="s">
        <v>74</v>
      </c>
      <c r="E152" s="109"/>
      <c r="F152" s="58"/>
      <c r="G152" s="128" t="s">
        <v>389</v>
      </c>
      <c r="H152" s="129">
        <v>2.51</v>
      </c>
      <c r="I152" s="129">
        <v>3.77</v>
      </c>
      <c r="J152" s="130" t="b">
        <v>0</v>
      </c>
      <c r="K152" s="58"/>
      <c r="L152" s="131">
        <f t="shared" si="8"/>
        <v>3</v>
      </c>
      <c r="M152" s="130"/>
      <c r="N152" s="109"/>
      <c r="O152" s="109"/>
      <c r="P152" s="109"/>
      <c r="Q152" s="58"/>
      <c r="R152" s="126"/>
      <c r="S152" s="126"/>
      <c r="T152" s="132"/>
      <c r="U152" s="132"/>
      <c r="V152" s="132"/>
      <c r="W152" s="132"/>
      <c r="X152" s="132"/>
      <c r="Y152" s="132"/>
      <c r="Z152" s="132"/>
      <c r="AA152" s="133"/>
      <c r="AB152" s="133"/>
      <c r="AC152" s="133"/>
      <c r="AD152" s="133"/>
      <c r="AE152" s="133"/>
    </row>
    <row r="153">
      <c r="A153" s="1"/>
      <c r="B153" s="127" t="s">
        <v>31</v>
      </c>
      <c r="C153" s="127">
        <v>75192.0</v>
      </c>
      <c r="D153" s="108" t="s">
        <v>74</v>
      </c>
      <c r="E153" s="109"/>
      <c r="F153" s="58"/>
      <c r="G153" s="128" t="s">
        <v>389</v>
      </c>
      <c r="H153" s="129">
        <v>2.51</v>
      </c>
      <c r="I153" s="129">
        <v>3.77</v>
      </c>
      <c r="J153" s="130" t="b">
        <v>0</v>
      </c>
      <c r="K153" s="58"/>
      <c r="L153" s="131">
        <f t="shared" si="8"/>
        <v>3</v>
      </c>
      <c r="M153" s="108" t="s">
        <v>390</v>
      </c>
      <c r="N153" s="109"/>
      <c r="O153" s="109"/>
      <c r="P153" s="109"/>
      <c r="Q153" s="58"/>
      <c r="R153" s="126"/>
      <c r="S153" s="126"/>
      <c r="T153" s="132"/>
      <c r="U153" s="132"/>
      <c r="V153" s="132"/>
      <c r="W153" s="132"/>
      <c r="X153" s="132"/>
      <c r="Y153" s="132"/>
      <c r="Z153" s="132"/>
      <c r="AA153" s="133"/>
      <c r="AB153" s="133"/>
      <c r="AC153" s="133"/>
      <c r="AD153" s="133"/>
      <c r="AE153" s="133"/>
    </row>
    <row r="154">
      <c r="A154" s="1"/>
      <c r="B154" s="127" t="s">
        <v>31</v>
      </c>
      <c r="C154" s="127">
        <v>75192.0</v>
      </c>
      <c r="D154" s="108" t="s">
        <v>391</v>
      </c>
      <c r="E154" s="109"/>
      <c r="F154" s="58"/>
      <c r="G154" s="128" t="s">
        <v>392</v>
      </c>
      <c r="H154" s="129">
        <v>3.2</v>
      </c>
      <c r="I154" s="129">
        <v>4.83</v>
      </c>
      <c r="J154" s="130" t="b">
        <v>0</v>
      </c>
      <c r="K154" s="58"/>
      <c r="L154" s="131">
        <f t="shared" si="8"/>
        <v>1</v>
      </c>
      <c r="M154" s="130"/>
      <c r="N154" s="109"/>
      <c r="O154" s="109"/>
      <c r="P154" s="109"/>
      <c r="Q154" s="58"/>
      <c r="R154" s="126"/>
      <c r="S154" s="126"/>
      <c r="T154" s="132"/>
      <c r="U154" s="132"/>
      <c r="V154" s="132"/>
      <c r="W154" s="132"/>
      <c r="X154" s="132"/>
      <c r="Y154" s="132"/>
      <c r="Z154" s="132"/>
      <c r="AA154" s="133"/>
      <c r="AB154" s="133"/>
      <c r="AC154" s="133"/>
      <c r="AD154" s="133"/>
      <c r="AE154" s="133"/>
    </row>
    <row r="155">
      <c r="A155" s="1"/>
      <c r="B155" s="127" t="s">
        <v>31</v>
      </c>
      <c r="C155" s="127">
        <v>75192.0</v>
      </c>
      <c r="D155" s="108" t="s">
        <v>393</v>
      </c>
      <c r="E155" s="109"/>
      <c r="F155" s="58"/>
      <c r="G155" s="128" t="s">
        <v>394</v>
      </c>
      <c r="H155" s="129">
        <v>2.93</v>
      </c>
      <c r="I155" s="129">
        <v>3.75</v>
      </c>
      <c r="J155" s="130" t="b">
        <v>0</v>
      </c>
      <c r="K155" s="58"/>
      <c r="L155" s="131">
        <f t="shared" si="8"/>
        <v>4</v>
      </c>
      <c r="M155" s="130"/>
      <c r="N155" s="109"/>
      <c r="O155" s="109"/>
      <c r="P155" s="109"/>
      <c r="Q155" s="58"/>
      <c r="R155" s="126"/>
      <c r="S155" s="126"/>
      <c r="T155" s="132"/>
      <c r="U155" s="132"/>
      <c r="V155" s="132"/>
      <c r="W155" s="132"/>
      <c r="X155" s="132"/>
      <c r="Y155" s="132"/>
      <c r="Z155" s="132"/>
      <c r="AA155" s="133"/>
      <c r="AB155" s="133"/>
      <c r="AC155" s="133"/>
      <c r="AD155" s="133"/>
      <c r="AE155" s="133"/>
    </row>
    <row r="156">
      <c r="A156" s="1"/>
      <c r="B156" s="127" t="s">
        <v>31</v>
      </c>
      <c r="C156" s="127">
        <v>75192.0</v>
      </c>
      <c r="D156" s="108" t="s">
        <v>395</v>
      </c>
      <c r="E156" s="109"/>
      <c r="F156" s="58"/>
      <c r="G156" s="128" t="s">
        <v>396</v>
      </c>
      <c r="H156" s="129">
        <v>2.43</v>
      </c>
      <c r="I156" s="129">
        <v>3.62</v>
      </c>
      <c r="J156" s="130" t="b">
        <v>0</v>
      </c>
      <c r="K156" s="58"/>
      <c r="L156" s="131">
        <f t="shared" si="8"/>
        <v>1</v>
      </c>
      <c r="M156" s="130"/>
      <c r="N156" s="109"/>
      <c r="O156" s="109"/>
      <c r="P156" s="109"/>
      <c r="Q156" s="58"/>
      <c r="R156" s="126"/>
      <c r="S156" s="126"/>
      <c r="T156" s="132"/>
      <c r="U156" s="132"/>
      <c r="V156" s="132"/>
      <c r="W156" s="132"/>
      <c r="X156" s="132"/>
      <c r="Y156" s="132"/>
      <c r="Z156" s="132"/>
      <c r="AA156" s="133"/>
      <c r="AB156" s="133"/>
      <c r="AC156" s="133"/>
      <c r="AD156" s="133"/>
      <c r="AE156" s="133"/>
    </row>
    <row r="157">
      <c r="A157" s="1"/>
      <c r="B157" s="127" t="s">
        <v>31</v>
      </c>
      <c r="C157" s="127">
        <v>75192.0</v>
      </c>
      <c r="D157" s="108" t="s">
        <v>385</v>
      </c>
      <c r="E157" s="109"/>
      <c r="F157" s="58"/>
      <c r="G157" s="128" t="s">
        <v>397</v>
      </c>
      <c r="H157" s="129">
        <v>16.83</v>
      </c>
      <c r="I157" s="129">
        <v>20.24</v>
      </c>
      <c r="J157" s="130" t="b">
        <v>0</v>
      </c>
      <c r="K157" s="58"/>
      <c r="L157" s="131">
        <f t="shared" si="8"/>
        <v>1</v>
      </c>
      <c r="M157" s="130"/>
      <c r="N157" s="109"/>
      <c r="O157" s="109"/>
      <c r="P157" s="109"/>
      <c r="Q157" s="58"/>
      <c r="R157" s="126"/>
      <c r="S157" s="126"/>
      <c r="T157" s="132"/>
      <c r="U157" s="132"/>
      <c r="V157" s="132"/>
      <c r="W157" s="132"/>
      <c r="X157" s="132"/>
      <c r="Y157" s="132"/>
      <c r="Z157" s="132"/>
      <c r="AA157" s="133"/>
      <c r="AB157" s="133"/>
      <c r="AC157" s="133"/>
      <c r="AD157" s="133"/>
      <c r="AE157" s="133"/>
    </row>
    <row r="158">
      <c r="A158" s="1"/>
      <c r="B158" s="127" t="s">
        <v>31</v>
      </c>
      <c r="C158" s="127">
        <v>75192.0</v>
      </c>
      <c r="D158" s="108" t="s">
        <v>398</v>
      </c>
      <c r="E158" s="109"/>
      <c r="F158" s="58"/>
      <c r="G158" s="128" t="s">
        <v>399</v>
      </c>
      <c r="H158" s="129">
        <v>9.42</v>
      </c>
      <c r="I158" s="129">
        <v>13.55</v>
      </c>
      <c r="J158" s="130" t="b">
        <v>0</v>
      </c>
      <c r="K158" s="58"/>
      <c r="L158" s="131">
        <f t="shared" si="8"/>
        <v>1</v>
      </c>
      <c r="M158" s="130"/>
      <c r="N158" s="109"/>
      <c r="O158" s="109"/>
      <c r="P158" s="109"/>
      <c r="Q158" s="58"/>
      <c r="R158" s="126"/>
      <c r="S158" s="126"/>
      <c r="T158" s="132"/>
      <c r="U158" s="132"/>
      <c r="V158" s="132"/>
      <c r="W158" s="132"/>
      <c r="X158" s="132"/>
      <c r="Y158" s="132"/>
      <c r="Z158" s="132"/>
      <c r="AA158" s="133"/>
      <c r="AB158" s="133"/>
      <c r="AC158" s="133"/>
      <c r="AD158" s="133"/>
      <c r="AE158" s="133"/>
    </row>
    <row r="159">
      <c r="A159" s="1"/>
      <c r="B159" s="127" t="s">
        <v>31</v>
      </c>
      <c r="C159" s="127">
        <v>75192.0</v>
      </c>
      <c r="D159" s="108" t="s">
        <v>400</v>
      </c>
      <c r="E159" s="109"/>
      <c r="F159" s="58"/>
      <c r="G159" s="128" t="s">
        <v>401</v>
      </c>
      <c r="H159" s="129">
        <v>18.06</v>
      </c>
      <c r="I159" s="129">
        <v>18.15</v>
      </c>
      <c r="J159" s="130" t="b">
        <v>0</v>
      </c>
      <c r="K159" s="58"/>
      <c r="L159" s="131">
        <f t="shared" si="8"/>
        <v>1</v>
      </c>
      <c r="M159" s="130"/>
      <c r="N159" s="109"/>
      <c r="O159" s="109"/>
      <c r="P159" s="109"/>
      <c r="Q159" s="58"/>
      <c r="R159" s="126"/>
      <c r="S159" s="126"/>
      <c r="T159" s="132"/>
      <c r="U159" s="132"/>
      <c r="V159" s="132"/>
      <c r="W159" s="132"/>
      <c r="X159" s="132"/>
      <c r="Y159" s="132"/>
      <c r="Z159" s="132"/>
      <c r="AA159" s="133"/>
      <c r="AB159" s="133"/>
      <c r="AC159" s="133"/>
      <c r="AD159" s="133"/>
      <c r="AE159" s="133"/>
    </row>
    <row r="160">
      <c r="A160" s="1"/>
      <c r="B160" s="127" t="s">
        <v>31</v>
      </c>
      <c r="C160" s="127">
        <v>75192.0</v>
      </c>
      <c r="D160" s="108" t="s">
        <v>402</v>
      </c>
      <c r="E160" s="109"/>
      <c r="F160" s="58"/>
      <c r="G160" s="128" t="s">
        <v>403</v>
      </c>
      <c r="H160" s="129">
        <v>2.86</v>
      </c>
      <c r="I160" s="129">
        <v>4.69</v>
      </c>
      <c r="J160" s="130" t="b">
        <v>0</v>
      </c>
      <c r="K160" s="58"/>
      <c r="L160" s="131">
        <f t="shared" si="8"/>
        <v>1</v>
      </c>
      <c r="M160" s="130"/>
      <c r="N160" s="109"/>
      <c r="O160" s="109"/>
      <c r="P160" s="109"/>
      <c r="Q160" s="58"/>
      <c r="R160" s="126"/>
      <c r="S160" s="126"/>
      <c r="T160" s="132"/>
      <c r="U160" s="132"/>
      <c r="V160" s="132"/>
      <c r="W160" s="132"/>
      <c r="X160" s="132"/>
      <c r="Y160" s="132"/>
      <c r="Z160" s="132"/>
      <c r="AA160" s="133"/>
      <c r="AB160" s="133"/>
      <c r="AC160" s="133"/>
      <c r="AD160" s="133"/>
      <c r="AE160" s="133"/>
    </row>
    <row r="161">
      <c r="A161" s="1"/>
      <c r="B161" s="127" t="s">
        <v>31</v>
      </c>
      <c r="C161" s="127">
        <v>75252.0</v>
      </c>
      <c r="D161" s="108" t="s">
        <v>404</v>
      </c>
      <c r="E161" s="109"/>
      <c r="F161" s="58"/>
      <c r="G161" s="128" t="s">
        <v>405</v>
      </c>
      <c r="H161" s="129">
        <v>38.16</v>
      </c>
      <c r="I161" s="129">
        <v>47.32</v>
      </c>
      <c r="J161" s="130" t="b">
        <v>0</v>
      </c>
      <c r="K161" s="58"/>
      <c r="L161" s="131">
        <f t="shared" si="8"/>
        <v>1</v>
      </c>
      <c r="M161" s="130"/>
      <c r="N161" s="109"/>
      <c r="O161" s="109"/>
      <c r="P161" s="109"/>
      <c r="Q161" s="58"/>
      <c r="R161" s="126"/>
      <c r="S161" s="126"/>
      <c r="T161" s="132"/>
      <c r="U161" s="132"/>
      <c r="V161" s="132"/>
      <c r="W161" s="132"/>
      <c r="X161" s="132"/>
      <c r="Y161" s="132"/>
      <c r="Z161" s="132"/>
      <c r="AA161" s="133"/>
      <c r="AB161" s="133"/>
      <c r="AC161" s="133"/>
      <c r="AD161" s="133"/>
      <c r="AE161" s="133"/>
    </row>
    <row r="162">
      <c r="A162" s="1"/>
      <c r="B162" s="127" t="s">
        <v>31</v>
      </c>
      <c r="C162" s="127">
        <v>75252.0</v>
      </c>
      <c r="D162" s="108" t="s">
        <v>406</v>
      </c>
      <c r="E162" s="109"/>
      <c r="F162" s="58"/>
      <c r="G162" s="128" t="s">
        <v>407</v>
      </c>
      <c r="H162" s="129">
        <v>40.51</v>
      </c>
      <c r="I162" s="129">
        <v>44.1</v>
      </c>
      <c r="J162" s="130" t="b">
        <v>0</v>
      </c>
      <c r="K162" s="58"/>
      <c r="L162" s="131">
        <f t="shared" si="8"/>
        <v>1</v>
      </c>
      <c r="M162" s="130"/>
      <c r="N162" s="109"/>
      <c r="O162" s="109"/>
      <c r="P162" s="109"/>
      <c r="Q162" s="58"/>
      <c r="R162" s="126"/>
      <c r="S162" s="126"/>
      <c r="T162" s="132"/>
      <c r="U162" s="132"/>
      <c r="V162" s="132"/>
      <c r="W162" s="132"/>
      <c r="X162" s="132"/>
      <c r="Y162" s="132"/>
      <c r="Z162" s="132"/>
      <c r="AA162" s="133"/>
      <c r="AB162" s="133"/>
      <c r="AC162" s="133"/>
      <c r="AD162" s="133"/>
      <c r="AE162" s="133"/>
    </row>
    <row r="163">
      <c r="A163" s="1"/>
      <c r="B163" s="127" t="s">
        <v>31</v>
      </c>
      <c r="C163" s="127">
        <v>75278.0</v>
      </c>
      <c r="D163" s="108" t="s">
        <v>77</v>
      </c>
      <c r="E163" s="109"/>
      <c r="F163" s="58"/>
      <c r="G163" s="128" t="s">
        <v>408</v>
      </c>
      <c r="H163" s="129">
        <v>2.2</v>
      </c>
      <c r="I163" s="129">
        <v>3.26</v>
      </c>
      <c r="J163" s="130" t="b">
        <v>0</v>
      </c>
      <c r="K163" s="58"/>
      <c r="L163" s="131">
        <f t="shared" si="8"/>
        <v>1</v>
      </c>
      <c r="M163" s="130"/>
      <c r="N163" s="109"/>
      <c r="O163" s="109"/>
      <c r="P163" s="109"/>
      <c r="Q163" s="58"/>
      <c r="R163" s="126"/>
      <c r="S163" s="126"/>
      <c r="T163" s="132"/>
      <c r="U163" s="132"/>
      <c r="V163" s="132"/>
      <c r="W163" s="132"/>
      <c r="X163" s="132"/>
      <c r="Y163" s="132"/>
      <c r="Z163" s="132"/>
      <c r="AA163" s="133"/>
      <c r="AB163" s="133"/>
      <c r="AC163" s="133"/>
      <c r="AD163" s="133"/>
      <c r="AE163" s="133"/>
    </row>
    <row r="164">
      <c r="A164" s="1"/>
      <c r="B164" s="127" t="s">
        <v>31</v>
      </c>
      <c r="C164" s="127">
        <v>75302.0</v>
      </c>
      <c r="D164" s="108" t="s">
        <v>409</v>
      </c>
      <c r="E164" s="109"/>
      <c r="F164" s="58"/>
      <c r="G164" s="128" t="s">
        <v>410</v>
      </c>
      <c r="H164" s="129">
        <v>10.49</v>
      </c>
      <c r="I164" s="129">
        <v>11.77</v>
      </c>
      <c r="J164" s="130" t="b">
        <v>0</v>
      </c>
      <c r="K164" s="58"/>
      <c r="L164" s="131">
        <f t="shared" si="8"/>
        <v>1</v>
      </c>
      <c r="M164" s="130"/>
      <c r="N164" s="109"/>
      <c r="O164" s="109"/>
      <c r="P164" s="109"/>
      <c r="Q164" s="58"/>
      <c r="R164" s="126"/>
      <c r="S164" s="126"/>
      <c r="T164" s="132"/>
      <c r="U164" s="132"/>
      <c r="V164" s="132"/>
      <c r="W164" s="132"/>
      <c r="X164" s="132"/>
      <c r="Y164" s="132"/>
      <c r="Z164" s="132"/>
      <c r="AA164" s="133"/>
      <c r="AB164" s="133"/>
      <c r="AC164" s="133"/>
      <c r="AD164" s="133"/>
      <c r="AE164" s="133"/>
    </row>
    <row r="165">
      <c r="A165" s="1"/>
      <c r="B165" s="127" t="s">
        <v>31</v>
      </c>
      <c r="C165" s="127">
        <v>75302.0</v>
      </c>
      <c r="D165" s="108" t="s">
        <v>406</v>
      </c>
      <c r="E165" s="109"/>
      <c r="F165" s="58"/>
      <c r="G165" s="128" t="s">
        <v>411</v>
      </c>
      <c r="H165" s="129">
        <v>6.31</v>
      </c>
      <c r="I165" s="129">
        <v>9.64</v>
      </c>
      <c r="J165" s="130" t="b">
        <v>0</v>
      </c>
      <c r="K165" s="58"/>
      <c r="L165" s="131">
        <f t="shared" si="8"/>
        <v>1</v>
      </c>
      <c r="M165" s="130"/>
      <c r="N165" s="109"/>
      <c r="O165" s="109"/>
      <c r="P165" s="109"/>
      <c r="Q165" s="58"/>
      <c r="R165" s="126"/>
      <c r="S165" s="126"/>
      <c r="T165" s="132"/>
      <c r="U165" s="132"/>
      <c r="V165" s="132"/>
      <c r="W165" s="132"/>
      <c r="X165" s="132"/>
      <c r="Y165" s="132"/>
      <c r="Z165" s="132"/>
      <c r="AA165" s="133"/>
      <c r="AB165" s="133"/>
      <c r="AC165" s="133"/>
      <c r="AD165" s="133"/>
      <c r="AE165" s="133"/>
    </row>
    <row r="166">
      <c r="A166" s="1"/>
      <c r="B166" s="127" t="s">
        <v>31</v>
      </c>
      <c r="C166" s="127">
        <v>75302.0</v>
      </c>
      <c r="D166" s="108" t="s">
        <v>412</v>
      </c>
      <c r="E166" s="109"/>
      <c r="F166" s="58"/>
      <c r="G166" s="128" t="s">
        <v>413</v>
      </c>
      <c r="H166" s="129">
        <v>3.54</v>
      </c>
      <c r="I166" s="129">
        <v>6.26</v>
      </c>
      <c r="J166" s="130" t="b">
        <v>0</v>
      </c>
      <c r="K166" s="58"/>
      <c r="L166" s="131">
        <f t="shared" si="8"/>
        <v>1</v>
      </c>
      <c r="M166" s="130"/>
      <c r="N166" s="109"/>
      <c r="O166" s="109"/>
      <c r="P166" s="109"/>
      <c r="Q166" s="58"/>
      <c r="R166" s="126"/>
      <c r="S166" s="126"/>
      <c r="T166" s="132"/>
      <c r="U166" s="132"/>
      <c r="V166" s="132"/>
      <c r="W166" s="132"/>
      <c r="X166" s="132"/>
      <c r="Y166" s="132"/>
      <c r="Z166" s="132"/>
      <c r="AA166" s="133"/>
      <c r="AB166" s="133"/>
      <c r="AC166" s="133"/>
      <c r="AD166" s="133"/>
      <c r="AE166" s="133"/>
    </row>
    <row r="167">
      <c r="A167" s="1"/>
      <c r="B167" s="127" t="s">
        <v>31</v>
      </c>
      <c r="C167" s="127">
        <v>75308.0</v>
      </c>
      <c r="D167" s="108" t="s">
        <v>414</v>
      </c>
      <c r="E167" s="109"/>
      <c r="F167" s="58"/>
      <c r="G167" s="128" t="s">
        <v>415</v>
      </c>
      <c r="H167" s="129">
        <v>2.1</v>
      </c>
      <c r="I167" s="129">
        <v>3.52</v>
      </c>
      <c r="J167" s="130" t="b">
        <v>0</v>
      </c>
      <c r="K167" s="58"/>
      <c r="L167" s="131">
        <f t="shared" si="8"/>
        <v>1</v>
      </c>
      <c r="M167" s="130"/>
      <c r="N167" s="109"/>
      <c r="O167" s="109"/>
      <c r="P167" s="109"/>
      <c r="Q167" s="58"/>
      <c r="R167" s="126"/>
      <c r="S167" s="126"/>
      <c r="T167" s="132"/>
      <c r="U167" s="132"/>
      <c r="V167" s="132"/>
      <c r="W167" s="132"/>
      <c r="X167" s="132"/>
      <c r="Y167" s="132"/>
      <c r="Z167" s="132"/>
      <c r="AA167" s="133"/>
      <c r="AB167" s="133"/>
      <c r="AC167" s="133"/>
      <c r="AD167" s="133"/>
      <c r="AE167" s="133"/>
    </row>
    <row r="168">
      <c r="A168" s="1"/>
      <c r="B168" s="127" t="s">
        <v>31</v>
      </c>
      <c r="C168" s="127">
        <v>75309.0</v>
      </c>
      <c r="D168" s="108" t="s">
        <v>416</v>
      </c>
      <c r="E168" s="109"/>
      <c r="F168" s="58"/>
      <c r="G168" s="128" t="s">
        <v>417</v>
      </c>
      <c r="H168" s="129">
        <v>5.63</v>
      </c>
      <c r="I168" s="129">
        <v>6.76</v>
      </c>
      <c r="J168" s="130" t="b">
        <v>0</v>
      </c>
      <c r="K168" s="58"/>
      <c r="L168" s="131">
        <f t="shared" si="8"/>
        <v>1</v>
      </c>
      <c r="M168" s="130"/>
      <c r="N168" s="109"/>
      <c r="O168" s="109"/>
      <c r="P168" s="109"/>
      <c r="Q168" s="58"/>
      <c r="R168" s="126"/>
      <c r="S168" s="126"/>
      <c r="T168" s="132"/>
      <c r="U168" s="132"/>
      <c r="V168" s="132"/>
      <c r="W168" s="132"/>
      <c r="X168" s="132"/>
      <c r="Y168" s="132"/>
      <c r="Z168" s="132"/>
      <c r="AA168" s="133"/>
      <c r="AB168" s="133"/>
      <c r="AC168" s="133"/>
      <c r="AD168" s="133"/>
      <c r="AE168" s="133"/>
    </row>
    <row r="169">
      <c r="A169" s="1"/>
      <c r="B169" s="127" t="s">
        <v>31</v>
      </c>
      <c r="C169" s="127">
        <v>75309.0</v>
      </c>
      <c r="D169" s="108" t="s">
        <v>418</v>
      </c>
      <c r="E169" s="109"/>
      <c r="F169" s="58"/>
      <c r="G169" s="128" t="s">
        <v>419</v>
      </c>
      <c r="H169" s="129">
        <v>14.52</v>
      </c>
      <c r="I169" s="129">
        <v>16.09</v>
      </c>
      <c r="J169" s="130" t="b">
        <v>0</v>
      </c>
      <c r="K169" s="58"/>
      <c r="L169" s="131">
        <f t="shared" si="8"/>
        <v>1</v>
      </c>
      <c r="M169" s="130"/>
      <c r="N169" s="109"/>
      <c r="O169" s="109"/>
      <c r="P169" s="109"/>
      <c r="Q169" s="58"/>
      <c r="R169" s="126"/>
      <c r="S169" s="126"/>
      <c r="T169" s="132"/>
      <c r="U169" s="132"/>
      <c r="V169" s="132"/>
      <c r="W169" s="132"/>
      <c r="X169" s="132"/>
      <c r="Y169" s="132"/>
      <c r="Z169" s="132"/>
      <c r="AA169" s="133"/>
      <c r="AB169" s="133"/>
      <c r="AC169" s="133"/>
      <c r="AD169" s="133"/>
      <c r="AE169" s="133"/>
    </row>
    <row r="170">
      <c r="A170" s="1"/>
      <c r="B170" s="127" t="s">
        <v>31</v>
      </c>
      <c r="C170" s="127">
        <v>75310.0</v>
      </c>
      <c r="D170" s="108" t="s">
        <v>420</v>
      </c>
      <c r="E170" s="109"/>
      <c r="F170" s="58"/>
      <c r="G170" s="128" t="s">
        <v>421</v>
      </c>
      <c r="H170" s="129">
        <v>6.25</v>
      </c>
      <c r="I170" s="129">
        <v>8.77</v>
      </c>
      <c r="J170" s="130" t="b">
        <v>0</v>
      </c>
      <c r="K170" s="58"/>
      <c r="L170" s="131">
        <f t="shared" si="8"/>
        <v>1</v>
      </c>
      <c r="M170" s="130"/>
      <c r="N170" s="109"/>
      <c r="O170" s="109"/>
      <c r="P170" s="109"/>
      <c r="Q170" s="58"/>
      <c r="R170" s="126"/>
      <c r="S170" s="126"/>
      <c r="T170" s="132"/>
      <c r="U170" s="132"/>
      <c r="V170" s="132"/>
      <c r="W170" s="132"/>
      <c r="X170" s="132"/>
      <c r="Y170" s="132"/>
      <c r="Z170" s="132"/>
      <c r="AA170" s="133"/>
      <c r="AB170" s="133"/>
      <c r="AC170" s="133"/>
      <c r="AD170" s="133"/>
      <c r="AE170" s="133"/>
    </row>
    <row r="171">
      <c r="A171" s="1"/>
      <c r="B171" s="127" t="s">
        <v>31</v>
      </c>
      <c r="C171" s="127">
        <v>75310.0</v>
      </c>
      <c r="D171" s="108" t="s">
        <v>422</v>
      </c>
      <c r="E171" s="109"/>
      <c r="F171" s="58"/>
      <c r="G171" s="128" t="s">
        <v>423</v>
      </c>
      <c r="H171" s="129">
        <v>5.26</v>
      </c>
      <c r="I171" s="129">
        <v>7.02</v>
      </c>
      <c r="J171" s="130" t="b">
        <v>0</v>
      </c>
      <c r="K171" s="58"/>
      <c r="L171" s="131">
        <f t="shared" si="8"/>
        <v>1</v>
      </c>
      <c r="M171" s="130"/>
      <c r="N171" s="109"/>
      <c r="O171" s="109"/>
      <c r="P171" s="109"/>
      <c r="Q171" s="58"/>
      <c r="R171" s="126"/>
      <c r="S171" s="126"/>
      <c r="T171" s="132"/>
      <c r="U171" s="132"/>
      <c r="V171" s="132"/>
      <c r="W171" s="132"/>
      <c r="X171" s="132"/>
      <c r="Y171" s="132"/>
      <c r="Z171" s="132"/>
      <c r="AA171" s="133"/>
      <c r="AB171" s="133"/>
      <c r="AC171" s="133"/>
      <c r="AD171" s="133"/>
      <c r="AE171" s="133"/>
    </row>
    <row r="172">
      <c r="A172" s="1"/>
      <c r="B172" s="127" t="s">
        <v>31</v>
      </c>
      <c r="C172" s="127">
        <v>75312.0</v>
      </c>
      <c r="D172" s="108" t="s">
        <v>157</v>
      </c>
      <c r="E172" s="109"/>
      <c r="F172" s="58"/>
      <c r="G172" s="128" t="s">
        <v>424</v>
      </c>
      <c r="H172" s="129">
        <v>4.44</v>
      </c>
      <c r="I172" s="129">
        <v>6.21</v>
      </c>
      <c r="J172" s="130" t="b">
        <v>0</v>
      </c>
      <c r="K172" s="58"/>
      <c r="L172" s="131">
        <f t="shared" si="8"/>
        <v>1</v>
      </c>
      <c r="M172" s="130"/>
      <c r="N172" s="109"/>
      <c r="O172" s="109"/>
      <c r="P172" s="109"/>
      <c r="Q172" s="58"/>
      <c r="R172" s="126"/>
      <c r="S172" s="126"/>
      <c r="T172" s="132"/>
      <c r="U172" s="132"/>
      <c r="V172" s="132"/>
      <c r="W172" s="132"/>
      <c r="X172" s="132"/>
      <c r="Y172" s="132"/>
      <c r="Z172" s="132"/>
      <c r="AA172" s="133"/>
      <c r="AB172" s="133"/>
      <c r="AC172" s="133"/>
      <c r="AD172" s="133"/>
      <c r="AE172" s="133"/>
    </row>
    <row r="173">
      <c r="A173" s="1"/>
      <c r="B173" s="127" t="s">
        <v>31</v>
      </c>
      <c r="C173" s="127">
        <v>75312.0</v>
      </c>
      <c r="D173" s="108" t="s">
        <v>425</v>
      </c>
      <c r="E173" s="109"/>
      <c r="F173" s="58"/>
      <c r="G173" s="128" t="s">
        <v>426</v>
      </c>
      <c r="H173" s="129">
        <v>3.9</v>
      </c>
      <c r="I173" s="129">
        <v>5.72</v>
      </c>
      <c r="J173" s="130" t="b">
        <v>0</v>
      </c>
      <c r="K173" s="58"/>
      <c r="L173" s="131">
        <f t="shared" si="8"/>
        <v>1</v>
      </c>
      <c r="M173" s="130"/>
      <c r="N173" s="109"/>
      <c r="O173" s="109"/>
      <c r="P173" s="109"/>
      <c r="Q173" s="58"/>
      <c r="R173" s="126"/>
      <c r="S173" s="126"/>
      <c r="T173" s="132"/>
      <c r="U173" s="132"/>
      <c r="V173" s="132"/>
      <c r="W173" s="132"/>
      <c r="X173" s="132"/>
      <c r="Y173" s="132"/>
      <c r="Z173" s="132"/>
      <c r="AA173" s="133"/>
      <c r="AB173" s="133"/>
      <c r="AC173" s="133"/>
      <c r="AD173" s="133"/>
      <c r="AE173" s="133"/>
    </row>
    <row r="174">
      <c r="A174" s="1"/>
      <c r="B174" s="127" t="s">
        <v>31</v>
      </c>
      <c r="C174" s="127">
        <v>75313.0</v>
      </c>
      <c r="D174" s="108" t="s">
        <v>427</v>
      </c>
      <c r="E174" s="109"/>
      <c r="F174" s="58"/>
      <c r="G174" s="128" t="s">
        <v>428</v>
      </c>
      <c r="H174" s="129">
        <v>11.02</v>
      </c>
      <c r="I174" s="129">
        <v>11.14</v>
      </c>
      <c r="J174" s="130" t="b">
        <v>0</v>
      </c>
      <c r="K174" s="58"/>
      <c r="L174" s="131">
        <f t="shared" si="8"/>
        <v>1</v>
      </c>
      <c r="M174" s="130"/>
      <c r="N174" s="109"/>
      <c r="O174" s="109"/>
      <c r="P174" s="109"/>
      <c r="Q174" s="58"/>
      <c r="R174" s="126"/>
      <c r="S174" s="126"/>
      <c r="T174" s="132"/>
      <c r="U174" s="132"/>
      <c r="V174" s="132"/>
      <c r="W174" s="132"/>
      <c r="X174" s="132"/>
      <c r="Y174" s="132"/>
      <c r="Z174" s="132"/>
      <c r="AA174" s="133"/>
      <c r="AB174" s="133"/>
      <c r="AC174" s="133"/>
      <c r="AD174" s="133"/>
      <c r="AE174" s="133"/>
    </row>
    <row r="175">
      <c r="A175" s="1"/>
      <c r="B175" s="127" t="s">
        <v>31</v>
      </c>
      <c r="C175" s="127">
        <v>75313.0</v>
      </c>
      <c r="D175" s="108" t="s">
        <v>427</v>
      </c>
      <c r="E175" s="109"/>
      <c r="F175" s="58"/>
      <c r="G175" s="128" t="s">
        <v>429</v>
      </c>
      <c r="H175" s="129">
        <v>3.84</v>
      </c>
      <c r="I175" s="129">
        <v>5.05</v>
      </c>
      <c r="J175" s="130" t="b">
        <v>0</v>
      </c>
      <c r="K175" s="58"/>
      <c r="L175" s="131">
        <f t="shared" si="8"/>
        <v>1</v>
      </c>
      <c r="M175" s="130"/>
      <c r="N175" s="109"/>
      <c r="O175" s="109"/>
      <c r="P175" s="109"/>
      <c r="Q175" s="58"/>
      <c r="R175" s="126"/>
      <c r="S175" s="126"/>
      <c r="T175" s="132"/>
      <c r="U175" s="132"/>
      <c r="V175" s="132"/>
      <c r="W175" s="132"/>
      <c r="X175" s="132"/>
      <c r="Y175" s="132"/>
      <c r="Z175" s="132"/>
      <c r="AA175" s="133"/>
      <c r="AB175" s="133"/>
      <c r="AC175" s="133"/>
      <c r="AD175" s="133"/>
      <c r="AE175" s="133"/>
    </row>
    <row r="176">
      <c r="A176" s="1"/>
      <c r="B176" s="127" t="s">
        <v>31</v>
      </c>
      <c r="C176" s="127">
        <v>75313.0</v>
      </c>
      <c r="D176" s="108" t="s">
        <v>430</v>
      </c>
      <c r="E176" s="109"/>
      <c r="F176" s="58"/>
      <c r="G176" s="128" t="s">
        <v>431</v>
      </c>
      <c r="H176" s="129">
        <v>24.34</v>
      </c>
      <c r="I176" s="129">
        <v>27.51</v>
      </c>
      <c r="J176" s="130" t="b">
        <v>0</v>
      </c>
      <c r="K176" s="58"/>
      <c r="L176" s="131">
        <f t="shared" si="8"/>
        <v>1</v>
      </c>
      <c r="M176" s="130"/>
      <c r="N176" s="109"/>
      <c r="O176" s="109"/>
      <c r="P176" s="109"/>
      <c r="Q176" s="58"/>
      <c r="R176" s="126"/>
      <c r="S176" s="126"/>
      <c r="T176" s="132"/>
      <c r="U176" s="132"/>
      <c r="V176" s="132"/>
      <c r="W176" s="132"/>
      <c r="X176" s="132"/>
      <c r="Y176" s="132"/>
      <c r="Z176" s="132"/>
      <c r="AA176" s="133"/>
      <c r="AB176" s="133"/>
      <c r="AC176" s="133"/>
      <c r="AD176" s="133"/>
      <c r="AE176" s="133"/>
    </row>
    <row r="177">
      <c r="A177" s="1"/>
      <c r="B177" s="127" t="s">
        <v>31</v>
      </c>
      <c r="C177" s="127">
        <v>75313.0</v>
      </c>
      <c r="D177" s="108" t="s">
        <v>412</v>
      </c>
      <c r="E177" s="109"/>
      <c r="F177" s="58"/>
      <c r="G177" s="128" t="s">
        <v>432</v>
      </c>
      <c r="H177" s="129">
        <v>3.92</v>
      </c>
      <c r="I177" s="129">
        <v>4.94</v>
      </c>
      <c r="J177" s="130" t="b">
        <v>0</v>
      </c>
      <c r="K177" s="58"/>
      <c r="L177" s="131">
        <f t="shared" si="8"/>
        <v>1</v>
      </c>
      <c r="M177" s="130"/>
      <c r="N177" s="109"/>
      <c r="O177" s="109"/>
      <c r="P177" s="109"/>
      <c r="Q177" s="58"/>
      <c r="R177" s="126"/>
      <c r="S177" s="126"/>
      <c r="T177" s="132"/>
      <c r="U177" s="132"/>
      <c r="V177" s="132"/>
      <c r="W177" s="132"/>
      <c r="X177" s="132"/>
      <c r="Y177" s="132"/>
      <c r="Z177" s="132"/>
      <c r="AA177" s="133"/>
      <c r="AB177" s="133"/>
      <c r="AC177" s="133"/>
      <c r="AD177" s="133"/>
      <c r="AE177" s="133"/>
    </row>
    <row r="178">
      <c r="A178" s="1"/>
      <c r="B178" s="127" t="s">
        <v>31</v>
      </c>
      <c r="C178" s="127">
        <v>75313.0</v>
      </c>
      <c r="D178" s="108" t="s">
        <v>433</v>
      </c>
      <c r="E178" s="109"/>
      <c r="F178" s="58"/>
      <c r="G178" s="128" t="s">
        <v>434</v>
      </c>
      <c r="H178" s="129">
        <v>24.34</v>
      </c>
      <c r="I178" s="129">
        <v>27.51</v>
      </c>
      <c r="J178" s="130" t="b">
        <v>0</v>
      </c>
      <c r="K178" s="58"/>
      <c r="L178" s="131">
        <f t="shared" si="8"/>
        <v>1</v>
      </c>
      <c r="M178" s="130"/>
      <c r="N178" s="109"/>
      <c r="O178" s="109"/>
      <c r="P178" s="109"/>
      <c r="Q178" s="58"/>
      <c r="R178" s="126"/>
      <c r="S178" s="126"/>
      <c r="T178" s="132"/>
      <c r="U178" s="132"/>
      <c r="V178" s="132"/>
      <c r="W178" s="132"/>
      <c r="X178" s="132"/>
      <c r="Y178" s="132"/>
      <c r="Z178" s="132"/>
      <c r="AA178" s="133"/>
      <c r="AB178" s="133"/>
      <c r="AC178" s="133"/>
      <c r="AD178" s="133"/>
      <c r="AE178" s="133"/>
    </row>
    <row r="179">
      <c r="A179" s="1"/>
      <c r="B179" s="127" t="s">
        <v>31</v>
      </c>
      <c r="C179" s="127">
        <v>75313.0</v>
      </c>
      <c r="D179" s="108" t="s">
        <v>433</v>
      </c>
      <c r="E179" s="109"/>
      <c r="F179" s="58"/>
      <c r="G179" s="128" t="s">
        <v>435</v>
      </c>
      <c r="H179" s="129">
        <v>3.5</v>
      </c>
      <c r="I179" s="129">
        <v>4.21</v>
      </c>
      <c r="J179" s="130" t="b">
        <v>0</v>
      </c>
      <c r="K179" s="58"/>
      <c r="L179" s="131">
        <f t="shared" si="8"/>
        <v>1</v>
      </c>
      <c r="M179" s="130"/>
      <c r="N179" s="109"/>
      <c r="O179" s="109"/>
      <c r="P179" s="109"/>
      <c r="Q179" s="58"/>
      <c r="R179" s="126"/>
      <c r="S179" s="126"/>
      <c r="T179" s="132"/>
      <c r="U179" s="132"/>
      <c r="V179" s="132"/>
      <c r="W179" s="132"/>
      <c r="X179" s="132"/>
      <c r="Y179" s="132"/>
      <c r="Z179" s="132"/>
      <c r="AA179" s="133"/>
      <c r="AB179" s="133"/>
      <c r="AC179" s="133"/>
      <c r="AD179" s="133"/>
      <c r="AE179" s="133"/>
    </row>
    <row r="180">
      <c r="A180" s="1"/>
      <c r="B180" s="127" t="s">
        <v>31</v>
      </c>
      <c r="C180" s="127">
        <v>75313.0</v>
      </c>
      <c r="D180" s="108" t="s">
        <v>433</v>
      </c>
      <c r="E180" s="109"/>
      <c r="F180" s="58"/>
      <c r="G180" s="128" t="s">
        <v>436</v>
      </c>
      <c r="H180" s="129">
        <v>3.1</v>
      </c>
      <c r="I180" s="129">
        <v>3.87</v>
      </c>
      <c r="J180" s="130" t="b">
        <v>0</v>
      </c>
      <c r="K180" s="58"/>
      <c r="L180" s="131">
        <f t="shared" si="8"/>
        <v>1</v>
      </c>
      <c r="M180" s="130"/>
      <c r="N180" s="109"/>
      <c r="O180" s="109"/>
      <c r="P180" s="109"/>
      <c r="Q180" s="58"/>
      <c r="R180" s="126"/>
      <c r="S180" s="126"/>
      <c r="T180" s="132"/>
      <c r="U180" s="132"/>
      <c r="V180" s="132"/>
      <c r="W180" s="132"/>
      <c r="X180" s="132"/>
      <c r="Y180" s="132"/>
      <c r="Z180" s="132"/>
      <c r="AA180" s="133"/>
      <c r="AB180" s="133"/>
      <c r="AC180" s="133"/>
      <c r="AD180" s="133"/>
      <c r="AE180" s="133"/>
    </row>
    <row r="181">
      <c r="A181" s="1"/>
      <c r="B181" s="127" t="s">
        <v>31</v>
      </c>
      <c r="C181" s="127">
        <v>75313.0</v>
      </c>
      <c r="D181" s="108" t="s">
        <v>433</v>
      </c>
      <c r="E181" s="109"/>
      <c r="F181" s="58"/>
      <c r="G181" s="128" t="s">
        <v>437</v>
      </c>
      <c r="H181" s="129">
        <v>2.97</v>
      </c>
      <c r="I181" s="129">
        <v>3.65</v>
      </c>
      <c r="J181" s="130" t="b">
        <v>0</v>
      </c>
      <c r="K181" s="58"/>
      <c r="L181" s="131">
        <f t="shared" si="8"/>
        <v>1</v>
      </c>
      <c r="M181" s="130"/>
      <c r="N181" s="109"/>
      <c r="O181" s="109"/>
      <c r="P181" s="109"/>
      <c r="Q181" s="58"/>
      <c r="R181" s="126"/>
      <c r="S181" s="126"/>
      <c r="T181" s="132"/>
      <c r="U181" s="132"/>
      <c r="V181" s="132"/>
      <c r="W181" s="132"/>
      <c r="X181" s="132"/>
      <c r="Y181" s="132"/>
      <c r="Z181" s="132"/>
      <c r="AA181" s="133"/>
      <c r="AB181" s="133"/>
      <c r="AC181" s="133"/>
      <c r="AD181" s="133"/>
      <c r="AE181" s="133"/>
    </row>
    <row r="182">
      <c r="A182" s="1"/>
      <c r="B182" s="127" t="s">
        <v>31</v>
      </c>
      <c r="C182" s="127">
        <v>75313.0</v>
      </c>
      <c r="D182" s="108" t="s">
        <v>438</v>
      </c>
      <c r="E182" s="109"/>
      <c r="F182" s="58"/>
      <c r="G182" s="128" t="s">
        <v>439</v>
      </c>
      <c r="H182" s="129">
        <v>14.21</v>
      </c>
      <c r="I182" s="129">
        <v>15.62</v>
      </c>
      <c r="J182" s="130" t="b">
        <v>0</v>
      </c>
      <c r="K182" s="58"/>
      <c r="L182" s="131">
        <f t="shared" si="8"/>
        <v>1</v>
      </c>
      <c r="M182" s="130"/>
      <c r="N182" s="109"/>
      <c r="O182" s="109"/>
      <c r="P182" s="109"/>
      <c r="Q182" s="58"/>
      <c r="R182" s="126"/>
      <c r="S182" s="126"/>
      <c r="T182" s="132"/>
      <c r="U182" s="132"/>
      <c r="V182" s="132"/>
      <c r="W182" s="132"/>
      <c r="X182" s="132"/>
      <c r="Y182" s="132"/>
      <c r="Z182" s="132"/>
      <c r="AA182" s="133"/>
      <c r="AB182" s="133"/>
      <c r="AC182" s="133"/>
      <c r="AD182" s="133"/>
      <c r="AE182" s="133"/>
    </row>
    <row r="183">
      <c r="A183" s="1"/>
      <c r="B183" s="127" t="s">
        <v>31</v>
      </c>
      <c r="C183" s="127">
        <v>75331.0</v>
      </c>
      <c r="D183" s="108" t="s">
        <v>440</v>
      </c>
      <c r="E183" s="109"/>
      <c r="F183" s="58"/>
      <c r="G183" s="128" t="s">
        <v>441</v>
      </c>
      <c r="H183" s="129">
        <v>2.85</v>
      </c>
      <c r="I183" s="129">
        <v>3.48</v>
      </c>
      <c r="J183" s="130" t="b">
        <v>0</v>
      </c>
      <c r="K183" s="58"/>
      <c r="L183" s="131">
        <f t="shared" si="8"/>
        <v>2</v>
      </c>
      <c r="M183" s="130"/>
      <c r="N183" s="109"/>
      <c r="O183" s="109"/>
      <c r="P183" s="109"/>
      <c r="Q183" s="58"/>
      <c r="R183" s="126"/>
      <c r="S183" s="126"/>
      <c r="T183" s="132"/>
      <c r="U183" s="132"/>
      <c r="V183" s="132"/>
      <c r="W183" s="132"/>
      <c r="X183" s="132"/>
      <c r="Y183" s="132"/>
      <c r="Z183" s="132"/>
      <c r="AA183" s="133"/>
      <c r="AB183" s="133"/>
      <c r="AC183" s="133"/>
      <c r="AD183" s="133"/>
      <c r="AE183" s="133"/>
    </row>
    <row r="184">
      <c r="A184" s="1"/>
      <c r="B184" s="127" t="s">
        <v>31</v>
      </c>
      <c r="C184" s="127">
        <v>75331.0</v>
      </c>
      <c r="D184" s="108" t="s">
        <v>442</v>
      </c>
      <c r="E184" s="109"/>
      <c r="F184" s="58"/>
      <c r="G184" s="128" t="s">
        <v>443</v>
      </c>
      <c r="H184" s="129">
        <v>35.95</v>
      </c>
      <c r="I184" s="129">
        <v>36.76</v>
      </c>
      <c r="J184" s="130" t="b">
        <v>0</v>
      </c>
      <c r="K184" s="58"/>
      <c r="L184" s="131">
        <f t="shared" si="8"/>
        <v>1</v>
      </c>
      <c r="M184" s="108" t="s">
        <v>444</v>
      </c>
      <c r="N184" s="109"/>
      <c r="O184" s="109"/>
      <c r="P184" s="109"/>
      <c r="Q184" s="58"/>
      <c r="R184" s="126"/>
      <c r="S184" s="126"/>
      <c r="T184" s="132"/>
      <c r="U184" s="132"/>
      <c r="V184" s="132"/>
      <c r="W184" s="132"/>
      <c r="X184" s="132"/>
      <c r="Y184" s="132"/>
      <c r="Z184" s="132"/>
      <c r="AA184" s="133"/>
      <c r="AB184" s="133"/>
      <c r="AC184" s="133"/>
      <c r="AD184" s="133"/>
      <c r="AE184" s="133"/>
    </row>
    <row r="185">
      <c r="A185" s="1"/>
      <c r="B185" s="127" t="s">
        <v>31</v>
      </c>
      <c r="C185" s="127">
        <v>75331.0</v>
      </c>
      <c r="D185" s="108" t="s">
        <v>425</v>
      </c>
      <c r="E185" s="109"/>
      <c r="F185" s="58"/>
      <c r="G185" s="128" t="s">
        <v>445</v>
      </c>
      <c r="H185" s="129">
        <v>32.58</v>
      </c>
      <c r="I185" s="129">
        <v>36.57</v>
      </c>
      <c r="J185" s="130" t="b">
        <v>0</v>
      </c>
      <c r="K185" s="58"/>
      <c r="L185" s="131">
        <f t="shared" si="8"/>
        <v>1</v>
      </c>
      <c r="M185" s="130"/>
      <c r="N185" s="109"/>
      <c r="O185" s="109"/>
      <c r="P185" s="109"/>
      <c r="Q185" s="58"/>
      <c r="R185" s="126"/>
      <c r="S185" s="126"/>
      <c r="T185" s="132"/>
      <c r="U185" s="132"/>
      <c r="V185" s="132"/>
      <c r="W185" s="132"/>
      <c r="X185" s="132"/>
      <c r="Y185" s="132"/>
      <c r="Z185" s="132"/>
      <c r="AA185" s="133"/>
      <c r="AB185" s="133"/>
      <c r="AC185" s="133"/>
      <c r="AD185" s="133"/>
      <c r="AE185" s="133"/>
    </row>
    <row r="186">
      <c r="A186" s="1"/>
      <c r="B186" s="127" t="s">
        <v>31</v>
      </c>
      <c r="C186" s="127">
        <v>75331.0</v>
      </c>
      <c r="D186" s="108" t="s">
        <v>446</v>
      </c>
      <c r="E186" s="109"/>
      <c r="F186" s="58"/>
      <c r="G186" s="128" t="s">
        <v>447</v>
      </c>
      <c r="H186" s="129">
        <v>28.14</v>
      </c>
      <c r="I186" s="129">
        <v>28.25</v>
      </c>
      <c r="J186" s="130" t="b">
        <v>0</v>
      </c>
      <c r="K186" s="58"/>
      <c r="L186" s="131">
        <f t="shared" si="8"/>
        <v>1</v>
      </c>
      <c r="M186" s="130"/>
      <c r="N186" s="109"/>
      <c r="O186" s="109"/>
      <c r="P186" s="109"/>
      <c r="Q186" s="58"/>
      <c r="R186" s="126"/>
      <c r="S186" s="126"/>
      <c r="T186" s="132"/>
      <c r="U186" s="132"/>
      <c r="V186" s="132"/>
      <c r="W186" s="132"/>
      <c r="X186" s="132"/>
      <c r="Y186" s="132"/>
      <c r="Z186" s="132"/>
      <c r="AA186" s="133"/>
      <c r="AB186" s="133"/>
      <c r="AC186" s="133"/>
      <c r="AD186" s="133"/>
      <c r="AE186" s="133"/>
    </row>
    <row r="187">
      <c r="A187" s="1"/>
      <c r="B187" s="127" t="s">
        <v>31</v>
      </c>
      <c r="C187" s="127">
        <v>75333.0</v>
      </c>
      <c r="D187" s="108" t="s">
        <v>448</v>
      </c>
      <c r="E187" s="109"/>
      <c r="F187" s="58"/>
      <c r="G187" s="128" t="s">
        <v>449</v>
      </c>
      <c r="H187" s="129">
        <v>3.69</v>
      </c>
      <c r="I187" s="129">
        <v>4.8</v>
      </c>
      <c r="J187" s="130" t="b">
        <v>0</v>
      </c>
      <c r="K187" s="58"/>
      <c r="L187" s="131">
        <f t="shared" si="8"/>
        <v>1</v>
      </c>
      <c r="M187" s="130"/>
      <c r="N187" s="109"/>
      <c r="O187" s="109"/>
      <c r="P187" s="109"/>
      <c r="Q187" s="58"/>
      <c r="R187" s="126"/>
      <c r="S187" s="126"/>
      <c r="T187" s="132"/>
      <c r="U187" s="132"/>
      <c r="V187" s="132"/>
      <c r="W187" s="132"/>
      <c r="X187" s="132"/>
      <c r="Y187" s="132"/>
      <c r="Z187" s="132"/>
      <c r="AA187" s="133"/>
      <c r="AB187" s="133"/>
      <c r="AC187" s="133"/>
      <c r="AD187" s="133"/>
      <c r="AE187" s="133"/>
    </row>
    <row r="188">
      <c r="A188" s="1"/>
      <c r="B188" s="127" t="s">
        <v>31</v>
      </c>
      <c r="C188" s="127">
        <v>75333.0</v>
      </c>
      <c r="D188" s="108" t="s">
        <v>450</v>
      </c>
      <c r="E188" s="109"/>
      <c r="F188" s="58"/>
      <c r="G188" s="128" t="s">
        <v>451</v>
      </c>
      <c r="H188" s="129">
        <v>2.66</v>
      </c>
      <c r="I188" s="129">
        <v>3.28</v>
      </c>
      <c r="J188" s="130" t="b">
        <v>0</v>
      </c>
      <c r="K188" s="58"/>
      <c r="L188" s="131">
        <f t="shared" si="8"/>
        <v>1</v>
      </c>
      <c r="M188" s="130"/>
      <c r="N188" s="109"/>
      <c r="O188" s="109"/>
      <c r="P188" s="109"/>
      <c r="Q188" s="58"/>
      <c r="R188" s="126"/>
      <c r="S188" s="126"/>
      <c r="T188" s="132"/>
      <c r="U188" s="132"/>
      <c r="V188" s="132"/>
      <c r="W188" s="132"/>
      <c r="X188" s="132"/>
      <c r="Y188" s="132"/>
      <c r="Z188" s="132"/>
      <c r="AA188" s="133"/>
      <c r="AB188" s="133"/>
      <c r="AC188" s="133"/>
      <c r="AD188" s="133"/>
      <c r="AE188" s="133"/>
    </row>
    <row r="189">
      <c r="A189" s="1"/>
      <c r="B189" s="127" t="s">
        <v>31</v>
      </c>
      <c r="C189" s="127">
        <v>75333.0</v>
      </c>
      <c r="D189" s="108" t="s">
        <v>452</v>
      </c>
      <c r="E189" s="109"/>
      <c r="F189" s="58"/>
      <c r="G189" s="128" t="s">
        <v>453</v>
      </c>
      <c r="H189" s="129">
        <v>6.25</v>
      </c>
      <c r="I189" s="129">
        <v>7.6</v>
      </c>
      <c r="J189" s="130" t="b">
        <v>0</v>
      </c>
      <c r="K189" s="58"/>
      <c r="L189" s="131">
        <f t="shared" si="8"/>
        <v>1</v>
      </c>
      <c r="M189" s="130"/>
      <c r="N189" s="109"/>
      <c r="O189" s="109"/>
      <c r="P189" s="109"/>
      <c r="Q189" s="58"/>
      <c r="R189" s="126"/>
      <c r="S189" s="126"/>
      <c r="T189" s="132"/>
      <c r="U189" s="132"/>
      <c r="V189" s="132"/>
      <c r="W189" s="132"/>
      <c r="X189" s="132"/>
      <c r="Y189" s="132"/>
      <c r="Z189" s="132"/>
      <c r="AA189" s="133"/>
      <c r="AB189" s="133"/>
      <c r="AC189" s="133"/>
      <c r="AD189" s="133"/>
      <c r="AE189" s="133"/>
    </row>
    <row r="190">
      <c r="A190" s="1"/>
      <c r="B190" s="127" t="s">
        <v>31</v>
      </c>
      <c r="C190" s="127">
        <v>75335.0</v>
      </c>
      <c r="D190" s="108" t="s">
        <v>86</v>
      </c>
      <c r="E190" s="109"/>
      <c r="F190" s="58"/>
      <c r="G190" s="128" t="s">
        <v>454</v>
      </c>
      <c r="H190" s="129">
        <v>29.18</v>
      </c>
      <c r="I190" s="129">
        <v>32.41</v>
      </c>
      <c r="J190" s="130" t="b">
        <v>0</v>
      </c>
      <c r="K190" s="58"/>
      <c r="L190" s="131">
        <f t="shared" si="8"/>
        <v>1</v>
      </c>
      <c r="M190" s="130"/>
      <c r="N190" s="109"/>
      <c r="O190" s="109"/>
      <c r="P190" s="109"/>
      <c r="Q190" s="58"/>
      <c r="R190" s="126"/>
      <c r="S190" s="126"/>
      <c r="T190" s="132"/>
      <c r="U190" s="132"/>
      <c r="V190" s="132"/>
      <c r="W190" s="132"/>
      <c r="X190" s="132"/>
      <c r="Y190" s="132"/>
      <c r="Z190" s="132"/>
      <c r="AA190" s="133"/>
      <c r="AB190" s="133"/>
      <c r="AC190" s="133"/>
      <c r="AD190" s="133"/>
      <c r="AE190" s="133"/>
    </row>
    <row r="191">
      <c r="A191" s="1"/>
      <c r="B191" s="127" t="s">
        <v>31</v>
      </c>
      <c r="C191" s="127">
        <v>75336.0</v>
      </c>
      <c r="D191" s="108" t="s">
        <v>455</v>
      </c>
      <c r="E191" s="109"/>
      <c r="F191" s="58"/>
      <c r="G191" s="128" t="s">
        <v>456</v>
      </c>
      <c r="H191" s="129">
        <v>7.9</v>
      </c>
      <c r="I191" s="129">
        <v>9.88</v>
      </c>
      <c r="J191" s="130" t="b">
        <v>0</v>
      </c>
      <c r="K191" s="58"/>
      <c r="L191" s="131">
        <f t="shared" si="8"/>
        <v>1</v>
      </c>
      <c r="M191" s="130"/>
      <c r="N191" s="109"/>
      <c r="O191" s="109"/>
      <c r="P191" s="109"/>
      <c r="Q191" s="58"/>
      <c r="R191" s="126"/>
      <c r="S191" s="126"/>
      <c r="T191" s="132"/>
      <c r="U191" s="132"/>
      <c r="V191" s="132"/>
      <c r="W191" s="132"/>
      <c r="X191" s="132"/>
      <c r="Y191" s="132"/>
      <c r="Z191" s="132"/>
      <c r="AA191" s="133"/>
      <c r="AB191" s="133"/>
      <c r="AC191" s="133"/>
      <c r="AD191" s="133"/>
      <c r="AE191" s="133"/>
    </row>
    <row r="192">
      <c r="A192" s="1"/>
      <c r="B192" s="127" t="s">
        <v>31</v>
      </c>
      <c r="C192" s="127">
        <v>75336.0</v>
      </c>
      <c r="D192" s="108" t="s">
        <v>457</v>
      </c>
      <c r="E192" s="109"/>
      <c r="F192" s="58"/>
      <c r="G192" s="128" t="s">
        <v>458</v>
      </c>
      <c r="H192" s="129">
        <v>14.47</v>
      </c>
      <c r="I192" s="129">
        <v>17.14</v>
      </c>
      <c r="J192" s="130" t="b">
        <v>0</v>
      </c>
      <c r="K192" s="58"/>
      <c r="L192" s="131">
        <f t="shared" si="8"/>
        <v>1</v>
      </c>
      <c r="M192" s="130"/>
      <c r="N192" s="109"/>
      <c r="O192" s="109"/>
      <c r="P192" s="109"/>
      <c r="Q192" s="58"/>
      <c r="R192" s="126"/>
      <c r="S192" s="126"/>
      <c r="T192" s="132"/>
      <c r="U192" s="132"/>
      <c r="V192" s="132"/>
      <c r="W192" s="132"/>
      <c r="X192" s="132"/>
      <c r="Y192" s="132"/>
      <c r="Z192" s="132"/>
      <c r="AA192" s="133"/>
      <c r="AB192" s="133"/>
      <c r="AC192" s="133"/>
      <c r="AD192" s="133"/>
      <c r="AE192" s="133"/>
    </row>
    <row r="193">
      <c r="A193" s="1"/>
      <c r="B193" s="127" t="s">
        <v>31</v>
      </c>
      <c r="C193" s="127">
        <v>75336.0</v>
      </c>
      <c r="D193" s="108" t="s">
        <v>459</v>
      </c>
      <c r="E193" s="109"/>
      <c r="F193" s="58"/>
      <c r="G193" s="128" t="s">
        <v>460</v>
      </c>
      <c r="H193" s="129">
        <v>17.6</v>
      </c>
      <c r="I193" s="129">
        <v>21.16</v>
      </c>
      <c r="J193" s="130" t="b">
        <v>0</v>
      </c>
      <c r="K193" s="58"/>
      <c r="L193" s="131">
        <f t="shared" si="8"/>
        <v>1</v>
      </c>
      <c r="M193" s="130"/>
      <c r="N193" s="109"/>
      <c r="O193" s="109"/>
      <c r="P193" s="109"/>
      <c r="Q193" s="58"/>
      <c r="R193" s="126"/>
      <c r="S193" s="126"/>
      <c r="T193" s="132"/>
      <c r="U193" s="132"/>
      <c r="V193" s="132"/>
      <c r="W193" s="132"/>
      <c r="X193" s="132"/>
      <c r="Y193" s="132"/>
      <c r="Z193" s="132"/>
      <c r="AA193" s="133"/>
      <c r="AB193" s="133"/>
      <c r="AC193" s="133"/>
      <c r="AD193" s="133"/>
      <c r="AE193" s="133"/>
    </row>
    <row r="194">
      <c r="A194" s="1"/>
      <c r="B194" s="127" t="s">
        <v>31</v>
      </c>
      <c r="C194" s="127">
        <v>75336.0</v>
      </c>
      <c r="D194" s="108" t="s">
        <v>461</v>
      </c>
      <c r="E194" s="109"/>
      <c r="F194" s="58"/>
      <c r="G194" s="128" t="s">
        <v>462</v>
      </c>
      <c r="H194" s="129">
        <v>9.03</v>
      </c>
      <c r="I194" s="129">
        <v>11.04</v>
      </c>
      <c r="J194" s="130" t="b">
        <v>0</v>
      </c>
      <c r="K194" s="58"/>
      <c r="L194" s="131">
        <f t="shared" si="8"/>
        <v>1</v>
      </c>
      <c r="M194" s="130"/>
      <c r="N194" s="109"/>
      <c r="O194" s="109"/>
      <c r="P194" s="109"/>
      <c r="Q194" s="58"/>
      <c r="R194" s="126"/>
      <c r="S194" s="126"/>
      <c r="T194" s="132"/>
      <c r="U194" s="132"/>
      <c r="V194" s="132"/>
      <c r="W194" s="132"/>
      <c r="X194" s="132"/>
      <c r="Y194" s="132"/>
      <c r="Z194" s="132"/>
      <c r="AA194" s="133"/>
      <c r="AB194" s="133"/>
      <c r="AC194" s="133"/>
      <c r="AD194" s="133"/>
      <c r="AE194" s="133"/>
    </row>
    <row r="195">
      <c r="A195" s="1"/>
      <c r="B195" s="127" t="s">
        <v>31</v>
      </c>
      <c r="C195" s="127">
        <v>75337.0</v>
      </c>
      <c r="D195" s="108" t="s">
        <v>463</v>
      </c>
      <c r="E195" s="109"/>
      <c r="F195" s="58"/>
      <c r="G195" s="128" t="s">
        <v>464</v>
      </c>
      <c r="H195" s="129">
        <v>9.66</v>
      </c>
      <c r="I195" s="129">
        <v>11.7</v>
      </c>
      <c r="J195" s="130" t="b">
        <v>0</v>
      </c>
      <c r="K195" s="58"/>
      <c r="L195" s="131">
        <f t="shared" si="8"/>
        <v>1</v>
      </c>
      <c r="M195" s="130"/>
      <c r="N195" s="109"/>
      <c r="O195" s="109"/>
      <c r="P195" s="109"/>
      <c r="Q195" s="58"/>
      <c r="R195" s="126"/>
      <c r="S195" s="126"/>
      <c r="T195" s="132"/>
      <c r="U195" s="132"/>
      <c r="V195" s="132"/>
      <c r="W195" s="132"/>
      <c r="X195" s="132"/>
      <c r="Y195" s="132"/>
      <c r="Z195" s="132"/>
      <c r="AA195" s="133"/>
      <c r="AB195" s="133"/>
      <c r="AC195" s="133"/>
      <c r="AD195" s="133"/>
      <c r="AE195" s="133"/>
    </row>
    <row r="196">
      <c r="A196" s="1"/>
      <c r="B196" s="127" t="s">
        <v>31</v>
      </c>
      <c r="C196" s="127">
        <v>75337.0</v>
      </c>
      <c r="D196" s="108" t="s">
        <v>465</v>
      </c>
      <c r="E196" s="109"/>
      <c r="F196" s="58"/>
      <c r="G196" s="128" t="s">
        <v>466</v>
      </c>
      <c r="H196" s="129">
        <v>7.2</v>
      </c>
      <c r="I196" s="129">
        <v>8.03</v>
      </c>
      <c r="J196" s="130" t="b">
        <v>0</v>
      </c>
      <c r="K196" s="58"/>
      <c r="L196" s="131">
        <f t="shared" si="8"/>
        <v>3</v>
      </c>
      <c r="M196" s="130"/>
      <c r="N196" s="109"/>
      <c r="O196" s="109"/>
      <c r="P196" s="109"/>
      <c r="Q196" s="58"/>
      <c r="R196" s="126"/>
      <c r="S196" s="126"/>
      <c r="T196" s="132"/>
      <c r="U196" s="132"/>
      <c r="V196" s="132"/>
      <c r="W196" s="132"/>
      <c r="X196" s="132"/>
      <c r="Y196" s="132"/>
      <c r="Z196" s="132"/>
      <c r="AA196" s="133"/>
      <c r="AB196" s="133"/>
      <c r="AC196" s="133"/>
      <c r="AD196" s="133"/>
      <c r="AE196" s="133"/>
    </row>
    <row r="197">
      <c r="A197" s="1"/>
      <c r="B197" s="127" t="s">
        <v>31</v>
      </c>
      <c r="C197" s="127">
        <v>75337.0</v>
      </c>
      <c r="D197" s="108" t="s">
        <v>465</v>
      </c>
      <c r="E197" s="109"/>
      <c r="F197" s="58"/>
      <c r="G197" s="128" t="s">
        <v>466</v>
      </c>
      <c r="H197" s="129">
        <v>7.2</v>
      </c>
      <c r="I197" s="129">
        <v>8.03</v>
      </c>
      <c r="J197" s="130" t="b">
        <v>0</v>
      </c>
      <c r="K197" s="58"/>
      <c r="L197" s="131">
        <f t="shared" si="8"/>
        <v>3</v>
      </c>
      <c r="M197" s="130"/>
      <c r="N197" s="109"/>
      <c r="O197" s="109"/>
      <c r="P197" s="109"/>
      <c r="Q197" s="58"/>
      <c r="R197" s="126"/>
      <c r="S197" s="126"/>
      <c r="T197" s="132"/>
      <c r="U197" s="132"/>
      <c r="V197" s="132"/>
      <c r="W197" s="132"/>
      <c r="X197" s="132"/>
      <c r="Y197" s="132"/>
      <c r="Z197" s="132"/>
      <c r="AA197" s="133"/>
      <c r="AB197" s="133"/>
      <c r="AC197" s="133"/>
      <c r="AD197" s="133"/>
      <c r="AE197" s="133"/>
    </row>
    <row r="198">
      <c r="A198" s="1"/>
      <c r="B198" s="127" t="s">
        <v>31</v>
      </c>
      <c r="C198" s="127">
        <v>75337.0</v>
      </c>
      <c r="D198" s="108" t="s">
        <v>465</v>
      </c>
      <c r="E198" s="109"/>
      <c r="F198" s="58"/>
      <c r="G198" s="128" t="s">
        <v>466</v>
      </c>
      <c r="H198" s="129">
        <v>7.2</v>
      </c>
      <c r="I198" s="129">
        <v>8.03</v>
      </c>
      <c r="J198" s="130" t="b">
        <v>0</v>
      </c>
      <c r="K198" s="58"/>
      <c r="L198" s="131">
        <f t="shared" si="8"/>
        <v>3</v>
      </c>
      <c r="M198" s="130"/>
      <c r="N198" s="109"/>
      <c r="O198" s="109"/>
      <c r="P198" s="109"/>
      <c r="Q198" s="58"/>
      <c r="R198" s="126"/>
      <c r="S198" s="126"/>
      <c r="T198" s="132"/>
      <c r="U198" s="132"/>
      <c r="V198" s="132"/>
      <c r="W198" s="132"/>
      <c r="X198" s="132"/>
      <c r="Y198" s="132"/>
      <c r="Z198" s="132"/>
      <c r="AA198" s="133"/>
      <c r="AB198" s="133"/>
      <c r="AC198" s="133"/>
      <c r="AD198" s="133"/>
      <c r="AE198" s="133"/>
    </row>
    <row r="199">
      <c r="A199" s="1"/>
      <c r="B199" s="127" t="s">
        <v>31</v>
      </c>
      <c r="C199" s="127">
        <v>75337.0</v>
      </c>
      <c r="D199" s="108" t="s">
        <v>363</v>
      </c>
      <c r="E199" s="109"/>
      <c r="F199" s="58"/>
      <c r="G199" s="128" t="s">
        <v>364</v>
      </c>
      <c r="H199" s="129">
        <v>1.42</v>
      </c>
      <c r="I199" s="129">
        <v>1.67</v>
      </c>
      <c r="J199" s="130" t="b">
        <v>0</v>
      </c>
      <c r="K199" s="58"/>
      <c r="L199" s="131">
        <f t="shared" si="8"/>
        <v>15</v>
      </c>
      <c r="M199" s="130"/>
      <c r="N199" s="109"/>
      <c r="O199" s="109"/>
      <c r="P199" s="109"/>
      <c r="Q199" s="58"/>
      <c r="R199" s="126"/>
      <c r="S199" s="126"/>
      <c r="T199" s="132"/>
      <c r="U199" s="132"/>
      <c r="V199" s="132"/>
      <c r="W199" s="132"/>
      <c r="X199" s="132"/>
      <c r="Y199" s="132"/>
      <c r="Z199" s="132"/>
      <c r="AA199" s="133"/>
      <c r="AB199" s="133"/>
      <c r="AC199" s="133"/>
      <c r="AD199" s="133"/>
      <c r="AE199" s="133"/>
    </row>
    <row r="200">
      <c r="A200" s="16"/>
      <c r="B200" s="127" t="s">
        <v>31</v>
      </c>
      <c r="C200" s="127">
        <v>75337.0</v>
      </c>
      <c r="D200" s="108" t="s">
        <v>363</v>
      </c>
      <c r="E200" s="109"/>
      <c r="F200" s="58"/>
      <c r="G200" s="128" t="s">
        <v>364</v>
      </c>
      <c r="H200" s="129">
        <v>1.42</v>
      </c>
      <c r="I200" s="129">
        <v>1.67</v>
      </c>
      <c r="J200" s="130" t="b">
        <v>0</v>
      </c>
      <c r="K200" s="58"/>
      <c r="L200" s="131">
        <f t="shared" si="8"/>
        <v>15</v>
      </c>
      <c r="M200" s="130"/>
      <c r="N200" s="109"/>
      <c r="O200" s="109"/>
      <c r="P200" s="109"/>
      <c r="Q200" s="58"/>
      <c r="R200" s="126"/>
      <c r="S200" s="126"/>
      <c r="T200" s="80"/>
      <c r="U200" s="80"/>
      <c r="V200" s="80"/>
      <c r="W200" s="80"/>
      <c r="X200" s="80"/>
      <c r="Y200" s="80"/>
      <c r="Z200" s="80"/>
      <c r="AA200" s="81"/>
      <c r="AB200" s="81"/>
      <c r="AC200" s="81"/>
      <c r="AD200" s="81"/>
      <c r="AE200" s="81"/>
    </row>
    <row r="201">
      <c r="A201" s="16"/>
      <c r="B201" s="127" t="s">
        <v>31</v>
      </c>
      <c r="C201" s="127">
        <v>75337.0</v>
      </c>
      <c r="D201" s="108" t="s">
        <v>363</v>
      </c>
      <c r="E201" s="109"/>
      <c r="F201" s="58"/>
      <c r="G201" s="128" t="s">
        <v>364</v>
      </c>
      <c r="H201" s="129">
        <v>1.42</v>
      </c>
      <c r="I201" s="129">
        <v>1.67</v>
      </c>
      <c r="J201" s="130" t="b">
        <v>0</v>
      </c>
      <c r="K201" s="58"/>
      <c r="L201" s="131">
        <f t="shared" si="8"/>
        <v>15</v>
      </c>
      <c r="M201" s="130"/>
      <c r="N201" s="109"/>
      <c r="O201" s="109"/>
      <c r="P201" s="109"/>
      <c r="Q201" s="58"/>
      <c r="R201" s="126"/>
      <c r="S201" s="126"/>
      <c r="T201" s="80"/>
      <c r="U201" s="80"/>
      <c r="V201" s="80"/>
      <c r="W201" s="80"/>
      <c r="X201" s="80"/>
      <c r="Y201" s="80"/>
      <c r="Z201" s="80"/>
      <c r="AA201" s="81"/>
      <c r="AB201" s="81"/>
      <c r="AC201" s="81"/>
      <c r="AD201" s="81"/>
      <c r="AE201" s="81"/>
    </row>
    <row r="202">
      <c r="A202" s="16"/>
      <c r="B202" s="127" t="s">
        <v>31</v>
      </c>
      <c r="C202" s="127">
        <v>75337.0</v>
      </c>
      <c r="D202" s="108" t="s">
        <v>467</v>
      </c>
      <c r="E202" s="109"/>
      <c r="F202" s="58"/>
      <c r="G202" s="128" t="s">
        <v>468</v>
      </c>
      <c r="H202" s="129">
        <v>19.29</v>
      </c>
      <c r="I202" s="129">
        <v>20.65</v>
      </c>
      <c r="J202" s="130" t="b">
        <v>0</v>
      </c>
      <c r="K202" s="58"/>
      <c r="L202" s="131">
        <f t="shared" si="8"/>
        <v>1</v>
      </c>
      <c r="M202" s="130"/>
      <c r="N202" s="109"/>
      <c r="O202" s="109"/>
      <c r="P202" s="109"/>
      <c r="Q202" s="58"/>
      <c r="R202" s="126"/>
      <c r="S202" s="126"/>
      <c r="T202" s="80"/>
      <c r="U202" s="80"/>
      <c r="V202" s="80"/>
      <c r="W202" s="80"/>
      <c r="X202" s="80"/>
      <c r="Y202" s="80"/>
      <c r="Z202" s="80"/>
      <c r="AA202" s="81"/>
      <c r="AB202" s="81"/>
      <c r="AC202" s="81"/>
      <c r="AD202" s="81"/>
      <c r="AE202" s="81"/>
    </row>
    <row r="203">
      <c r="A203" s="16"/>
      <c r="B203" s="127" t="s">
        <v>31</v>
      </c>
      <c r="C203" s="127">
        <v>75337.0</v>
      </c>
      <c r="D203" s="108" t="s">
        <v>469</v>
      </c>
      <c r="E203" s="109"/>
      <c r="F203" s="58"/>
      <c r="G203" s="128" t="s">
        <v>470</v>
      </c>
      <c r="H203" s="129">
        <v>4.08</v>
      </c>
      <c r="I203" s="129">
        <v>4.8</v>
      </c>
      <c r="J203" s="130" t="b">
        <v>0</v>
      </c>
      <c r="K203" s="58"/>
      <c r="L203" s="131">
        <f t="shared" si="8"/>
        <v>1</v>
      </c>
      <c r="M203" s="130"/>
      <c r="N203" s="109"/>
      <c r="O203" s="109"/>
      <c r="P203" s="109"/>
      <c r="Q203" s="58"/>
      <c r="R203" s="126"/>
      <c r="S203" s="126"/>
      <c r="T203" s="80"/>
      <c r="U203" s="80"/>
      <c r="V203" s="80"/>
      <c r="W203" s="80"/>
      <c r="X203" s="80"/>
      <c r="Y203" s="80"/>
      <c r="Z203" s="80"/>
      <c r="AA203" s="81"/>
      <c r="AB203" s="81"/>
      <c r="AC203" s="81"/>
      <c r="AD203" s="81"/>
      <c r="AE203" s="81"/>
    </row>
    <row r="204">
      <c r="A204" s="16"/>
      <c r="B204" s="127" t="s">
        <v>31</v>
      </c>
      <c r="C204" s="127">
        <v>75355.0</v>
      </c>
      <c r="D204" s="108" t="s">
        <v>471</v>
      </c>
      <c r="E204" s="109"/>
      <c r="F204" s="58"/>
      <c r="G204" s="128" t="s">
        <v>472</v>
      </c>
      <c r="H204" s="129">
        <v>3.55</v>
      </c>
      <c r="I204" s="129">
        <v>4.15</v>
      </c>
      <c r="J204" s="130" t="b">
        <v>0</v>
      </c>
      <c r="K204" s="58"/>
      <c r="L204" s="131">
        <f t="shared" si="8"/>
        <v>5</v>
      </c>
      <c r="M204" s="130"/>
      <c r="N204" s="109"/>
      <c r="O204" s="109"/>
      <c r="P204" s="109"/>
      <c r="Q204" s="58"/>
      <c r="R204" s="126"/>
      <c r="S204" s="126"/>
      <c r="T204" s="80"/>
      <c r="U204" s="80"/>
      <c r="V204" s="80"/>
      <c r="W204" s="80"/>
      <c r="X204" s="80"/>
      <c r="Y204" s="80"/>
      <c r="Z204" s="80"/>
      <c r="AA204" s="81"/>
      <c r="AB204" s="81"/>
      <c r="AC204" s="81"/>
      <c r="AD204" s="81"/>
      <c r="AE204" s="81"/>
    </row>
    <row r="205">
      <c r="A205" s="16"/>
      <c r="B205" s="127" t="s">
        <v>31</v>
      </c>
      <c r="C205" s="127">
        <v>75355.0</v>
      </c>
      <c r="D205" s="108" t="s">
        <v>412</v>
      </c>
      <c r="E205" s="109"/>
      <c r="F205" s="58"/>
      <c r="G205" s="128" t="s">
        <v>473</v>
      </c>
      <c r="H205" s="129">
        <v>15.8</v>
      </c>
      <c r="I205" s="129">
        <v>19.32</v>
      </c>
      <c r="J205" s="108" t="b">
        <v>0</v>
      </c>
      <c r="K205" s="58"/>
      <c r="L205" s="131">
        <f t="shared" si="8"/>
        <v>1</v>
      </c>
      <c r="M205" s="130"/>
      <c r="N205" s="109"/>
      <c r="O205" s="109"/>
      <c r="P205" s="109"/>
      <c r="Q205" s="58"/>
      <c r="R205" s="126"/>
      <c r="S205" s="126"/>
      <c r="T205" s="80"/>
      <c r="U205" s="80"/>
      <c r="V205" s="80"/>
      <c r="W205" s="80"/>
      <c r="X205" s="80"/>
      <c r="Y205" s="80"/>
      <c r="Z205" s="80"/>
      <c r="AA205" s="81"/>
      <c r="AB205" s="81"/>
      <c r="AC205" s="81"/>
      <c r="AD205" s="81"/>
      <c r="AE205" s="81"/>
    </row>
    <row r="206">
      <c r="A206" s="16"/>
      <c r="B206" s="127" t="s">
        <v>31</v>
      </c>
      <c r="C206" s="127">
        <v>75360.0</v>
      </c>
      <c r="D206" s="108" t="s">
        <v>474</v>
      </c>
      <c r="E206" s="109"/>
      <c r="F206" s="58"/>
      <c r="G206" s="128" t="s">
        <v>472</v>
      </c>
      <c r="H206" s="129">
        <v>3.25</v>
      </c>
      <c r="I206" s="129">
        <v>4.0</v>
      </c>
      <c r="J206" s="130" t="b">
        <v>0</v>
      </c>
      <c r="K206" s="58"/>
      <c r="L206" s="131">
        <f t="shared" si="8"/>
        <v>5</v>
      </c>
      <c r="M206" s="130"/>
      <c r="N206" s="109"/>
      <c r="O206" s="109"/>
      <c r="P206" s="109"/>
      <c r="Q206" s="58"/>
      <c r="R206" s="126"/>
      <c r="S206" s="126"/>
      <c r="T206" s="80"/>
      <c r="U206" s="80"/>
      <c r="V206" s="80"/>
      <c r="W206" s="80"/>
      <c r="X206" s="80"/>
      <c r="Y206" s="80"/>
      <c r="Z206" s="80"/>
      <c r="AA206" s="81"/>
      <c r="AB206" s="81"/>
      <c r="AC206" s="81"/>
      <c r="AD206" s="81"/>
      <c r="AE206" s="81"/>
    </row>
    <row r="207">
      <c r="A207" s="16"/>
      <c r="B207" s="127" t="s">
        <v>31</v>
      </c>
      <c r="C207" s="127">
        <v>75360.0</v>
      </c>
      <c r="D207" s="108" t="s">
        <v>475</v>
      </c>
      <c r="E207" s="109"/>
      <c r="F207" s="58"/>
      <c r="G207" s="128" t="s">
        <v>476</v>
      </c>
      <c r="H207" s="129">
        <v>5.96</v>
      </c>
      <c r="I207" s="129">
        <v>6.3</v>
      </c>
      <c r="J207" s="130" t="b">
        <v>0</v>
      </c>
      <c r="K207" s="58"/>
      <c r="L207" s="131">
        <f t="shared" si="8"/>
        <v>1</v>
      </c>
      <c r="M207" s="130"/>
      <c r="N207" s="109"/>
      <c r="O207" s="109"/>
      <c r="P207" s="109"/>
      <c r="Q207" s="58"/>
      <c r="R207" s="126"/>
      <c r="S207" s="126"/>
      <c r="T207" s="80"/>
      <c r="U207" s="80"/>
      <c r="V207" s="80"/>
      <c r="W207" s="80"/>
      <c r="X207" s="80"/>
      <c r="Y207" s="80"/>
      <c r="Z207" s="80"/>
      <c r="AA207" s="81"/>
      <c r="AB207" s="81"/>
      <c r="AC207" s="81"/>
      <c r="AD207" s="81"/>
      <c r="AE207" s="81"/>
    </row>
    <row r="208">
      <c r="A208" s="16"/>
      <c r="B208" s="127" t="s">
        <v>31</v>
      </c>
      <c r="C208" s="127">
        <v>75362.0</v>
      </c>
      <c r="D208" s="108" t="s">
        <v>477</v>
      </c>
      <c r="E208" s="109"/>
      <c r="F208" s="58"/>
      <c r="G208" s="128" t="s">
        <v>478</v>
      </c>
      <c r="H208" s="129">
        <v>6.8</v>
      </c>
      <c r="I208" s="129">
        <v>7.71</v>
      </c>
      <c r="J208" s="130" t="b">
        <v>0</v>
      </c>
      <c r="K208" s="58"/>
      <c r="L208" s="131">
        <f t="shared" si="8"/>
        <v>1</v>
      </c>
      <c r="M208" s="130"/>
      <c r="N208" s="109"/>
      <c r="O208" s="109"/>
      <c r="P208" s="109"/>
      <c r="Q208" s="58"/>
      <c r="R208" s="126"/>
      <c r="S208" s="126"/>
      <c r="T208" s="80"/>
      <c r="U208" s="80"/>
      <c r="V208" s="80"/>
      <c r="W208" s="80"/>
      <c r="X208" s="80"/>
      <c r="Y208" s="80"/>
      <c r="Z208" s="80"/>
      <c r="AA208" s="81"/>
      <c r="AB208" s="81"/>
      <c r="AC208" s="81"/>
      <c r="AD208" s="81"/>
      <c r="AE208" s="81"/>
    </row>
    <row r="209">
      <c r="A209" s="16"/>
      <c r="B209" s="127" t="s">
        <v>31</v>
      </c>
      <c r="C209" s="127">
        <v>75362.0</v>
      </c>
      <c r="D209" s="108" t="s">
        <v>479</v>
      </c>
      <c r="E209" s="109"/>
      <c r="F209" s="58"/>
      <c r="G209" s="128" t="s">
        <v>480</v>
      </c>
      <c r="H209" s="129">
        <v>10.54</v>
      </c>
      <c r="I209" s="129">
        <v>10.68</v>
      </c>
      <c r="J209" s="130" t="b">
        <v>0</v>
      </c>
      <c r="K209" s="58"/>
      <c r="L209" s="131">
        <f t="shared" si="8"/>
        <v>1</v>
      </c>
      <c r="M209" s="130"/>
      <c r="N209" s="109"/>
      <c r="O209" s="109"/>
      <c r="P209" s="109"/>
      <c r="Q209" s="58"/>
      <c r="R209" s="126"/>
      <c r="S209" s="126"/>
      <c r="T209" s="80"/>
      <c r="U209" s="80"/>
      <c r="V209" s="80"/>
      <c r="W209" s="80"/>
      <c r="X209" s="80"/>
      <c r="Y209" s="80"/>
      <c r="Z209" s="80"/>
      <c r="AA209" s="81"/>
      <c r="AB209" s="81"/>
      <c r="AC209" s="81"/>
      <c r="AD209" s="81"/>
      <c r="AE209" s="81"/>
    </row>
    <row r="210">
      <c r="A210" s="16"/>
      <c r="B210" s="127" t="s">
        <v>31</v>
      </c>
      <c r="C210" s="127">
        <v>75362.0</v>
      </c>
      <c r="D210" s="108" t="s">
        <v>481</v>
      </c>
      <c r="E210" s="109"/>
      <c r="F210" s="58"/>
      <c r="G210" s="128" t="s">
        <v>482</v>
      </c>
      <c r="H210" s="129">
        <v>6.66</v>
      </c>
      <c r="I210" s="129">
        <v>6.61</v>
      </c>
      <c r="J210" s="130" t="b">
        <v>0</v>
      </c>
      <c r="K210" s="58"/>
      <c r="L210" s="131">
        <f t="shared" si="8"/>
        <v>1</v>
      </c>
      <c r="M210" s="130"/>
      <c r="N210" s="109"/>
      <c r="O210" s="109"/>
      <c r="P210" s="109"/>
      <c r="Q210" s="58"/>
      <c r="R210" s="126"/>
      <c r="S210" s="126"/>
      <c r="T210" s="80"/>
      <c r="U210" s="80"/>
      <c r="V210" s="80"/>
      <c r="W210" s="80"/>
      <c r="X210" s="80"/>
      <c r="Y210" s="80"/>
      <c r="Z210" s="80"/>
      <c r="AA210" s="81"/>
      <c r="AB210" s="81"/>
      <c r="AC210" s="81"/>
      <c r="AD210" s="81"/>
      <c r="AE210" s="81"/>
    </row>
    <row r="211">
      <c r="A211" s="16"/>
      <c r="B211" s="127" t="s">
        <v>31</v>
      </c>
      <c r="C211" s="127">
        <v>75362.0</v>
      </c>
      <c r="D211" s="108" t="s">
        <v>483</v>
      </c>
      <c r="E211" s="109"/>
      <c r="F211" s="58"/>
      <c r="G211" s="128" t="s">
        <v>484</v>
      </c>
      <c r="H211" s="129">
        <v>8.56</v>
      </c>
      <c r="I211" s="129">
        <v>8.28</v>
      </c>
      <c r="J211" s="130" t="b">
        <v>0</v>
      </c>
      <c r="K211" s="58"/>
      <c r="L211" s="131">
        <f t="shared" si="8"/>
        <v>1</v>
      </c>
      <c r="M211" s="130"/>
      <c r="N211" s="109"/>
      <c r="O211" s="109"/>
      <c r="P211" s="109"/>
      <c r="Q211" s="58"/>
      <c r="R211" s="126"/>
      <c r="S211" s="126"/>
      <c r="T211" s="80"/>
      <c r="U211" s="80"/>
      <c r="V211" s="80"/>
      <c r="W211" s="80"/>
      <c r="X211" s="80"/>
      <c r="Y211" s="80"/>
      <c r="Z211" s="80"/>
      <c r="AA211" s="81"/>
      <c r="AB211" s="81"/>
      <c r="AC211" s="81"/>
      <c r="AD211" s="81"/>
      <c r="AE211" s="81"/>
    </row>
    <row r="212">
      <c r="A212" s="16"/>
      <c r="B212" s="127" t="s">
        <v>31</v>
      </c>
      <c r="C212" s="127">
        <v>75365.0</v>
      </c>
      <c r="D212" s="108" t="s">
        <v>485</v>
      </c>
      <c r="E212" s="109"/>
      <c r="F212" s="58"/>
      <c r="G212" s="128" t="s">
        <v>486</v>
      </c>
      <c r="H212" s="129">
        <v>6.67</v>
      </c>
      <c r="I212" s="129">
        <v>7.14</v>
      </c>
      <c r="J212" s="130" t="b">
        <v>0</v>
      </c>
      <c r="K212" s="58"/>
      <c r="L212" s="131">
        <f t="shared" si="8"/>
        <v>1</v>
      </c>
      <c r="M212" s="130"/>
      <c r="N212" s="109"/>
      <c r="O212" s="109"/>
      <c r="P212" s="109"/>
      <c r="Q212" s="58"/>
      <c r="R212" s="126"/>
      <c r="S212" s="126"/>
      <c r="T212" s="80"/>
      <c r="U212" s="80"/>
      <c r="V212" s="80"/>
      <c r="W212" s="80"/>
      <c r="X212" s="80"/>
      <c r="Y212" s="80"/>
      <c r="Z212" s="80"/>
      <c r="AA212" s="81"/>
      <c r="AB212" s="81"/>
      <c r="AC212" s="81"/>
      <c r="AD212" s="81"/>
      <c r="AE212" s="81"/>
    </row>
    <row r="213">
      <c r="A213" s="16"/>
      <c r="B213" s="127" t="s">
        <v>31</v>
      </c>
      <c r="C213" s="127">
        <v>75365.0</v>
      </c>
      <c r="D213" s="108" t="s">
        <v>487</v>
      </c>
      <c r="E213" s="109"/>
      <c r="F213" s="58"/>
      <c r="G213" s="128" t="s">
        <v>472</v>
      </c>
      <c r="H213" s="129">
        <v>3.31</v>
      </c>
      <c r="I213" s="129">
        <v>3.77</v>
      </c>
      <c r="J213" s="130" t="b">
        <v>0</v>
      </c>
      <c r="K213" s="58"/>
      <c r="L213" s="131">
        <f t="shared" si="8"/>
        <v>5</v>
      </c>
      <c r="M213" s="130"/>
      <c r="N213" s="109"/>
      <c r="O213" s="109"/>
      <c r="P213" s="109"/>
      <c r="Q213" s="58"/>
      <c r="R213" s="126"/>
      <c r="S213" s="126"/>
      <c r="T213" s="80"/>
      <c r="U213" s="80"/>
      <c r="V213" s="80"/>
      <c r="W213" s="80"/>
      <c r="X213" s="80"/>
      <c r="Y213" s="80"/>
      <c r="Z213" s="80"/>
      <c r="AA213" s="81"/>
      <c r="AB213" s="81"/>
      <c r="AC213" s="81"/>
      <c r="AD213" s="81"/>
      <c r="AE213" s="81"/>
    </row>
    <row r="214">
      <c r="A214" s="16"/>
      <c r="B214" s="127" t="s">
        <v>31</v>
      </c>
      <c r="C214" s="127">
        <v>75365.0</v>
      </c>
      <c r="D214" s="108" t="s">
        <v>488</v>
      </c>
      <c r="E214" s="109"/>
      <c r="F214" s="58"/>
      <c r="G214" s="128" t="s">
        <v>489</v>
      </c>
      <c r="H214" s="129">
        <v>4.27</v>
      </c>
      <c r="I214" s="129">
        <v>4.74</v>
      </c>
      <c r="J214" s="130" t="b">
        <v>0</v>
      </c>
      <c r="K214" s="58"/>
      <c r="L214" s="131">
        <f t="shared" si="8"/>
        <v>3</v>
      </c>
      <c r="M214" s="130"/>
      <c r="N214" s="109"/>
      <c r="O214" s="109"/>
      <c r="P214" s="109"/>
      <c r="Q214" s="58"/>
      <c r="R214" s="126"/>
      <c r="S214" s="126"/>
      <c r="T214" s="80"/>
      <c r="U214" s="80"/>
      <c r="V214" s="80"/>
      <c r="W214" s="80"/>
      <c r="X214" s="80"/>
      <c r="Y214" s="80"/>
      <c r="Z214" s="80"/>
      <c r="AA214" s="81"/>
      <c r="AB214" s="81"/>
      <c r="AC214" s="81"/>
      <c r="AD214" s="81"/>
      <c r="AE214" s="81"/>
    </row>
    <row r="215">
      <c r="A215" s="16"/>
      <c r="B215" s="127" t="s">
        <v>31</v>
      </c>
      <c r="C215" s="127">
        <v>75365.0</v>
      </c>
      <c r="D215" s="108" t="s">
        <v>393</v>
      </c>
      <c r="E215" s="109"/>
      <c r="F215" s="58"/>
      <c r="G215" s="128" t="s">
        <v>394</v>
      </c>
      <c r="H215" s="129">
        <v>2.64</v>
      </c>
      <c r="I215" s="129">
        <v>3.32</v>
      </c>
      <c r="J215" s="130" t="b">
        <v>0</v>
      </c>
      <c r="K215" s="58"/>
      <c r="L215" s="131">
        <f t="shared" si="8"/>
        <v>4</v>
      </c>
      <c r="M215" s="130"/>
      <c r="N215" s="109"/>
      <c r="O215" s="109"/>
      <c r="P215" s="109"/>
      <c r="Q215" s="58"/>
      <c r="R215" s="126"/>
      <c r="S215" s="126"/>
      <c r="T215" s="80"/>
      <c r="U215" s="80"/>
      <c r="V215" s="80"/>
      <c r="W215" s="80"/>
      <c r="X215" s="80"/>
      <c r="Y215" s="80"/>
      <c r="Z215" s="80"/>
      <c r="AA215" s="81"/>
      <c r="AB215" s="81"/>
      <c r="AC215" s="81"/>
      <c r="AD215" s="81"/>
      <c r="AE215" s="81"/>
    </row>
    <row r="216">
      <c r="A216" s="16"/>
      <c r="B216" s="127" t="s">
        <v>31</v>
      </c>
      <c r="C216" s="127">
        <v>75365.0</v>
      </c>
      <c r="D216" s="108" t="s">
        <v>490</v>
      </c>
      <c r="E216" s="109"/>
      <c r="F216" s="58"/>
      <c r="G216" s="128" t="s">
        <v>491</v>
      </c>
      <c r="H216" s="129">
        <v>3.29</v>
      </c>
      <c r="I216" s="129">
        <v>4.18</v>
      </c>
      <c r="J216" s="130" t="b">
        <v>0</v>
      </c>
      <c r="K216" s="58"/>
      <c r="L216" s="131">
        <f t="shared" si="8"/>
        <v>1</v>
      </c>
      <c r="M216" s="130"/>
      <c r="N216" s="109"/>
      <c r="O216" s="109"/>
      <c r="P216" s="109"/>
      <c r="Q216" s="58"/>
      <c r="R216" s="126"/>
      <c r="S216" s="126"/>
      <c r="T216" s="80"/>
      <c r="U216" s="80"/>
      <c r="V216" s="80"/>
      <c r="W216" s="80"/>
      <c r="X216" s="80"/>
      <c r="Y216" s="80"/>
      <c r="Z216" s="80"/>
      <c r="AA216" s="81"/>
      <c r="AB216" s="81"/>
      <c r="AC216" s="81"/>
      <c r="AD216" s="81"/>
      <c r="AE216" s="81"/>
    </row>
    <row r="217">
      <c r="A217" s="16"/>
      <c r="B217" s="127" t="s">
        <v>31</v>
      </c>
      <c r="C217" s="127">
        <v>75365.0</v>
      </c>
      <c r="D217" s="108" t="s">
        <v>492</v>
      </c>
      <c r="E217" s="109"/>
      <c r="F217" s="58"/>
      <c r="G217" s="128" t="s">
        <v>493</v>
      </c>
      <c r="H217" s="129">
        <v>8.1</v>
      </c>
      <c r="I217" s="129">
        <v>8.14</v>
      </c>
      <c r="J217" s="130" t="b">
        <v>0</v>
      </c>
      <c r="K217" s="58"/>
      <c r="L217" s="131">
        <f t="shared" si="8"/>
        <v>1</v>
      </c>
      <c r="M217" s="130"/>
      <c r="N217" s="109"/>
      <c r="O217" s="109"/>
      <c r="P217" s="109"/>
      <c r="Q217" s="58"/>
      <c r="R217" s="126"/>
      <c r="S217" s="126"/>
      <c r="T217" s="80"/>
      <c r="U217" s="80"/>
      <c r="V217" s="80"/>
      <c r="W217" s="80"/>
      <c r="X217" s="80"/>
      <c r="Y217" s="80"/>
      <c r="Z217" s="80"/>
      <c r="AA217" s="81"/>
      <c r="AB217" s="81"/>
      <c r="AC217" s="81"/>
      <c r="AD217" s="81"/>
      <c r="AE217" s="81"/>
    </row>
    <row r="218">
      <c r="A218" s="16"/>
      <c r="B218" s="127" t="s">
        <v>31</v>
      </c>
      <c r="C218" s="127">
        <v>75365.0</v>
      </c>
      <c r="D218" s="108" t="s">
        <v>412</v>
      </c>
      <c r="E218" s="109"/>
      <c r="F218" s="58"/>
      <c r="G218" s="128" t="s">
        <v>494</v>
      </c>
      <c r="H218" s="129">
        <v>9.7</v>
      </c>
      <c r="I218" s="129">
        <v>9.59</v>
      </c>
      <c r="J218" s="130" t="b">
        <v>0</v>
      </c>
      <c r="K218" s="58"/>
      <c r="L218" s="131">
        <f t="shared" si="8"/>
        <v>1</v>
      </c>
      <c r="M218" s="130"/>
      <c r="N218" s="109"/>
      <c r="O218" s="109"/>
      <c r="P218" s="109"/>
      <c r="Q218" s="58"/>
      <c r="R218" s="126"/>
      <c r="S218" s="126"/>
      <c r="T218" s="80"/>
      <c r="U218" s="80"/>
      <c r="V218" s="80"/>
      <c r="W218" s="80"/>
      <c r="X218" s="80"/>
      <c r="Y218" s="80"/>
      <c r="Z218" s="80"/>
      <c r="AA218" s="81"/>
      <c r="AB218" s="81"/>
      <c r="AC218" s="81"/>
      <c r="AD218" s="81"/>
      <c r="AE218" s="81"/>
    </row>
    <row r="219">
      <c r="A219" s="16"/>
      <c r="B219" s="127" t="s">
        <v>31</v>
      </c>
      <c r="C219" s="127">
        <v>75365.0</v>
      </c>
      <c r="D219" s="108" t="s">
        <v>495</v>
      </c>
      <c r="E219" s="109"/>
      <c r="F219" s="58"/>
      <c r="G219" s="128" t="s">
        <v>496</v>
      </c>
      <c r="H219" s="129">
        <v>9.22</v>
      </c>
      <c r="I219" s="129">
        <v>9.99</v>
      </c>
      <c r="J219" s="130" t="b">
        <v>0</v>
      </c>
      <c r="K219" s="58"/>
      <c r="L219" s="131">
        <f t="shared" si="8"/>
        <v>1</v>
      </c>
      <c r="M219" s="130"/>
      <c r="N219" s="109"/>
      <c r="O219" s="109"/>
      <c r="P219" s="109"/>
      <c r="Q219" s="58"/>
      <c r="R219" s="126"/>
      <c r="S219" s="126"/>
      <c r="T219" s="80"/>
      <c r="U219" s="80"/>
      <c r="V219" s="80"/>
      <c r="W219" s="80"/>
      <c r="X219" s="80"/>
      <c r="Y219" s="80"/>
      <c r="Z219" s="80"/>
      <c r="AA219" s="81"/>
      <c r="AB219" s="81"/>
      <c r="AC219" s="81"/>
      <c r="AD219" s="81"/>
      <c r="AE219" s="81"/>
    </row>
    <row r="220">
      <c r="A220" s="16"/>
      <c r="B220" s="127" t="s">
        <v>31</v>
      </c>
      <c r="C220" s="127">
        <v>75365.0</v>
      </c>
      <c r="D220" s="108" t="s">
        <v>497</v>
      </c>
      <c r="E220" s="109"/>
      <c r="F220" s="58"/>
      <c r="G220" s="128" t="s">
        <v>498</v>
      </c>
      <c r="H220" s="129">
        <v>8.49</v>
      </c>
      <c r="I220" s="129">
        <v>9.63</v>
      </c>
      <c r="J220" s="130" t="b">
        <v>0</v>
      </c>
      <c r="K220" s="58"/>
      <c r="L220" s="131">
        <f t="shared" si="8"/>
        <v>1</v>
      </c>
      <c r="M220" s="130"/>
      <c r="N220" s="109"/>
      <c r="O220" s="109"/>
      <c r="P220" s="109"/>
      <c r="Q220" s="58"/>
      <c r="R220" s="126"/>
      <c r="S220" s="126"/>
      <c r="T220" s="80"/>
      <c r="U220" s="80"/>
      <c r="V220" s="80"/>
      <c r="W220" s="80"/>
      <c r="X220" s="80"/>
      <c r="Y220" s="80"/>
      <c r="Z220" s="80"/>
      <c r="AA220" s="81"/>
      <c r="AB220" s="81"/>
      <c r="AC220" s="81"/>
      <c r="AD220" s="81"/>
      <c r="AE220" s="81"/>
    </row>
    <row r="221">
      <c r="A221" s="16"/>
      <c r="B221" s="127" t="s">
        <v>31</v>
      </c>
      <c r="C221" s="127">
        <v>75365.0</v>
      </c>
      <c r="D221" s="108" t="s">
        <v>499</v>
      </c>
      <c r="E221" s="109"/>
      <c r="F221" s="58"/>
      <c r="G221" s="128" t="s">
        <v>500</v>
      </c>
      <c r="H221" s="129">
        <v>7.1</v>
      </c>
      <c r="I221" s="129">
        <v>8.63</v>
      </c>
      <c r="J221" s="130" t="b">
        <v>0</v>
      </c>
      <c r="K221" s="58"/>
      <c r="L221" s="131">
        <f t="shared" si="8"/>
        <v>1</v>
      </c>
      <c r="M221" s="130"/>
      <c r="N221" s="109"/>
      <c r="O221" s="109"/>
      <c r="P221" s="109"/>
      <c r="Q221" s="58"/>
      <c r="R221" s="126"/>
      <c r="S221" s="126"/>
      <c r="T221" s="80"/>
      <c r="U221" s="80"/>
      <c r="V221" s="80"/>
      <c r="W221" s="80"/>
      <c r="X221" s="80"/>
      <c r="Y221" s="80"/>
      <c r="Z221" s="80"/>
      <c r="AA221" s="81"/>
      <c r="AB221" s="81"/>
      <c r="AC221" s="81"/>
      <c r="AD221" s="81"/>
      <c r="AE221" s="81"/>
    </row>
    <row r="222">
      <c r="A222" s="16"/>
      <c r="B222" s="127" t="s">
        <v>31</v>
      </c>
      <c r="C222" s="127">
        <v>75365.0</v>
      </c>
      <c r="D222" s="108" t="s">
        <v>501</v>
      </c>
      <c r="E222" s="109"/>
      <c r="F222" s="58"/>
      <c r="G222" s="128" t="s">
        <v>502</v>
      </c>
      <c r="H222" s="129">
        <v>5.97</v>
      </c>
      <c r="I222" s="129">
        <v>6.75</v>
      </c>
      <c r="J222" s="130" t="b">
        <v>0</v>
      </c>
      <c r="K222" s="58"/>
      <c r="L222" s="131">
        <f t="shared" si="8"/>
        <v>1</v>
      </c>
      <c r="M222" s="130"/>
      <c r="N222" s="109"/>
      <c r="O222" s="109"/>
      <c r="P222" s="109"/>
      <c r="Q222" s="58"/>
      <c r="R222" s="126"/>
      <c r="S222" s="126"/>
      <c r="T222" s="80"/>
      <c r="U222" s="80"/>
      <c r="V222" s="80"/>
      <c r="W222" s="80"/>
      <c r="X222" s="80"/>
      <c r="Y222" s="80"/>
      <c r="Z222" s="80"/>
      <c r="AA222" s="81"/>
      <c r="AB222" s="81"/>
      <c r="AC222" s="81"/>
      <c r="AD222" s="81"/>
      <c r="AE222" s="81"/>
    </row>
    <row r="223">
      <c r="A223" s="16"/>
      <c r="B223" s="127" t="s">
        <v>31</v>
      </c>
      <c r="C223" s="127">
        <v>75365.0</v>
      </c>
      <c r="D223" s="108" t="s">
        <v>373</v>
      </c>
      <c r="E223" s="109"/>
      <c r="F223" s="58"/>
      <c r="G223" s="128" t="s">
        <v>375</v>
      </c>
      <c r="H223" s="129">
        <v>2.52</v>
      </c>
      <c r="I223" s="129">
        <v>2.64</v>
      </c>
      <c r="J223" s="130" t="b">
        <v>0</v>
      </c>
      <c r="K223" s="58"/>
      <c r="L223" s="131">
        <f t="shared" si="8"/>
        <v>4</v>
      </c>
      <c r="M223" s="130"/>
      <c r="N223" s="109"/>
      <c r="O223" s="109"/>
      <c r="P223" s="109"/>
      <c r="Q223" s="58"/>
      <c r="R223" s="126"/>
      <c r="S223" s="126"/>
      <c r="T223" s="80"/>
      <c r="U223" s="80"/>
      <c r="V223" s="80"/>
      <c r="W223" s="80"/>
      <c r="X223" s="80"/>
      <c r="Y223" s="80"/>
      <c r="Z223" s="80"/>
      <c r="AA223" s="81"/>
      <c r="AB223" s="81"/>
      <c r="AC223" s="81"/>
      <c r="AD223" s="81"/>
      <c r="AE223" s="81"/>
    </row>
    <row r="224">
      <c r="A224" s="16"/>
      <c r="B224" s="127" t="s">
        <v>31</v>
      </c>
      <c r="C224" s="127">
        <v>75367.0</v>
      </c>
      <c r="D224" s="108" t="s">
        <v>503</v>
      </c>
      <c r="E224" s="109"/>
      <c r="F224" s="58"/>
      <c r="G224" s="128" t="s">
        <v>504</v>
      </c>
      <c r="H224" s="129">
        <v>23.23</v>
      </c>
      <c r="I224" s="129">
        <v>28.27</v>
      </c>
      <c r="J224" s="130" t="b">
        <v>0</v>
      </c>
      <c r="K224" s="58"/>
      <c r="L224" s="131">
        <f t="shared" si="8"/>
        <v>1</v>
      </c>
      <c r="M224" s="130"/>
      <c r="N224" s="109"/>
      <c r="O224" s="109"/>
      <c r="P224" s="109"/>
      <c r="Q224" s="58"/>
      <c r="R224" s="126"/>
      <c r="S224" s="126"/>
      <c r="T224" s="80"/>
      <c r="U224" s="80"/>
      <c r="V224" s="80"/>
      <c r="W224" s="80"/>
      <c r="X224" s="80"/>
      <c r="Y224" s="80"/>
      <c r="Z224" s="80"/>
      <c r="AA224" s="81"/>
      <c r="AB224" s="81"/>
      <c r="AC224" s="81"/>
      <c r="AD224" s="81"/>
      <c r="AE224" s="81"/>
    </row>
    <row r="225">
      <c r="A225" s="16"/>
      <c r="B225" s="127" t="s">
        <v>31</v>
      </c>
      <c r="C225" s="127">
        <v>75367.0</v>
      </c>
      <c r="D225" s="108" t="s">
        <v>505</v>
      </c>
      <c r="E225" s="109"/>
      <c r="F225" s="58"/>
      <c r="G225" s="128" t="s">
        <v>506</v>
      </c>
      <c r="H225" s="129">
        <v>11.88</v>
      </c>
      <c r="I225" s="129">
        <v>8.02</v>
      </c>
      <c r="J225" s="130" t="b">
        <v>0</v>
      </c>
      <c r="K225" s="58"/>
      <c r="L225" s="131">
        <f t="shared" si="8"/>
        <v>2</v>
      </c>
      <c r="M225" s="130"/>
      <c r="N225" s="109"/>
      <c r="O225" s="109"/>
      <c r="P225" s="109"/>
      <c r="Q225" s="58"/>
      <c r="R225" s="126"/>
      <c r="S225" s="126"/>
      <c r="T225" s="80"/>
      <c r="U225" s="80"/>
      <c r="V225" s="80"/>
      <c r="W225" s="80"/>
      <c r="X225" s="80"/>
      <c r="Y225" s="80"/>
      <c r="Z225" s="80"/>
      <c r="AA225" s="81"/>
      <c r="AB225" s="81"/>
      <c r="AC225" s="81"/>
      <c r="AD225" s="81"/>
      <c r="AE225" s="81"/>
    </row>
    <row r="226">
      <c r="A226" s="16"/>
      <c r="B226" s="127" t="s">
        <v>31</v>
      </c>
      <c r="C226" s="127">
        <v>75372.0</v>
      </c>
      <c r="D226" s="108" t="s">
        <v>507</v>
      </c>
      <c r="E226" s="109"/>
      <c r="F226" s="58"/>
      <c r="G226" s="128" t="s">
        <v>508</v>
      </c>
      <c r="H226" s="129">
        <v>1.1</v>
      </c>
      <c r="I226" s="129">
        <v>1.33</v>
      </c>
      <c r="J226" s="130" t="b">
        <v>0</v>
      </c>
      <c r="K226" s="58"/>
      <c r="L226" s="131">
        <f t="shared" si="8"/>
        <v>1</v>
      </c>
      <c r="M226" s="130"/>
      <c r="N226" s="109"/>
      <c r="O226" s="109"/>
      <c r="P226" s="109"/>
      <c r="Q226" s="58"/>
      <c r="R226" s="126"/>
      <c r="S226" s="126"/>
      <c r="T226" s="80"/>
      <c r="U226" s="80"/>
      <c r="V226" s="80"/>
      <c r="W226" s="80"/>
      <c r="X226" s="80"/>
      <c r="Y226" s="80"/>
      <c r="Z226" s="80"/>
      <c r="AA226" s="81"/>
      <c r="AB226" s="81"/>
      <c r="AC226" s="81"/>
      <c r="AD226" s="81"/>
      <c r="AE226" s="81"/>
    </row>
    <row r="227">
      <c r="A227" s="16"/>
      <c r="B227" s="127" t="s">
        <v>31</v>
      </c>
      <c r="C227" s="127">
        <v>75372.0</v>
      </c>
      <c r="D227" s="108" t="s">
        <v>509</v>
      </c>
      <c r="E227" s="109"/>
      <c r="F227" s="58"/>
      <c r="G227" s="128" t="s">
        <v>510</v>
      </c>
      <c r="H227" s="129">
        <v>1.36</v>
      </c>
      <c r="I227" s="129">
        <v>1.37</v>
      </c>
      <c r="J227" s="130" t="b">
        <v>0</v>
      </c>
      <c r="K227" s="58"/>
      <c r="L227" s="131">
        <f t="shared" si="8"/>
        <v>1</v>
      </c>
      <c r="M227" s="130"/>
      <c r="N227" s="109"/>
      <c r="O227" s="109"/>
      <c r="P227" s="109"/>
      <c r="Q227" s="58"/>
      <c r="R227" s="126"/>
      <c r="S227" s="126"/>
      <c r="T227" s="80"/>
      <c r="U227" s="80"/>
      <c r="V227" s="80"/>
      <c r="W227" s="80"/>
      <c r="X227" s="80"/>
      <c r="Y227" s="80"/>
      <c r="Z227" s="80"/>
      <c r="AA227" s="81"/>
      <c r="AB227" s="81"/>
      <c r="AC227" s="81"/>
      <c r="AD227" s="81"/>
      <c r="AE227" s="81"/>
    </row>
    <row r="228">
      <c r="A228" s="16"/>
      <c r="B228" s="127" t="s">
        <v>31</v>
      </c>
      <c r="C228" s="127">
        <v>75372.0</v>
      </c>
      <c r="D228" s="108" t="s">
        <v>511</v>
      </c>
      <c r="E228" s="109"/>
      <c r="F228" s="58"/>
      <c r="G228" s="128" t="s">
        <v>512</v>
      </c>
      <c r="H228" s="129">
        <v>4.2</v>
      </c>
      <c r="I228" s="129">
        <v>4.68</v>
      </c>
      <c r="J228" s="130" t="b">
        <v>0</v>
      </c>
      <c r="K228" s="58"/>
      <c r="L228" s="131">
        <f t="shared" si="8"/>
        <v>1</v>
      </c>
      <c r="M228" s="130"/>
      <c r="N228" s="109"/>
      <c r="O228" s="109"/>
      <c r="P228" s="109"/>
      <c r="Q228" s="58"/>
      <c r="R228" s="126"/>
      <c r="S228" s="126"/>
      <c r="T228" s="80"/>
      <c r="U228" s="80"/>
      <c r="V228" s="80"/>
      <c r="W228" s="80"/>
      <c r="X228" s="80"/>
      <c r="Y228" s="80"/>
      <c r="Z228" s="80"/>
      <c r="AA228" s="81"/>
      <c r="AB228" s="81"/>
      <c r="AC228" s="81"/>
      <c r="AD228" s="81"/>
      <c r="AE228" s="81"/>
    </row>
    <row r="229">
      <c r="A229" s="16"/>
      <c r="B229" s="127" t="s">
        <v>31</v>
      </c>
      <c r="C229" s="127">
        <v>75372.0</v>
      </c>
      <c r="D229" s="108" t="s">
        <v>513</v>
      </c>
      <c r="E229" s="109"/>
      <c r="F229" s="58"/>
      <c r="G229" s="128" t="s">
        <v>514</v>
      </c>
      <c r="H229" s="129">
        <v>3.16</v>
      </c>
      <c r="I229" s="129">
        <v>3.4</v>
      </c>
      <c r="J229" s="130" t="b">
        <v>0</v>
      </c>
      <c r="K229" s="58"/>
      <c r="L229" s="131">
        <f t="shared" si="8"/>
        <v>3</v>
      </c>
      <c r="M229" s="130"/>
      <c r="N229" s="109"/>
      <c r="O229" s="109"/>
      <c r="P229" s="109"/>
      <c r="Q229" s="58"/>
      <c r="R229" s="126"/>
      <c r="S229" s="126"/>
      <c r="T229" s="80"/>
      <c r="U229" s="80"/>
      <c r="V229" s="80"/>
      <c r="W229" s="80"/>
      <c r="X229" s="80"/>
      <c r="Y229" s="80"/>
      <c r="Z229" s="80"/>
      <c r="AA229" s="81"/>
      <c r="AB229" s="81"/>
      <c r="AC229" s="81"/>
      <c r="AD229" s="81"/>
      <c r="AE229" s="81"/>
    </row>
    <row r="230">
      <c r="A230" s="16"/>
      <c r="B230" s="127" t="s">
        <v>31</v>
      </c>
      <c r="C230" s="127">
        <v>75372.0</v>
      </c>
      <c r="D230" s="108" t="s">
        <v>513</v>
      </c>
      <c r="E230" s="109"/>
      <c r="F230" s="58"/>
      <c r="G230" s="128" t="s">
        <v>514</v>
      </c>
      <c r="H230" s="129">
        <v>3.16</v>
      </c>
      <c r="I230" s="129">
        <v>3.4</v>
      </c>
      <c r="J230" s="130" t="b">
        <v>0</v>
      </c>
      <c r="K230" s="58"/>
      <c r="L230" s="131">
        <f t="shared" si="8"/>
        <v>3</v>
      </c>
      <c r="M230" s="130"/>
      <c r="N230" s="109"/>
      <c r="O230" s="109"/>
      <c r="P230" s="109"/>
      <c r="Q230" s="58"/>
      <c r="R230" s="126"/>
      <c r="S230" s="126"/>
      <c r="T230" s="80"/>
      <c r="U230" s="80"/>
      <c r="V230" s="80"/>
      <c r="W230" s="80"/>
      <c r="X230" s="80"/>
      <c r="Y230" s="80"/>
      <c r="Z230" s="80"/>
      <c r="AA230" s="81"/>
      <c r="AB230" s="81"/>
      <c r="AC230" s="81"/>
      <c r="AD230" s="81"/>
      <c r="AE230" s="81"/>
    </row>
    <row r="231">
      <c r="A231" s="16"/>
      <c r="B231" s="127" t="s">
        <v>31</v>
      </c>
      <c r="C231" s="127">
        <v>75372.0</v>
      </c>
      <c r="D231" s="108" t="s">
        <v>513</v>
      </c>
      <c r="E231" s="109"/>
      <c r="F231" s="58"/>
      <c r="G231" s="128" t="s">
        <v>514</v>
      </c>
      <c r="H231" s="129">
        <v>3.16</v>
      </c>
      <c r="I231" s="129">
        <v>3.4</v>
      </c>
      <c r="J231" s="130" t="b">
        <v>0</v>
      </c>
      <c r="K231" s="58"/>
      <c r="L231" s="131">
        <f t="shared" si="8"/>
        <v>3</v>
      </c>
      <c r="M231" s="130"/>
      <c r="N231" s="109"/>
      <c r="O231" s="109"/>
      <c r="P231" s="109"/>
      <c r="Q231" s="58"/>
      <c r="R231" s="126"/>
      <c r="S231" s="126"/>
      <c r="T231" s="80"/>
      <c r="U231" s="80"/>
      <c r="V231" s="80"/>
      <c r="W231" s="80"/>
      <c r="X231" s="80"/>
      <c r="Y231" s="80"/>
      <c r="Z231" s="80"/>
      <c r="AA231" s="81"/>
      <c r="AB231" s="81"/>
      <c r="AC231" s="81"/>
      <c r="AD231" s="81"/>
      <c r="AE231" s="81"/>
    </row>
    <row r="232">
      <c r="A232" s="16"/>
      <c r="B232" s="127" t="s">
        <v>31</v>
      </c>
      <c r="C232" s="127">
        <v>75372.0</v>
      </c>
      <c r="D232" s="108" t="s">
        <v>515</v>
      </c>
      <c r="E232" s="109"/>
      <c r="F232" s="58"/>
      <c r="G232" s="128" t="s">
        <v>516</v>
      </c>
      <c r="H232" s="129">
        <v>1.3</v>
      </c>
      <c r="I232" s="129">
        <v>1.28</v>
      </c>
      <c r="J232" s="130" t="b">
        <v>0</v>
      </c>
      <c r="K232" s="58"/>
      <c r="L232" s="131">
        <f t="shared" si="8"/>
        <v>3</v>
      </c>
      <c r="M232" s="130"/>
      <c r="N232" s="109"/>
      <c r="O232" s="109"/>
      <c r="P232" s="109"/>
      <c r="Q232" s="58"/>
      <c r="R232" s="126"/>
      <c r="S232" s="126"/>
      <c r="T232" s="80"/>
      <c r="U232" s="80"/>
      <c r="V232" s="80"/>
      <c r="W232" s="80"/>
      <c r="X232" s="80"/>
      <c r="Y232" s="80"/>
      <c r="Z232" s="80"/>
      <c r="AA232" s="81"/>
      <c r="AB232" s="81"/>
      <c r="AC232" s="81"/>
      <c r="AD232" s="81"/>
      <c r="AE232" s="81"/>
    </row>
    <row r="233">
      <c r="A233" s="16"/>
      <c r="B233" s="127" t="s">
        <v>31</v>
      </c>
      <c r="C233" s="127">
        <v>75372.0</v>
      </c>
      <c r="D233" s="108" t="s">
        <v>515</v>
      </c>
      <c r="E233" s="109"/>
      <c r="F233" s="58"/>
      <c r="G233" s="128" t="s">
        <v>516</v>
      </c>
      <c r="H233" s="129">
        <v>1.3</v>
      </c>
      <c r="I233" s="129">
        <v>1.28</v>
      </c>
      <c r="J233" s="130" t="b">
        <v>0</v>
      </c>
      <c r="K233" s="58"/>
      <c r="L233" s="131">
        <f t="shared" si="8"/>
        <v>3</v>
      </c>
      <c r="M233" s="130"/>
      <c r="N233" s="109"/>
      <c r="O233" s="109"/>
      <c r="P233" s="109"/>
      <c r="Q233" s="58"/>
      <c r="R233" s="126"/>
      <c r="S233" s="126"/>
      <c r="T233" s="80"/>
      <c r="U233" s="80"/>
      <c r="V233" s="80"/>
      <c r="W233" s="80"/>
      <c r="X233" s="80"/>
      <c r="Y233" s="80"/>
      <c r="Z233" s="80"/>
      <c r="AA233" s="81"/>
      <c r="AB233" s="81"/>
      <c r="AC233" s="81"/>
      <c r="AD233" s="81"/>
      <c r="AE233" s="81"/>
    </row>
    <row r="234">
      <c r="A234" s="16"/>
      <c r="B234" s="127" t="s">
        <v>31</v>
      </c>
      <c r="C234" s="127">
        <v>75372.0</v>
      </c>
      <c r="D234" s="108" t="s">
        <v>515</v>
      </c>
      <c r="E234" s="109"/>
      <c r="F234" s="58"/>
      <c r="G234" s="128" t="s">
        <v>516</v>
      </c>
      <c r="H234" s="129">
        <v>1.3</v>
      </c>
      <c r="I234" s="129">
        <v>1.28</v>
      </c>
      <c r="J234" s="130" t="b">
        <v>0</v>
      </c>
      <c r="K234" s="58"/>
      <c r="L234" s="131">
        <f t="shared" si="8"/>
        <v>3</v>
      </c>
      <c r="M234" s="130"/>
      <c r="N234" s="109"/>
      <c r="O234" s="109"/>
      <c r="P234" s="109"/>
      <c r="Q234" s="58"/>
      <c r="R234" s="126"/>
      <c r="S234" s="126"/>
      <c r="T234" s="80"/>
      <c r="U234" s="80"/>
      <c r="V234" s="80"/>
      <c r="W234" s="80"/>
      <c r="X234" s="80"/>
      <c r="Y234" s="80"/>
      <c r="Z234" s="80"/>
      <c r="AA234" s="81"/>
      <c r="AB234" s="81"/>
      <c r="AC234" s="81"/>
      <c r="AD234" s="81"/>
      <c r="AE234" s="81"/>
    </row>
    <row r="235">
      <c r="A235" s="16"/>
      <c r="B235" s="127" t="s">
        <v>31</v>
      </c>
      <c r="C235" s="127">
        <v>75374.0</v>
      </c>
      <c r="D235" s="108" t="s">
        <v>517</v>
      </c>
      <c r="E235" s="109"/>
      <c r="F235" s="58"/>
      <c r="G235" s="128" t="s">
        <v>518</v>
      </c>
      <c r="H235" s="129">
        <v>7.02</v>
      </c>
      <c r="I235" s="129">
        <v>7.14</v>
      </c>
      <c r="J235" s="130" t="b">
        <v>0</v>
      </c>
      <c r="K235" s="58"/>
      <c r="L235" s="131">
        <f t="shared" si="8"/>
        <v>1</v>
      </c>
      <c r="M235" s="130"/>
      <c r="N235" s="109"/>
      <c r="O235" s="109"/>
      <c r="P235" s="109"/>
      <c r="Q235" s="58"/>
      <c r="R235" s="126"/>
      <c r="S235" s="126"/>
      <c r="T235" s="80"/>
      <c r="U235" s="80"/>
      <c r="V235" s="80"/>
      <c r="W235" s="80"/>
      <c r="X235" s="80"/>
      <c r="Y235" s="80"/>
      <c r="Z235" s="80"/>
      <c r="AA235" s="81"/>
      <c r="AB235" s="81"/>
      <c r="AC235" s="81"/>
      <c r="AD235" s="81"/>
      <c r="AE235" s="81"/>
    </row>
    <row r="236">
      <c r="A236" s="16"/>
      <c r="B236" s="127" t="s">
        <v>31</v>
      </c>
      <c r="C236" s="127">
        <v>75374.0</v>
      </c>
      <c r="D236" s="108" t="s">
        <v>519</v>
      </c>
      <c r="E236" s="109"/>
      <c r="F236" s="58"/>
      <c r="G236" s="128" t="s">
        <v>520</v>
      </c>
      <c r="H236" s="129">
        <v>9.36</v>
      </c>
      <c r="I236" s="129">
        <v>9.66</v>
      </c>
      <c r="J236" s="130" t="b">
        <v>0</v>
      </c>
      <c r="K236" s="58"/>
      <c r="L236" s="131">
        <f t="shared" si="8"/>
        <v>1</v>
      </c>
      <c r="M236" s="130"/>
      <c r="N236" s="109"/>
      <c r="O236" s="109"/>
      <c r="P236" s="109"/>
      <c r="Q236" s="58"/>
      <c r="R236" s="126"/>
      <c r="S236" s="126"/>
      <c r="T236" s="80"/>
      <c r="U236" s="80"/>
      <c r="V236" s="80"/>
      <c r="W236" s="80"/>
      <c r="X236" s="80"/>
      <c r="Y236" s="80"/>
      <c r="Z236" s="80"/>
      <c r="AA236" s="81"/>
      <c r="AB236" s="81"/>
      <c r="AC236" s="81"/>
      <c r="AD236" s="81"/>
      <c r="AE236" s="81"/>
    </row>
    <row r="237">
      <c r="A237" s="16"/>
      <c r="B237" s="127" t="s">
        <v>31</v>
      </c>
      <c r="C237" s="127">
        <v>75374.0</v>
      </c>
      <c r="D237" s="108" t="s">
        <v>521</v>
      </c>
      <c r="E237" s="109"/>
      <c r="F237" s="58"/>
      <c r="G237" s="128" t="s">
        <v>522</v>
      </c>
      <c r="H237" s="129">
        <v>7.69</v>
      </c>
      <c r="I237" s="129">
        <v>8.2</v>
      </c>
      <c r="J237" s="130" t="b">
        <v>0</v>
      </c>
      <c r="K237" s="58"/>
      <c r="L237" s="131">
        <f t="shared" si="8"/>
        <v>1</v>
      </c>
      <c r="M237" s="130"/>
      <c r="N237" s="109"/>
      <c r="O237" s="109"/>
      <c r="P237" s="109"/>
      <c r="Q237" s="58"/>
      <c r="R237" s="126"/>
      <c r="S237" s="126"/>
      <c r="T237" s="80"/>
      <c r="U237" s="80"/>
      <c r="V237" s="80"/>
      <c r="W237" s="80"/>
      <c r="X237" s="80"/>
      <c r="Y237" s="80"/>
      <c r="Z237" s="80"/>
      <c r="AA237" s="81"/>
      <c r="AB237" s="81"/>
      <c r="AC237" s="81"/>
      <c r="AD237" s="81"/>
      <c r="AE237" s="81"/>
    </row>
    <row r="238">
      <c r="A238" s="16"/>
      <c r="B238" s="127" t="s">
        <v>31</v>
      </c>
      <c r="C238" s="127">
        <v>75374.0</v>
      </c>
      <c r="D238" s="108" t="s">
        <v>523</v>
      </c>
      <c r="E238" s="109"/>
      <c r="F238" s="58"/>
      <c r="G238" s="128" t="s">
        <v>524</v>
      </c>
      <c r="H238" s="129">
        <v>22.58</v>
      </c>
      <c r="I238" s="129">
        <v>23.33</v>
      </c>
      <c r="J238" s="130" t="b">
        <v>0</v>
      </c>
      <c r="K238" s="58"/>
      <c r="L238" s="131">
        <f t="shared" si="8"/>
        <v>1</v>
      </c>
      <c r="M238" s="130"/>
      <c r="N238" s="109"/>
      <c r="O238" s="109"/>
      <c r="P238" s="109"/>
      <c r="Q238" s="58"/>
      <c r="R238" s="126"/>
      <c r="S238" s="126"/>
      <c r="T238" s="80"/>
      <c r="U238" s="80"/>
      <c r="V238" s="80"/>
      <c r="W238" s="80"/>
      <c r="X238" s="80"/>
      <c r="Y238" s="80"/>
      <c r="Z238" s="80"/>
      <c r="AA238" s="81"/>
      <c r="AB238" s="81"/>
      <c r="AC238" s="81"/>
      <c r="AD238" s="81"/>
      <c r="AE238" s="81"/>
    </row>
    <row r="239">
      <c r="A239" s="16"/>
      <c r="B239" s="127" t="s">
        <v>31</v>
      </c>
      <c r="C239" s="127">
        <v>75374.0</v>
      </c>
      <c r="D239" s="108" t="s">
        <v>525</v>
      </c>
      <c r="E239" s="109"/>
      <c r="F239" s="58"/>
      <c r="G239" s="128" t="s">
        <v>526</v>
      </c>
      <c r="H239" s="129">
        <v>5.74</v>
      </c>
      <c r="I239" s="129">
        <v>6.92</v>
      </c>
      <c r="J239" s="130" t="b">
        <v>0</v>
      </c>
      <c r="K239" s="58"/>
      <c r="L239" s="131">
        <f t="shared" si="8"/>
        <v>1</v>
      </c>
      <c r="M239" s="130"/>
      <c r="N239" s="109"/>
      <c r="O239" s="109"/>
      <c r="P239" s="109"/>
      <c r="Q239" s="58"/>
      <c r="R239" s="126"/>
      <c r="S239" s="126"/>
      <c r="T239" s="80"/>
      <c r="U239" s="80"/>
      <c r="V239" s="80"/>
      <c r="W239" s="80"/>
      <c r="X239" s="80"/>
      <c r="Y239" s="80"/>
      <c r="Z239" s="80"/>
      <c r="AA239" s="81"/>
      <c r="AB239" s="81"/>
      <c r="AC239" s="81"/>
      <c r="AD239" s="81"/>
      <c r="AE239" s="81"/>
    </row>
    <row r="240">
      <c r="A240" s="16"/>
      <c r="B240" s="127" t="s">
        <v>31</v>
      </c>
      <c r="C240" s="127">
        <v>75379.0</v>
      </c>
      <c r="D240" s="108" t="s">
        <v>527</v>
      </c>
      <c r="E240" s="109"/>
      <c r="F240" s="58"/>
      <c r="G240" s="128" t="s">
        <v>472</v>
      </c>
      <c r="H240" s="129">
        <v>3.55</v>
      </c>
      <c r="I240" s="129">
        <v>4.15</v>
      </c>
      <c r="J240" s="130" t="b">
        <v>0</v>
      </c>
      <c r="K240" s="58"/>
      <c r="L240" s="131">
        <f t="shared" si="8"/>
        <v>5</v>
      </c>
      <c r="M240" s="130"/>
      <c r="N240" s="109"/>
      <c r="O240" s="109"/>
      <c r="P240" s="109"/>
      <c r="Q240" s="58"/>
      <c r="R240" s="126"/>
      <c r="S240" s="126"/>
      <c r="T240" s="80"/>
      <c r="U240" s="80"/>
      <c r="V240" s="80"/>
      <c r="W240" s="80"/>
      <c r="X240" s="80"/>
      <c r="Y240" s="80"/>
      <c r="Z240" s="80"/>
      <c r="AA240" s="81"/>
      <c r="AB240" s="81"/>
      <c r="AC240" s="81"/>
      <c r="AD240" s="81"/>
      <c r="AE240" s="81"/>
    </row>
    <row r="241">
      <c r="A241" s="16"/>
      <c r="B241" s="127" t="s">
        <v>31</v>
      </c>
      <c r="C241" s="127">
        <v>75379.0</v>
      </c>
      <c r="D241" s="108" t="s">
        <v>528</v>
      </c>
      <c r="E241" s="109"/>
      <c r="F241" s="58"/>
      <c r="G241" s="128" t="s">
        <v>529</v>
      </c>
      <c r="H241" s="129">
        <v>33.52</v>
      </c>
      <c r="I241" s="129">
        <v>33.68</v>
      </c>
      <c r="J241" s="108" t="b">
        <v>1</v>
      </c>
      <c r="K241" s="58"/>
      <c r="L241" s="131">
        <f t="shared" si="8"/>
        <v>1</v>
      </c>
      <c r="M241" s="130"/>
      <c r="N241" s="109"/>
      <c r="O241" s="109"/>
      <c r="P241" s="109"/>
      <c r="Q241" s="58"/>
      <c r="R241" s="126"/>
      <c r="S241" s="126"/>
      <c r="T241" s="80"/>
      <c r="U241" s="80"/>
      <c r="V241" s="80"/>
      <c r="W241" s="80"/>
      <c r="X241" s="80"/>
      <c r="Y241" s="80"/>
      <c r="Z241" s="80"/>
      <c r="AA241" s="81"/>
      <c r="AB241" s="81"/>
      <c r="AC241" s="81"/>
      <c r="AD241" s="81"/>
      <c r="AE241" s="81"/>
    </row>
    <row r="242">
      <c r="A242" s="16"/>
      <c r="B242" s="127" t="s">
        <v>31</v>
      </c>
      <c r="C242" s="127">
        <v>75381.0</v>
      </c>
      <c r="D242" s="108" t="s">
        <v>99</v>
      </c>
      <c r="E242" s="109"/>
      <c r="F242" s="58"/>
      <c r="G242" s="128" t="s">
        <v>530</v>
      </c>
      <c r="H242" s="129">
        <v>6.11</v>
      </c>
      <c r="I242" s="129">
        <v>8.89</v>
      </c>
      <c r="J242" s="130" t="b">
        <v>0</v>
      </c>
      <c r="K242" s="58"/>
      <c r="L242" s="131">
        <f t="shared" si="8"/>
        <v>1</v>
      </c>
      <c r="M242" s="130"/>
      <c r="N242" s="109"/>
      <c r="O242" s="109"/>
      <c r="P242" s="109"/>
      <c r="Q242" s="58"/>
      <c r="R242" s="126"/>
      <c r="S242" s="126"/>
      <c r="T242" s="80"/>
      <c r="U242" s="80"/>
      <c r="V242" s="80"/>
      <c r="W242" s="80"/>
      <c r="X242" s="80"/>
      <c r="Y242" s="80"/>
      <c r="Z242" s="80"/>
      <c r="AA242" s="81"/>
      <c r="AB242" s="81"/>
      <c r="AC242" s="81"/>
      <c r="AD242" s="81"/>
      <c r="AE242" s="81"/>
    </row>
    <row r="243">
      <c r="A243" s="16"/>
      <c r="B243" s="127" t="s">
        <v>31</v>
      </c>
      <c r="C243" s="127">
        <v>75382.0</v>
      </c>
      <c r="D243" s="108" t="s">
        <v>531</v>
      </c>
      <c r="E243" s="109"/>
      <c r="F243" s="58"/>
      <c r="G243" s="128" t="s">
        <v>532</v>
      </c>
      <c r="H243" s="129">
        <v>2.37</v>
      </c>
      <c r="I243" s="129">
        <v>3.14</v>
      </c>
      <c r="J243" s="130" t="b">
        <v>0</v>
      </c>
      <c r="K243" s="58"/>
      <c r="L243" s="131">
        <f t="shared" si="8"/>
        <v>1</v>
      </c>
      <c r="M243" s="130"/>
      <c r="N243" s="109"/>
      <c r="O243" s="109"/>
      <c r="P243" s="109"/>
      <c r="Q243" s="58"/>
      <c r="R243" s="126"/>
      <c r="S243" s="126"/>
      <c r="T243" s="80"/>
      <c r="U243" s="80"/>
      <c r="V243" s="80"/>
      <c r="W243" s="80"/>
      <c r="X243" s="80"/>
      <c r="Y243" s="80"/>
      <c r="Z243" s="80"/>
      <c r="AA243" s="81"/>
      <c r="AB243" s="81"/>
      <c r="AC243" s="81"/>
      <c r="AD243" s="81"/>
      <c r="AE243" s="81"/>
    </row>
    <row r="244">
      <c r="A244" s="16"/>
      <c r="B244" s="127" t="s">
        <v>31</v>
      </c>
      <c r="C244" s="127">
        <v>75382.0</v>
      </c>
      <c r="D244" s="108" t="s">
        <v>378</v>
      </c>
      <c r="E244" s="109"/>
      <c r="F244" s="58"/>
      <c r="G244" s="128" t="s">
        <v>379</v>
      </c>
      <c r="H244" s="129">
        <v>35.3</v>
      </c>
      <c r="I244" s="129">
        <v>47.2</v>
      </c>
      <c r="J244" s="130" t="b">
        <v>0</v>
      </c>
      <c r="K244" s="58"/>
      <c r="L244" s="131">
        <f t="shared" si="8"/>
        <v>2</v>
      </c>
      <c r="M244" s="130"/>
      <c r="N244" s="109"/>
      <c r="O244" s="109"/>
      <c r="P244" s="109"/>
      <c r="Q244" s="58"/>
      <c r="R244" s="126"/>
      <c r="S244" s="126"/>
      <c r="T244" s="80"/>
      <c r="U244" s="80"/>
      <c r="V244" s="80"/>
      <c r="W244" s="80"/>
      <c r="X244" s="80"/>
      <c r="Y244" s="80"/>
      <c r="Z244" s="80"/>
      <c r="AA244" s="81"/>
      <c r="AB244" s="81"/>
      <c r="AC244" s="81"/>
      <c r="AD244" s="81"/>
      <c r="AE244" s="81"/>
    </row>
    <row r="245">
      <c r="A245" s="16"/>
      <c r="B245" s="127" t="s">
        <v>31</v>
      </c>
      <c r="C245" s="127">
        <v>75383.0</v>
      </c>
      <c r="D245" s="108" t="s">
        <v>533</v>
      </c>
      <c r="E245" s="109"/>
      <c r="F245" s="58"/>
      <c r="G245" s="128" t="s">
        <v>534</v>
      </c>
      <c r="H245" s="129">
        <v>3.97</v>
      </c>
      <c r="I245" s="129">
        <v>4.14</v>
      </c>
      <c r="J245" s="130" t="b">
        <v>0</v>
      </c>
      <c r="K245" s="58"/>
      <c r="L245" s="131">
        <f t="shared" si="8"/>
        <v>1</v>
      </c>
      <c r="M245" s="130"/>
      <c r="N245" s="109"/>
      <c r="O245" s="109"/>
      <c r="P245" s="109"/>
      <c r="Q245" s="58"/>
      <c r="R245" s="126"/>
      <c r="S245" s="126"/>
      <c r="T245" s="80"/>
      <c r="U245" s="80"/>
      <c r="V245" s="80"/>
      <c r="W245" s="80"/>
      <c r="X245" s="80"/>
      <c r="Y245" s="80"/>
      <c r="Z245" s="80"/>
      <c r="AA245" s="81"/>
      <c r="AB245" s="81"/>
      <c r="AC245" s="81"/>
      <c r="AD245" s="81"/>
      <c r="AE245" s="81"/>
    </row>
    <row r="246">
      <c r="A246" s="16"/>
      <c r="B246" s="127" t="s">
        <v>31</v>
      </c>
      <c r="C246" s="127">
        <v>75383.0</v>
      </c>
      <c r="D246" s="108" t="s">
        <v>422</v>
      </c>
      <c r="E246" s="109"/>
      <c r="F246" s="58"/>
      <c r="G246" s="128" t="s">
        <v>535</v>
      </c>
      <c r="H246" s="129">
        <v>6.86</v>
      </c>
      <c r="I246" s="129">
        <v>7.52</v>
      </c>
      <c r="J246" s="130" t="b">
        <v>0</v>
      </c>
      <c r="K246" s="58"/>
      <c r="L246" s="131">
        <f t="shared" si="8"/>
        <v>1</v>
      </c>
      <c r="M246" s="130"/>
      <c r="N246" s="109"/>
      <c r="O246" s="109"/>
      <c r="P246" s="109"/>
      <c r="Q246" s="58"/>
      <c r="R246" s="126"/>
      <c r="S246" s="126"/>
      <c r="T246" s="80"/>
      <c r="U246" s="80"/>
      <c r="V246" s="80"/>
      <c r="W246" s="80"/>
      <c r="X246" s="80"/>
      <c r="Y246" s="80"/>
      <c r="Z246" s="80"/>
      <c r="AA246" s="81"/>
      <c r="AB246" s="81"/>
      <c r="AC246" s="81"/>
      <c r="AD246" s="81"/>
      <c r="AE246" s="81"/>
    </row>
    <row r="247">
      <c r="A247" s="16"/>
      <c r="B247" s="127" t="s">
        <v>31</v>
      </c>
      <c r="C247" s="127">
        <v>75383.0</v>
      </c>
      <c r="D247" s="108" t="s">
        <v>536</v>
      </c>
      <c r="E247" s="109"/>
      <c r="F247" s="58"/>
      <c r="G247" s="128" t="s">
        <v>537</v>
      </c>
      <c r="H247" s="129">
        <v>8.96</v>
      </c>
      <c r="I247" s="129">
        <v>10.35</v>
      </c>
      <c r="J247" s="130" t="b">
        <v>0</v>
      </c>
      <c r="K247" s="58"/>
      <c r="L247" s="131">
        <f t="shared" si="8"/>
        <v>1</v>
      </c>
      <c r="M247" s="130"/>
      <c r="N247" s="109"/>
      <c r="O247" s="109"/>
      <c r="P247" s="109"/>
      <c r="Q247" s="58"/>
      <c r="R247" s="126"/>
      <c r="S247" s="126"/>
      <c r="T247" s="80"/>
      <c r="U247" s="80"/>
      <c r="V247" s="80"/>
      <c r="W247" s="80"/>
      <c r="X247" s="80"/>
      <c r="Y247" s="80"/>
      <c r="Z247" s="80"/>
      <c r="AA247" s="81"/>
      <c r="AB247" s="81"/>
      <c r="AC247" s="81"/>
      <c r="AD247" s="81"/>
      <c r="AE247" s="81"/>
    </row>
    <row r="248">
      <c r="A248" s="16"/>
      <c r="B248" s="127" t="s">
        <v>31</v>
      </c>
      <c r="C248" s="127">
        <v>75383.0</v>
      </c>
      <c r="D248" s="108" t="s">
        <v>538</v>
      </c>
      <c r="E248" s="109"/>
      <c r="F248" s="58"/>
      <c r="G248" s="128" t="s">
        <v>539</v>
      </c>
      <c r="H248" s="129">
        <v>25.83</v>
      </c>
      <c r="I248" s="129">
        <v>28.18</v>
      </c>
      <c r="J248" s="108" t="b">
        <v>1</v>
      </c>
      <c r="K248" s="58"/>
      <c r="L248" s="131">
        <f t="shared" si="8"/>
        <v>1</v>
      </c>
      <c r="M248" s="130"/>
      <c r="N248" s="109"/>
      <c r="O248" s="109"/>
      <c r="P248" s="109"/>
      <c r="Q248" s="58"/>
      <c r="R248" s="126"/>
      <c r="S248" s="126"/>
      <c r="T248" s="80"/>
      <c r="U248" s="80"/>
      <c r="V248" s="80"/>
      <c r="W248" s="80"/>
      <c r="X248" s="80"/>
      <c r="Y248" s="80"/>
      <c r="Z248" s="80"/>
      <c r="AA248" s="81"/>
      <c r="AB248" s="81"/>
      <c r="AC248" s="81"/>
      <c r="AD248" s="81"/>
      <c r="AE248" s="81"/>
    </row>
    <row r="249">
      <c r="A249" s="16"/>
      <c r="B249" s="127" t="s">
        <v>31</v>
      </c>
      <c r="C249" s="127">
        <v>75385.0</v>
      </c>
      <c r="D249" s="108" t="s">
        <v>420</v>
      </c>
      <c r="E249" s="109"/>
      <c r="F249" s="58"/>
      <c r="G249" s="128" t="s">
        <v>540</v>
      </c>
      <c r="H249" s="129">
        <v>6.61</v>
      </c>
      <c r="I249" s="129">
        <v>7.82</v>
      </c>
      <c r="J249" s="130" t="b">
        <v>0</v>
      </c>
      <c r="K249" s="58"/>
      <c r="L249" s="131">
        <f t="shared" si="8"/>
        <v>1</v>
      </c>
      <c r="M249" s="130"/>
      <c r="N249" s="109"/>
      <c r="O249" s="109"/>
      <c r="P249" s="109"/>
      <c r="Q249" s="58"/>
      <c r="R249" s="126"/>
      <c r="S249" s="126"/>
      <c r="T249" s="80"/>
      <c r="U249" s="80"/>
      <c r="V249" s="80"/>
      <c r="W249" s="80"/>
      <c r="X249" s="80"/>
      <c r="Y249" s="80"/>
      <c r="Z249" s="80"/>
      <c r="AA249" s="81"/>
      <c r="AB249" s="81"/>
      <c r="AC249" s="81"/>
      <c r="AD249" s="81"/>
      <c r="AE249" s="81"/>
    </row>
    <row r="250">
      <c r="A250" s="16"/>
      <c r="B250" s="127" t="s">
        <v>31</v>
      </c>
      <c r="C250" s="127">
        <v>75385.0</v>
      </c>
      <c r="D250" s="108" t="s">
        <v>541</v>
      </c>
      <c r="E250" s="109"/>
      <c r="F250" s="58"/>
      <c r="G250" s="128" t="s">
        <v>542</v>
      </c>
      <c r="H250" s="129">
        <v>4.66</v>
      </c>
      <c r="I250" s="129">
        <v>6.86</v>
      </c>
      <c r="J250" s="130" t="b">
        <v>0</v>
      </c>
      <c r="K250" s="58"/>
      <c r="L250" s="131">
        <f t="shared" si="8"/>
        <v>1</v>
      </c>
      <c r="M250" s="130"/>
      <c r="N250" s="109"/>
      <c r="O250" s="109"/>
      <c r="P250" s="109"/>
      <c r="Q250" s="58"/>
      <c r="R250" s="126"/>
      <c r="S250" s="126"/>
      <c r="T250" s="80"/>
      <c r="U250" s="80"/>
      <c r="V250" s="80"/>
      <c r="W250" s="80"/>
      <c r="X250" s="80"/>
      <c r="Y250" s="80"/>
      <c r="Z250" s="80"/>
      <c r="AA250" s="81"/>
      <c r="AB250" s="81"/>
      <c r="AC250" s="81"/>
      <c r="AD250" s="81"/>
      <c r="AE250" s="81"/>
    </row>
    <row r="251">
      <c r="A251" s="16"/>
      <c r="B251" s="127" t="s">
        <v>31</v>
      </c>
      <c r="C251" s="127">
        <v>75385.0</v>
      </c>
      <c r="D251" s="108" t="s">
        <v>543</v>
      </c>
      <c r="E251" s="109"/>
      <c r="F251" s="58"/>
      <c r="G251" s="128" t="s">
        <v>544</v>
      </c>
      <c r="H251" s="129">
        <v>13.76</v>
      </c>
      <c r="I251" s="129">
        <v>15.24</v>
      </c>
      <c r="J251" s="130" t="b">
        <v>0</v>
      </c>
      <c r="K251" s="58"/>
      <c r="L251" s="131">
        <f t="shared" si="8"/>
        <v>1</v>
      </c>
      <c r="M251" s="130"/>
      <c r="N251" s="109"/>
      <c r="O251" s="109"/>
      <c r="P251" s="109"/>
      <c r="Q251" s="58"/>
      <c r="R251" s="126"/>
      <c r="S251" s="126"/>
      <c r="T251" s="80"/>
      <c r="U251" s="80"/>
      <c r="V251" s="80"/>
      <c r="W251" s="80"/>
      <c r="X251" s="80"/>
      <c r="Y251" s="80"/>
      <c r="Z251" s="80"/>
      <c r="AA251" s="81"/>
      <c r="AB251" s="81"/>
      <c r="AC251" s="81"/>
      <c r="AD251" s="81"/>
      <c r="AE251" s="81"/>
    </row>
    <row r="252">
      <c r="A252" s="16"/>
      <c r="B252" s="127" t="s">
        <v>31</v>
      </c>
      <c r="C252" s="127">
        <v>75385.0</v>
      </c>
      <c r="D252" s="108" t="s">
        <v>545</v>
      </c>
      <c r="E252" s="109"/>
      <c r="F252" s="58"/>
      <c r="G252" s="128" t="s">
        <v>546</v>
      </c>
      <c r="H252" s="129">
        <v>4.23</v>
      </c>
      <c r="I252" s="129">
        <v>5.66</v>
      </c>
      <c r="J252" s="130" t="b">
        <v>0</v>
      </c>
      <c r="K252" s="58"/>
      <c r="L252" s="131">
        <f t="shared" si="8"/>
        <v>1</v>
      </c>
      <c r="M252" s="130"/>
      <c r="N252" s="109"/>
      <c r="O252" s="109"/>
      <c r="P252" s="109"/>
      <c r="Q252" s="58"/>
      <c r="R252" s="126"/>
      <c r="S252" s="126"/>
      <c r="T252" s="80"/>
      <c r="U252" s="80"/>
      <c r="V252" s="80"/>
      <c r="W252" s="80"/>
      <c r="X252" s="80"/>
      <c r="Y252" s="80"/>
      <c r="Z252" s="80"/>
      <c r="AA252" s="81"/>
      <c r="AB252" s="81"/>
      <c r="AC252" s="81"/>
      <c r="AD252" s="81"/>
      <c r="AE252" s="81"/>
    </row>
    <row r="253">
      <c r="A253" s="16"/>
      <c r="B253" s="127" t="s">
        <v>31</v>
      </c>
      <c r="C253" s="127">
        <v>75385.0</v>
      </c>
      <c r="D253" s="108" t="s">
        <v>547</v>
      </c>
      <c r="E253" s="109"/>
      <c r="F253" s="58"/>
      <c r="G253" s="128" t="s">
        <v>548</v>
      </c>
      <c r="H253" s="129">
        <v>11.45</v>
      </c>
      <c r="I253" s="129">
        <v>11.94</v>
      </c>
      <c r="J253" s="130" t="b">
        <v>0</v>
      </c>
      <c r="K253" s="58"/>
      <c r="L253" s="131">
        <f t="shared" si="8"/>
        <v>1</v>
      </c>
      <c r="M253" s="130"/>
      <c r="N253" s="109"/>
      <c r="O253" s="109"/>
      <c r="P253" s="109"/>
      <c r="Q253" s="58"/>
      <c r="R253" s="126"/>
      <c r="S253" s="126"/>
      <c r="T253" s="80"/>
      <c r="U253" s="80"/>
      <c r="V253" s="80"/>
      <c r="W253" s="80"/>
      <c r="X253" s="80"/>
      <c r="Y253" s="80"/>
      <c r="Z253" s="80"/>
      <c r="AA253" s="81"/>
      <c r="AB253" s="81"/>
      <c r="AC253" s="81"/>
      <c r="AD253" s="81"/>
      <c r="AE253" s="81"/>
    </row>
    <row r="254">
      <c r="A254" s="16"/>
      <c r="B254" s="127" t="s">
        <v>31</v>
      </c>
      <c r="C254" s="127">
        <v>75386.0</v>
      </c>
      <c r="D254" s="108" t="s">
        <v>549</v>
      </c>
      <c r="E254" s="109"/>
      <c r="F254" s="58"/>
      <c r="G254" s="128" t="s">
        <v>550</v>
      </c>
      <c r="H254" s="129">
        <v>3.22</v>
      </c>
      <c r="I254" s="129">
        <v>3.8</v>
      </c>
      <c r="J254" s="130" t="b">
        <v>0</v>
      </c>
      <c r="K254" s="58"/>
      <c r="L254" s="131">
        <f t="shared" si="8"/>
        <v>2</v>
      </c>
      <c r="M254" s="130"/>
      <c r="N254" s="109"/>
      <c r="O254" s="109"/>
      <c r="P254" s="109"/>
      <c r="Q254" s="58"/>
      <c r="R254" s="126"/>
      <c r="S254" s="126"/>
      <c r="T254" s="80"/>
      <c r="U254" s="80"/>
      <c r="V254" s="80"/>
      <c r="W254" s="80"/>
      <c r="X254" s="80"/>
      <c r="Y254" s="80"/>
      <c r="Z254" s="80"/>
      <c r="AA254" s="81"/>
      <c r="AB254" s="81"/>
      <c r="AC254" s="81"/>
      <c r="AD254" s="81"/>
      <c r="AE254" s="81"/>
    </row>
    <row r="255">
      <c r="A255" s="16"/>
      <c r="B255" s="127" t="s">
        <v>31</v>
      </c>
      <c r="C255" s="127">
        <v>75386.0</v>
      </c>
      <c r="D255" s="108" t="s">
        <v>549</v>
      </c>
      <c r="E255" s="109"/>
      <c r="F255" s="58"/>
      <c r="G255" s="128" t="s">
        <v>550</v>
      </c>
      <c r="H255" s="129">
        <v>3.22</v>
      </c>
      <c r="I255" s="129">
        <v>3.8</v>
      </c>
      <c r="J255" s="130" t="b">
        <v>0</v>
      </c>
      <c r="K255" s="58"/>
      <c r="L255" s="131">
        <f t="shared" si="8"/>
        <v>2</v>
      </c>
      <c r="M255" s="130"/>
      <c r="N255" s="109"/>
      <c r="O255" s="109"/>
      <c r="P255" s="109"/>
      <c r="Q255" s="58"/>
      <c r="R255" s="126"/>
      <c r="S255" s="126"/>
      <c r="T255" s="80"/>
      <c r="U255" s="80"/>
      <c r="V255" s="80"/>
      <c r="W255" s="80"/>
      <c r="X255" s="80"/>
      <c r="Y255" s="80"/>
      <c r="Z255" s="80"/>
      <c r="AA255" s="81"/>
      <c r="AB255" s="81"/>
      <c r="AC255" s="81"/>
      <c r="AD255" s="81"/>
      <c r="AE255" s="81"/>
    </row>
    <row r="256">
      <c r="A256" s="16"/>
      <c r="B256" s="127" t="s">
        <v>31</v>
      </c>
      <c r="C256" s="127">
        <v>75386.0</v>
      </c>
      <c r="D256" s="108" t="s">
        <v>551</v>
      </c>
      <c r="E256" s="109"/>
      <c r="F256" s="58"/>
      <c r="G256" s="128" t="s">
        <v>552</v>
      </c>
      <c r="H256" s="129">
        <v>8.47</v>
      </c>
      <c r="I256" s="129">
        <v>9.79</v>
      </c>
      <c r="J256" s="130" t="b">
        <v>0</v>
      </c>
      <c r="K256" s="58"/>
      <c r="L256" s="131">
        <f t="shared" si="8"/>
        <v>1</v>
      </c>
      <c r="M256" s="130"/>
      <c r="N256" s="109"/>
      <c r="O256" s="109"/>
      <c r="P256" s="109"/>
      <c r="Q256" s="58"/>
      <c r="R256" s="126"/>
      <c r="S256" s="126"/>
      <c r="T256" s="80"/>
      <c r="U256" s="80"/>
      <c r="V256" s="80"/>
      <c r="W256" s="80"/>
      <c r="X256" s="80"/>
      <c r="Y256" s="80"/>
      <c r="Z256" s="80"/>
      <c r="AA256" s="81"/>
      <c r="AB256" s="81"/>
      <c r="AC256" s="81"/>
      <c r="AD256" s="81"/>
      <c r="AE256" s="81"/>
    </row>
    <row r="257">
      <c r="A257" s="16"/>
      <c r="B257" s="127" t="s">
        <v>31</v>
      </c>
      <c r="C257" s="127">
        <v>75386.0</v>
      </c>
      <c r="D257" s="108" t="s">
        <v>553</v>
      </c>
      <c r="E257" s="109"/>
      <c r="F257" s="58"/>
      <c r="G257" s="128" t="s">
        <v>554</v>
      </c>
      <c r="H257" s="129">
        <v>5.76</v>
      </c>
      <c r="I257" s="129">
        <v>6.56</v>
      </c>
      <c r="J257" s="130" t="b">
        <v>0</v>
      </c>
      <c r="K257" s="58"/>
      <c r="L257" s="131">
        <f t="shared" si="8"/>
        <v>1</v>
      </c>
      <c r="M257" s="130"/>
      <c r="N257" s="109"/>
      <c r="O257" s="109"/>
      <c r="P257" s="109"/>
      <c r="Q257" s="58"/>
      <c r="R257" s="126"/>
      <c r="S257" s="126"/>
      <c r="T257" s="80"/>
      <c r="U257" s="80"/>
      <c r="V257" s="80"/>
      <c r="W257" s="80"/>
      <c r="X257" s="80"/>
      <c r="Y257" s="80"/>
      <c r="Z257" s="80"/>
      <c r="AA257" s="81"/>
      <c r="AB257" s="81"/>
      <c r="AC257" s="81"/>
      <c r="AD257" s="81"/>
      <c r="AE257" s="81"/>
    </row>
    <row r="258">
      <c r="A258" s="16"/>
      <c r="B258" s="127" t="s">
        <v>31</v>
      </c>
      <c r="C258" s="127">
        <v>75387.0</v>
      </c>
      <c r="D258" s="108" t="s">
        <v>555</v>
      </c>
      <c r="E258" s="109"/>
      <c r="F258" s="58"/>
      <c r="G258" s="128" t="s">
        <v>556</v>
      </c>
      <c r="H258" s="129">
        <v>3.05</v>
      </c>
      <c r="I258" s="129">
        <v>3.21</v>
      </c>
      <c r="J258" s="130" t="b">
        <v>0</v>
      </c>
      <c r="K258" s="58"/>
      <c r="L258" s="131">
        <f t="shared" si="8"/>
        <v>1</v>
      </c>
      <c r="M258" s="130"/>
      <c r="N258" s="109"/>
      <c r="O258" s="109"/>
      <c r="P258" s="109"/>
      <c r="Q258" s="58"/>
      <c r="R258" s="126"/>
      <c r="S258" s="126"/>
      <c r="T258" s="80"/>
      <c r="U258" s="80"/>
      <c r="V258" s="80"/>
      <c r="W258" s="80"/>
      <c r="X258" s="80"/>
      <c r="Y258" s="80"/>
      <c r="Z258" s="80"/>
      <c r="AA258" s="81"/>
      <c r="AB258" s="81"/>
      <c r="AC258" s="81"/>
      <c r="AD258" s="81"/>
      <c r="AE258" s="81"/>
    </row>
    <row r="259">
      <c r="A259" s="16"/>
      <c r="B259" s="127" t="s">
        <v>31</v>
      </c>
      <c r="C259" s="127">
        <v>75387.0</v>
      </c>
      <c r="D259" s="108" t="s">
        <v>557</v>
      </c>
      <c r="E259" s="109"/>
      <c r="F259" s="58"/>
      <c r="G259" s="128" t="s">
        <v>558</v>
      </c>
      <c r="H259" s="129">
        <v>13.96</v>
      </c>
      <c r="I259" s="129">
        <v>14.6</v>
      </c>
      <c r="J259" s="108" t="b">
        <v>1</v>
      </c>
      <c r="K259" s="58"/>
      <c r="L259" s="131">
        <f t="shared" si="8"/>
        <v>1</v>
      </c>
      <c r="M259" s="130"/>
      <c r="N259" s="109"/>
      <c r="O259" s="109"/>
      <c r="P259" s="109"/>
      <c r="Q259" s="58"/>
      <c r="R259" s="126"/>
      <c r="S259" s="126"/>
      <c r="T259" s="80"/>
      <c r="U259" s="80"/>
      <c r="V259" s="80"/>
      <c r="W259" s="80"/>
      <c r="X259" s="80"/>
      <c r="Y259" s="80"/>
      <c r="Z259" s="80"/>
      <c r="AA259" s="81"/>
      <c r="AB259" s="81"/>
      <c r="AC259" s="81"/>
      <c r="AD259" s="81"/>
      <c r="AE259" s="81"/>
    </row>
    <row r="260">
      <c r="A260" s="16"/>
      <c r="B260" s="127" t="s">
        <v>31</v>
      </c>
      <c r="C260" s="127">
        <v>75387.0</v>
      </c>
      <c r="D260" s="108" t="s">
        <v>409</v>
      </c>
      <c r="E260" s="109"/>
      <c r="F260" s="58"/>
      <c r="G260" s="128" t="s">
        <v>559</v>
      </c>
      <c r="H260" s="129">
        <v>5.46</v>
      </c>
      <c r="I260" s="129">
        <v>5.87</v>
      </c>
      <c r="J260" s="130" t="b">
        <v>0</v>
      </c>
      <c r="K260" s="58"/>
      <c r="L260" s="131">
        <f t="shared" si="8"/>
        <v>3</v>
      </c>
      <c r="M260" s="130"/>
      <c r="N260" s="109"/>
      <c r="O260" s="109"/>
      <c r="P260" s="109"/>
      <c r="Q260" s="58"/>
      <c r="R260" s="126"/>
      <c r="S260" s="126"/>
      <c r="T260" s="80"/>
      <c r="U260" s="80"/>
      <c r="V260" s="80"/>
      <c r="W260" s="80"/>
      <c r="X260" s="80"/>
      <c r="Y260" s="80"/>
      <c r="Z260" s="80"/>
      <c r="AA260" s="81"/>
      <c r="AB260" s="81"/>
      <c r="AC260" s="81"/>
      <c r="AD260" s="81"/>
      <c r="AE260" s="81"/>
    </row>
    <row r="261">
      <c r="A261" s="16"/>
      <c r="B261" s="127" t="s">
        <v>31</v>
      </c>
      <c r="C261" s="127">
        <v>75387.0</v>
      </c>
      <c r="D261" s="108" t="s">
        <v>409</v>
      </c>
      <c r="E261" s="109"/>
      <c r="F261" s="58"/>
      <c r="G261" s="128" t="s">
        <v>559</v>
      </c>
      <c r="H261" s="129">
        <v>5.46</v>
      </c>
      <c r="I261" s="129">
        <v>5.87</v>
      </c>
      <c r="J261" s="130" t="b">
        <v>0</v>
      </c>
      <c r="K261" s="58"/>
      <c r="L261" s="131">
        <f t="shared" si="8"/>
        <v>3</v>
      </c>
      <c r="M261" s="130"/>
      <c r="N261" s="109"/>
      <c r="O261" s="109"/>
      <c r="P261" s="109"/>
      <c r="Q261" s="58"/>
      <c r="R261" s="126"/>
      <c r="S261" s="126"/>
      <c r="T261" s="80"/>
      <c r="U261" s="80"/>
      <c r="V261" s="80"/>
      <c r="W261" s="80"/>
      <c r="X261" s="80"/>
      <c r="Y261" s="80"/>
      <c r="Z261" s="80"/>
      <c r="AA261" s="81"/>
      <c r="AB261" s="81"/>
      <c r="AC261" s="81"/>
      <c r="AD261" s="81"/>
      <c r="AE261" s="81"/>
    </row>
    <row r="262">
      <c r="A262" s="16"/>
      <c r="B262" s="127" t="s">
        <v>31</v>
      </c>
      <c r="C262" s="127">
        <v>75387.0</v>
      </c>
      <c r="D262" s="108" t="s">
        <v>560</v>
      </c>
      <c r="E262" s="109"/>
      <c r="F262" s="58"/>
      <c r="G262" s="128" t="s">
        <v>561</v>
      </c>
      <c r="H262" s="129">
        <v>3.4</v>
      </c>
      <c r="I262" s="129">
        <v>3.69</v>
      </c>
      <c r="J262" s="130" t="b">
        <v>0</v>
      </c>
      <c r="K262" s="58"/>
      <c r="L262" s="131">
        <f t="shared" si="8"/>
        <v>1</v>
      </c>
      <c r="M262" s="130"/>
      <c r="N262" s="109"/>
      <c r="O262" s="109"/>
      <c r="P262" s="109"/>
      <c r="Q262" s="58"/>
      <c r="R262" s="126"/>
      <c r="S262" s="126"/>
      <c r="T262" s="80"/>
      <c r="U262" s="80"/>
      <c r="V262" s="80"/>
      <c r="W262" s="80"/>
      <c r="X262" s="80"/>
      <c r="Y262" s="80"/>
      <c r="Z262" s="80"/>
      <c r="AA262" s="81"/>
      <c r="AB262" s="81"/>
      <c r="AC262" s="81"/>
      <c r="AD262" s="81"/>
      <c r="AE262" s="81"/>
    </row>
    <row r="263">
      <c r="A263" s="16"/>
      <c r="B263" s="127" t="s">
        <v>31</v>
      </c>
      <c r="C263" s="127">
        <v>75387.0</v>
      </c>
      <c r="D263" s="108" t="s">
        <v>371</v>
      </c>
      <c r="E263" s="109"/>
      <c r="F263" s="58"/>
      <c r="G263" s="128" t="s">
        <v>372</v>
      </c>
      <c r="H263" s="129">
        <v>3.01</v>
      </c>
      <c r="I263" s="129">
        <v>3.45</v>
      </c>
      <c r="J263" s="130" t="b">
        <v>0</v>
      </c>
      <c r="K263" s="58"/>
      <c r="L263" s="131">
        <f t="shared" si="8"/>
        <v>4</v>
      </c>
      <c r="M263" s="130"/>
      <c r="N263" s="109"/>
      <c r="O263" s="109"/>
      <c r="P263" s="109"/>
      <c r="Q263" s="58"/>
      <c r="R263" s="126"/>
      <c r="S263" s="126"/>
      <c r="T263" s="80"/>
      <c r="U263" s="80"/>
      <c r="V263" s="80"/>
      <c r="W263" s="80"/>
      <c r="X263" s="80"/>
      <c r="Y263" s="80"/>
      <c r="Z263" s="80"/>
      <c r="AA263" s="81"/>
      <c r="AB263" s="81"/>
      <c r="AC263" s="81"/>
      <c r="AD263" s="81"/>
      <c r="AE263" s="81"/>
    </row>
    <row r="264">
      <c r="A264" s="16"/>
      <c r="B264" s="127" t="s">
        <v>31</v>
      </c>
      <c r="C264" s="127">
        <v>75387.0</v>
      </c>
      <c r="D264" s="108" t="s">
        <v>373</v>
      </c>
      <c r="E264" s="109"/>
      <c r="F264" s="58"/>
      <c r="G264" s="128" t="s">
        <v>375</v>
      </c>
      <c r="H264" s="129">
        <v>2.96</v>
      </c>
      <c r="I264" s="129">
        <v>3.13</v>
      </c>
      <c r="J264" s="130" t="b">
        <v>0</v>
      </c>
      <c r="K264" s="58"/>
      <c r="L264" s="131">
        <f t="shared" si="8"/>
        <v>4</v>
      </c>
      <c r="M264" s="130"/>
      <c r="N264" s="109"/>
      <c r="O264" s="109"/>
      <c r="P264" s="109"/>
      <c r="Q264" s="58"/>
      <c r="R264" s="126"/>
      <c r="S264" s="126"/>
      <c r="T264" s="80"/>
      <c r="U264" s="80"/>
      <c r="V264" s="80"/>
      <c r="W264" s="80"/>
      <c r="X264" s="80"/>
      <c r="Y264" s="80"/>
      <c r="Z264" s="80"/>
      <c r="AA264" s="81"/>
      <c r="AB264" s="81"/>
      <c r="AC264" s="81"/>
      <c r="AD264" s="81"/>
      <c r="AE264" s="81"/>
    </row>
    <row r="265">
      <c r="A265" s="16"/>
      <c r="B265" s="127" t="s">
        <v>31</v>
      </c>
      <c r="C265" s="127">
        <v>75387.0</v>
      </c>
      <c r="D265" s="108" t="s">
        <v>373</v>
      </c>
      <c r="E265" s="109"/>
      <c r="F265" s="58"/>
      <c r="G265" s="128" t="s">
        <v>375</v>
      </c>
      <c r="H265" s="129">
        <v>2.96</v>
      </c>
      <c r="I265" s="129">
        <v>3.13</v>
      </c>
      <c r="J265" s="130" t="b">
        <v>0</v>
      </c>
      <c r="K265" s="58"/>
      <c r="L265" s="131">
        <f t="shared" si="8"/>
        <v>4</v>
      </c>
      <c r="M265" s="130"/>
      <c r="N265" s="109"/>
      <c r="O265" s="109"/>
      <c r="P265" s="109"/>
      <c r="Q265" s="58"/>
      <c r="R265" s="126"/>
      <c r="S265" s="126"/>
      <c r="T265" s="80"/>
      <c r="U265" s="80"/>
      <c r="V265" s="80"/>
      <c r="W265" s="80"/>
      <c r="X265" s="80"/>
      <c r="Y265" s="80"/>
      <c r="Z265" s="80"/>
      <c r="AA265" s="81"/>
      <c r="AB265" s="81"/>
      <c r="AC265" s="81"/>
      <c r="AD265" s="81"/>
      <c r="AE265" s="81"/>
    </row>
    <row r="266">
      <c r="A266" s="16"/>
      <c r="B266" s="127" t="s">
        <v>31</v>
      </c>
      <c r="C266" s="127">
        <v>75389.0</v>
      </c>
      <c r="D266" s="108" t="s">
        <v>562</v>
      </c>
      <c r="E266" s="109"/>
      <c r="F266" s="58"/>
      <c r="G266" s="128" t="s">
        <v>563</v>
      </c>
      <c r="H266" s="129">
        <v>6.13</v>
      </c>
      <c r="I266" s="129">
        <v>10.58</v>
      </c>
      <c r="J266" s="130" t="b">
        <v>0</v>
      </c>
      <c r="K266" s="58"/>
      <c r="L266" s="131">
        <f t="shared" si="8"/>
        <v>1</v>
      </c>
      <c r="M266" s="130"/>
      <c r="N266" s="109"/>
      <c r="O266" s="109"/>
      <c r="P266" s="109"/>
      <c r="Q266" s="58"/>
      <c r="R266" s="126"/>
      <c r="S266" s="126"/>
      <c r="T266" s="80"/>
      <c r="U266" s="80"/>
      <c r="V266" s="80"/>
      <c r="W266" s="80"/>
      <c r="X266" s="80"/>
      <c r="Y266" s="80"/>
      <c r="Z266" s="80"/>
      <c r="AA266" s="81"/>
      <c r="AB266" s="81"/>
      <c r="AC266" s="81"/>
      <c r="AD266" s="81"/>
      <c r="AE266" s="81"/>
    </row>
    <row r="267">
      <c r="A267" s="16"/>
      <c r="B267" s="127" t="s">
        <v>31</v>
      </c>
      <c r="C267" s="127">
        <v>75389.0</v>
      </c>
      <c r="D267" s="108" t="s">
        <v>564</v>
      </c>
      <c r="E267" s="109"/>
      <c r="F267" s="58"/>
      <c r="G267" s="128" t="s">
        <v>565</v>
      </c>
      <c r="H267" s="129">
        <v>9.64</v>
      </c>
      <c r="I267" s="129">
        <v>11.73</v>
      </c>
      <c r="J267" s="130" t="b">
        <v>0</v>
      </c>
      <c r="K267" s="58"/>
      <c r="L267" s="131">
        <f t="shared" si="8"/>
        <v>1</v>
      </c>
      <c r="M267" s="130"/>
      <c r="N267" s="109"/>
      <c r="O267" s="109"/>
      <c r="P267" s="109"/>
      <c r="Q267" s="58"/>
      <c r="R267" s="126"/>
      <c r="S267" s="126"/>
      <c r="T267" s="80"/>
      <c r="U267" s="80"/>
      <c r="V267" s="80"/>
      <c r="W267" s="80"/>
      <c r="X267" s="80"/>
      <c r="Y267" s="80"/>
      <c r="Z267" s="80"/>
      <c r="AA267" s="81"/>
      <c r="AB267" s="81"/>
      <c r="AC267" s="81"/>
      <c r="AD267" s="81"/>
      <c r="AE267" s="81"/>
    </row>
    <row r="268">
      <c r="A268" s="16"/>
      <c r="B268" s="127" t="s">
        <v>31</v>
      </c>
      <c r="C268" s="127">
        <v>75389.0</v>
      </c>
      <c r="D268" s="108" t="s">
        <v>566</v>
      </c>
      <c r="E268" s="109"/>
      <c r="F268" s="58"/>
      <c r="G268" s="128" t="s">
        <v>567</v>
      </c>
      <c r="H268" s="129">
        <v>8.8</v>
      </c>
      <c r="I268" s="129">
        <v>12.45</v>
      </c>
      <c r="J268" s="130" t="b">
        <v>0</v>
      </c>
      <c r="K268" s="58"/>
      <c r="L268" s="131">
        <f t="shared" si="8"/>
        <v>1</v>
      </c>
      <c r="M268" s="130"/>
      <c r="N268" s="109"/>
      <c r="O268" s="109"/>
      <c r="P268" s="109"/>
      <c r="Q268" s="58"/>
      <c r="R268" s="126"/>
      <c r="S268" s="126"/>
      <c r="T268" s="80"/>
      <c r="U268" s="80"/>
      <c r="V268" s="80"/>
      <c r="W268" s="80"/>
      <c r="X268" s="80"/>
      <c r="Y268" s="80"/>
      <c r="Z268" s="80"/>
      <c r="AA268" s="81"/>
      <c r="AB268" s="81"/>
      <c r="AC268" s="81"/>
      <c r="AD268" s="81"/>
      <c r="AE268" s="81"/>
    </row>
    <row r="269">
      <c r="A269" s="16"/>
      <c r="B269" s="127" t="s">
        <v>31</v>
      </c>
      <c r="C269" s="127">
        <v>75389.0</v>
      </c>
      <c r="D269" s="108" t="s">
        <v>568</v>
      </c>
      <c r="E269" s="109"/>
      <c r="F269" s="58"/>
      <c r="G269" s="128" t="s">
        <v>569</v>
      </c>
      <c r="H269" s="129">
        <v>11.34</v>
      </c>
      <c r="I269" s="129">
        <v>15.8</v>
      </c>
      <c r="J269" s="130" t="b">
        <v>0</v>
      </c>
      <c r="K269" s="58"/>
      <c r="L269" s="131">
        <f t="shared" si="8"/>
        <v>1</v>
      </c>
      <c r="M269" s="130"/>
      <c r="N269" s="109"/>
      <c r="O269" s="109"/>
      <c r="P269" s="109"/>
      <c r="Q269" s="58"/>
      <c r="R269" s="126"/>
      <c r="S269" s="126"/>
      <c r="T269" s="80"/>
      <c r="U269" s="80"/>
      <c r="V269" s="80"/>
      <c r="W269" s="80"/>
      <c r="X269" s="80"/>
      <c r="Y269" s="80"/>
      <c r="Z269" s="80"/>
      <c r="AA269" s="81"/>
      <c r="AB269" s="81"/>
      <c r="AC269" s="81"/>
      <c r="AD269" s="81"/>
      <c r="AE269" s="81"/>
    </row>
    <row r="270">
      <c r="A270" s="16"/>
      <c r="B270" s="127" t="s">
        <v>31</v>
      </c>
      <c r="C270" s="127">
        <v>75389.0</v>
      </c>
      <c r="D270" s="108" t="s">
        <v>570</v>
      </c>
      <c r="E270" s="109"/>
      <c r="F270" s="58"/>
      <c r="G270" s="128" t="s">
        <v>571</v>
      </c>
      <c r="H270" s="129">
        <v>10.64</v>
      </c>
      <c r="I270" s="129">
        <v>16.07</v>
      </c>
      <c r="J270" s="130" t="b">
        <v>0</v>
      </c>
      <c r="K270" s="58"/>
      <c r="L270" s="131">
        <f t="shared" si="8"/>
        <v>1</v>
      </c>
      <c r="M270" s="130"/>
      <c r="N270" s="109"/>
      <c r="O270" s="109"/>
      <c r="P270" s="109"/>
      <c r="Q270" s="58"/>
      <c r="R270" s="126"/>
      <c r="S270" s="126"/>
      <c r="T270" s="80"/>
      <c r="U270" s="80"/>
      <c r="V270" s="80"/>
      <c r="W270" s="80"/>
      <c r="X270" s="80"/>
      <c r="Y270" s="80"/>
      <c r="Z270" s="80"/>
      <c r="AA270" s="81"/>
      <c r="AB270" s="81"/>
      <c r="AC270" s="81"/>
      <c r="AD270" s="81"/>
      <c r="AE270" s="81"/>
    </row>
    <row r="271">
      <c r="A271" s="16"/>
      <c r="B271" s="127" t="s">
        <v>31</v>
      </c>
      <c r="C271" s="127">
        <v>75389.0</v>
      </c>
      <c r="D271" s="108" t="s">
        <v>572</v>
      </c>
      <c r="E271" s="109"/>
      <c r="F271" s="58"/>
      <c r="G271" s="128" t="s">
        <v>573</v>
      </c>
      <c r="H271" s="129">
        <v>27.11</v>
      </c>
      <c r="I271" s="129">
        <v>30.62</v>
      </c>
      <c r="J271" s="130" t="b">
        <v>0</v>
      </c>
      <c r="K271" s="58"/>
      <c r="L271" s="131">
        <f t="shared" si="8"/>
        <v>1</v>
      </c>
      <c r="M271" s="130"/>
      <c r="N271" s="109"/>
      <c r="O271" s="109"/>
      <c r="P271" s="109"/>
      <c r="Q271" s="58"/>
      <c r="R271" s="126"/>
      <c r="S271" s="126"/>
      <c r="T271" s="80"/>
      <c r="U271" s="80"/>
      <c r="V271" s="80"/>
      <c r="W271" s="80"/>
      <c r="X271" s="80"/>
      <c r="Y271" s="80"/>
      <c r="Z271" s="80"/>
      <c r="AA271" s="81"/>
      <c r="AB271" s="81"/>
      <c r="AC271" s="81"/>
      <c r="AD271" s="81"/>
      <c r="AE271" s="81"/>
    </row>
    <row r="272">
      <c r="A272" s="16"/>
      <c r="B272" s="127" t="s">
        <v>31</v>
      </c>
      <c r="C272" s="127">
        <v>75391.0</v>
      </c>
      <c r="D272" s="108" t="s">
        <v>505</v>
      </c>
      <c r="E272" s="109"/>
      <c r="F272" s="58"/>
      <c r="G272" s="128" t="s">
        <v>506</v>
      </c>
      <c r="H272" s="129">
        <v>7.97</v>
      </c>
      <c r="I272" s="129">
        <v>11.93</v>
      </c>
      <c r="J272" s="130" t="b">
        <v>0</v>
      </c>
      <c r="K272" s="58"/>
      <c r="L272" s="131">
        <f t="shared" si="8"/>
        <v>2</v>
      </c>
      <c r="M272" s="130"/>
      <c r="N272" s="109"/>
      <c r="O272" s="109"/>
      <c r="P272" s="109"/>
      <c r="Q272" s="58"/>
      <c r="R272" s="126"/>
      <c r="S272" s="126"/>
      <c r="T272" s="80"/>
      <c r="U272" s="80"/>
      <c r="V272" s="80"/>
      <c r="W272" s="80"/>
      <c r="X272" s="80"/>
      <c r="Y272" s="80"/>
      <c r="Z272" s="80"/>
      <c r="AA272" s="81"/>
      <c r="AB272" s="81"/>
      <c r="AC272" s="81"/>
      <c r="AD272" s="81"/>
      <c r="AE272" s="81"/>
    </row>
    <row r="273">
      <c r="A273" s="16"/>
      <c r="B273" s="127" t="s">
        <v>31</v>
      </c>
      <c r="C273" s="127">
        <v>75392.0</v>
      </c>
      <c r="D273" s="108" t="s">
        <v>574</v>
      </c>
      <c r="E273" s="109"/>
      <c r="F273" s="58"/>
      <c r="G273" s="128" t="s">
        <v>575</v>
      </c>
      <c r="H273" s="129">
        <v>6.43</v>
      </c>
      <c r="I273" s="129">
        <v>8.62</v>
      </c>
      <c r="J273" s="130" t="b">
        <v>0</v>
      </c>
      <c r="K273" s="58"/>
      <c r="L273" s="131">
        <f t="shared" si="8"/>
        <v>1</v>
      </c>
      <c r="M273" s="130"/>
      <c r="N273" s="109"/>
      <c r="O273" s="109"/>
      <c r="P273" s="109"/>
      <c r="Q273" s="58"/>
      <c r="R273" s="126"/>
      <c r="S273" s="126"/>
      <c r="T273" s="80"/>
      <c r="U273" s="80"/>
      <c r="V273" s="80"/>
      <c r="W273" s="80"/>
      <c r="X273" s="80"/>
      <c r="Y273" s="80"/>
      <c r="Z273" s="80"/>
      <c r="AA273" s="81"/>
      <c r="AB273" s="81"/>
      <c r="AC273" s="81"/>
      <c r="AD273" s="81"/>
      <c r="AE273" s="81"/>
    </row>
    <row r="274">
      <c r="A274" s="16"/>
      <c r="B274" s="127" t="s">
        <v>31</v>
      </c>
      <c r="C274" s="127">
        <v>75392.0</v>
      </c>
      <c r="D274" s="108" t="s">
        <v>576</v>
      </c>
      <c r="E274" s="109"/>
      <c r="F274" s="58"/>
      <c r="G274" s="128" t="s">
        <v>577</v>
      </c>
      <c r="H274" s="129">
        <v>33.72</v>
      </c>
      <c r="I274" s="129">
        <v>37.25</v>
      </c>
      <c r="J274" s="108" t="b">
        <v>1</v>
      </c>
      <c r="K274" s="58"/>
      <c r="L274" s="131">
        <f t="shared" si="8"/>
        <v>1</v>
      </c>
      <c r="M274" s="130"/>
      <c r="N274" s="109"/>
      <c r="O274" s="109"/>
      <c r="P274" s="109"/>
      <c r="Q274" s="58"/>
      <c r="R274" s="126"/>
      <c r="S274" s="126"/>
      <c r="T274" s="80"/>
      <c r="U274" s="80"/>
      <c r="V274" s="80"/>
      <c r="W274" s="80"/>
      <c r="X274" s="80"/>
      <c r="Y274" s="80"/>
      <c r="Z274" s="80"/>
      <c r="AA274" s="81"/>
      <c r="AB274" s="81"/>
      <c r="AC274" s="81"/>
      <c r="AD274" s="81"/>
      <c r="AE274" s="81"/>
    </row>
    <row r="275">
      <c r="A275" s="16"/>
      <c r="B275" s="127" t="s">
        <v>31</v>
      </c>
      <c r="C275" s="127">
        <v>75393.0</v>
      </c>
      <c r="D275" s="108" t="s">
        <v>578</v>
      </c>
      <c r="E275" s="109"/>
      <c r="F275" s="58"/>
      <c r="G275" s="128" t="s">
        <v>579</v>
      </c>
      <c r="H275" s="129">
        <v>16.13</v>
      </c>
      <c r="I275" s="129">
        <v>16.91</v>
      </c>
      <c r="J275" s="130" t="b">
        <v>0</v>
      </c>
      <c r="K275" s="58"/>
      <c r="L275" s="131">
        <f t="shared" si="8"/>
        <v>1</v>
      </c>
      <c r="M275" s="130"/>
      <c r="N275" s="109"/>
      <c r="O275" s="109"/>
      <c r="P275" s="109"/>
      <c r="Q275" s="58"/>
      <c r="R275" s="126"/>
      <c r="S275" s="126"/>
      <c r="T275" s="80"/>
      <c r="U275" s="80"/>
      <c r="V275" s="80"/>
      <c r="W275" s="80"/>
      <c r="X275" s="80"/>
      <c r="Y275" s="80"/>
      <c r="Z275" s="80"/>
      <c r="AA275" s="81"/>
      <c r="AB275" s="81"/>
      <c r="AC275" s="81"/>
      <c r="AD275" s="81"/>
      <c r="AE275" s="81"/>
    </row>
    <row r="276">
      <c r="A276" s="16"/>
      <c r="B276" s="127" t="s">
        <v>31</v>
      </c>
      <c r="C276" s="127">
        <v>75393.0</v>
      </c>
      <c r="D276" s="108" t="s">
        <v>580</v>
      </c>
      <c r="E276" s="109"/>
      <c r="F276" s="58"/>
      <c r="G276" s="128" t="s">
        <v>581</v>
      </c>
      <c r="H276" s="129">
        <v>3.56</v>
      </c>
      <c r="I276" s="129">
        <v>4.04</v>
      </c>
      <c r="J276" s="130" t="b">
        <v>0</v>
      </c>
      <c r="K276" s="58"/>
      <c r="L276" s="131">
        <f t="shared" si="8"/>
        <v>1</v>
      </c>
      <c r="M276" s="130"/>
      <c r="N276" s="109"/>
      <c r="O276" s="109"/>
      <c r="P276" s="109"/>
      <c r="Q276" s="58"/>
      <c r="R276" s="126"/>
      <c r="S276" s="126"/>
      <c r="T276" s="80"/>
      <c r="U276" s="80"/>
      <c r="V276" s="80"/>
      <c r="W276" s="80"/>
      <c r="X276" s="80"/>
      <c r="Y276" s="80"/>
      <c r="Z276" s="80"/>
      <c r="AA276" s="81"/>
      <c r="AB276" s="81"/>
      <c r="AC276" s="81"/>
      <c r="AD276" s="81"/>
      <c r="AE276" s="81"/>
    </row>
    <row r="277">
      <c r="A277" s="16"/>
      <c r="B277" s="127" t="s">
        <v>31</v>
      </c>
      <c r="C277" s="127">
        <v>75393.0</v>
      </c>
      <c r="D277" s="108" t="s">
        <v>582</v>
      </c>
      <c r="E277" s="109"/>
      <c r="F277" s="58"/>
      <c r="G277" s="128" t="s">
        <v>583</v>
      </c>
      <c r="H277" s="129">
        <v>8.16</v>
      </c>
      <c r="I277" s="129">
        <v>8.73</v>
      </c>
      <c r="J277" s="130" t="b">
        <v>0</v>
      </c>
      <c r="K277" s="58"/>
      <c r="L277" s="131">
        <f t="shared" si="8"/>
        <v>1</v>
      </c>
      <c r="M277" s="130"/>
      <c r="N277" s="109"/>
      <c r="O277" s="109"/>
      <c r="P277" s="109"/>
      <c r="Q277" s="58"/>
      <c r="R277" s="126"/>
      <c r="S277" s="126"/>
      <c r="T277" s="80"/>
      <c r="U277" s="80"/>
      <c r="V277" s="80"/>
      <c r="W277" s="80"/>
      <c r="X277" s="80"/>
      <c r="Y277" s="80"/>
      <c r="Z277" s="80"/>
      <c r="AA277" s="81"/>
      <c r="AB277" s="81"/>
      <c r="AC277" s="81"/>
      <c r="AD277" s="81"/>
      <c r="AE277" s="81"/>
    </row>
    <row r="278">
      <c r="A278" s="16"/>
      <c r="B278" s="127" t="s">
        <v>31</v>
      </c>
      <c r="C278" s="127">
        <v>75393.0</v>
      </c>
      <c r="D278" s="108" t="s">
        <v>584</v>
      </c>
      <c r="E278" s="109"/>
      <c r="F278" s="58"/>
      <c r="G278" s="128" t="s">
        <v>585</v>
      </c>
      <c r="H278" s="129">
        <v>7.71</v>
      </c>
      <c r="I278" s="129">
        <v>8.23</v>
      </c>
      <c r="J278" s="130" t="b">
        <v>0</v>
      </c>
      <c r="K278" s="58"/>
      <c r="L278" s="131">
        <f t="shared" si="8"/>
        <v>1</v>
      </c>
      <c r="M278" s="130"/>
      <c r="N278" s="109"/>
      <c r="O278" s="109"/>
      <c r="P278" s="109"/>
      <c r="Q278" s="58"/>
      <c r="R278" s="126"/>
      <c r="S278" s="126"/>
      <c r="T278" s="80"/>
      <c r="U278" s="80"/>
      <c r="V278" s="80"/>
      <c r="W278" s="80"/>
      <c r="X278" s="80"/>
      <c r="Y278" s="80"/>
      <c r="Z278" s="80"/>
      <c r="AA278" s="81"/>
      <c r="AB278" s="81"/>
      <c r="AC278" s="81"/>
      <c r="AD278" s="81"/>
      <c r="AE278" s="81"/>
    </row>
    <row r="279">
      <c r="A279" s="16"/>
      <c r="B279" s="127" t="s">
        <v>31</v>
      </c>
      <c r="C279" s="127">
        <v>75393.0</v>
      </c>
      <c r="D279" s="108" t="s">
        <v>586</v>
      </c>
      <c r="E279" s="109"/>
      <c r="F279" s="58"/>
      <c r="G279" s="128" t="s">
        <v>587</v>
      </c>
      <c r="H279" s="129">
        <v>9.06</v>
      </c>
      <c r="I279" s="129">
        <v>7.82</v>
      </c>
      <c r="J279" s="130" t="b">
        <v>0</v>
      </c>
      <c r="K279" s="58"/>
      <c r="L279" s="131">
        <f t="shared" si="8"/>
        <v>1</v>
      </c>
      <c r="M279" s="130"/>
      <c r="N279" s="109"/>
      <c r="O279" s="109"/>
      <c r="P279" s="109"/>
      <c r="Q279" s="58"/>
      <c r="R279" s="126"/>
      <c r="S279" s="126"/>
      <c r="T279" s="80"/>
      <c r="U279" s="80"/>
      <c r="V279" s="80"/>
      <c r="W279" s="80"/>
      <c r="X279" s="80"/>
      <c r="Y279" s="80"/>
      <c r="Z279" s="80"/>
      <c r="AA279" s="81"/>
      <c r="AB279" s="81"/>
      <c r="AC279" s="81"/>
      <c r="AD279" s="81"/>
      <c r="AE279" s="81"/>
    </row>
    <row r="280">
      <c r="A280" s="16"/>
      <c r="B280" s="127" t="s">
        <v>31</v>
      </c>
      <c r="C280" s="127">
        <v>75394.0</v>
      </c>
      <c r="D280" s="108" t="s">
        <v>588</v>
      </c>
      <c r="E280" s="109"/>
      <c r="F280" s="58"/>
      <c r="G280" s="128" t="s">
        <v>589</v>
      </c>
      <c r="H280" s="129">
        <v>40.84</v>
      </c>
      <c r="I280" s="129">
        <v>46.16</v>
      </c>
      <c r="J280" s="108" t="b">
        <v>1</v>
      </c>
      <c r="K280" s="58"/>
      <c r="L280" s="131">
        <f t="shared" si="8"/>
        <v>1</v>
      </c>
      <c r="M280" s="130"/>
      <c r="N280" s="109"/>
      <c r="O280" s="109"/>
      <c r="P280" s="109"/>
      <c r="Q280" s="58"/>
      <c r="R280" s="126"/>
      <c r="S280" s="126"/>
      <c r="T280" s="80"/>
      <c r="U280" s="80"/>
      <c r="V280" s="80"/>
      <c r="W280" s="80"/>
      <c r="X280" s="80"/>
      <c r="Y280" s="80"/>
      <c r="Z280" s="80"/>
      <c r="AA280" s="81"/>
      <c r="AB280" s="81"/>
      <c r="AC280" s="81"/>
      <c r="AD280" s="81"/>
      <c r="AE280" s="81"/>
    </row>
    <row r="281">
      <c r="A281" s="16"/>
      <c r="B281" s="127" t="s">
        <v>31</v>
      </c>
      <c r="C281" s="127">
        <v>75394.0</v>
      </c>
      <c r="D281" s="108" t="s">
        <v>590</v>
      </c>
      <c r="E281" s="109"/>
      <c r="F281" s="58"/>
      <c r="G281" s="128" t="s">
        <v>591</v>
      </c>
      <c r="H281" s="129">
        <v>12.09</v>
      </c>
      <c r="I281" s="129">
        <v>12.67</v>
      </c>
      <c r="J281" s="130" t="b">
        <v>0</v>
      </c>
      <c r="K281" s="58"/>
      <c r="L281" s="131">
        <f t="shared" si="8"/>
        <v>1</v>
      </c>
      <c r="M281" s="130"/>
      <c r="N281" s="109"/>
      <c r="O281" s="109"/>
      <c r="P281" s="109"/>
      <c r="Q281" s="58"/>
      <c r="R281" s="126"/>
      <c r="S281" s="126"/>
      <c r="T281" s="80"/>
      <c r="U281" s="80"/>
      <c r="V281" s="80"/>
      <c r="W281" s="80"/>
      <c r="X281" s="80"/>
      <c r="Y281" s="80"/>
      <c r="Z281" s="80"/>
      <c r="AA281" s="81"/>
      <c r="AB281" s="81"/>
      <c r="AC281" s="81"/>
      <c r="AD281" s="81"/>
      <c r="AE281" s="81"/>
    </row>
    <row r="282">
      <c r="A282" s="16"/>
      <c r="B282" s="127" t="s">
        <v>31</v>
      </c>
      <c r="C282" s="127">
        <v>75394.0</v>
      </c>
      <c r="D282" s="108" t="s">
        <v>409</v>
      </c>
      <c r="E282" s="109"/>
      <c r="F282" s="58"/>
      <c r="G282" s="128" t="s">
        <v>592</v>
      </c>
      <c r="H282" s="129">
        <v>5.52</v>
      </c>
      <c r="I282" s="129">
        <v>6.49</v>
      </c>
      <c r="J282" s="130" t="b">
        <v>0</v>
      </c>
      <c r="K282" s="58"/>
      <c r="L282" s="131">
        <f t="shared" si="8"/>
        <v>1</v>
      </c>
      <c r="M282" s="130"/>
      <c r="N282" s="109"/>
      <c r="O282" s="109"/>
      <c r="P282" s="109"/>
      <c r="Q282" s="58"/>
      <c r="R282" s="126"/>
      <c r="S282" s="126"/>
      <c r="T282" s="80"/>
      <c r="U282" s="80"/>
      <c r="V282" s="80"/>
      <c r="W282" s="80"/>
      <c r="X282" s="80"/>
      <c r="Y282" s="80"/>
      <c r="Z282" s="80"/>
      <c r="AA282" s="81"/>
      <c r="AB282" s="81"/>
      <c r="AC282" s="81"/>
      <c r="AD282" s="81"/>
      <c r="AE282" s="81"/>
    </row>
    <row r="283">
      <c r="A283" s="16"/>
      <c r="B283" s="127" t="s">
        <v>31</v>
      </c>
      <c r="C283" s="127">
        <v>75394.0</v>
      </c>
      <c r="D283" s="108" t="s">
        <v>593</v>
      </c>
      <c r="E283" s="109"/>
      <c r="F283" s="58"/>
      <c r="G283" s="128" t="s">
        <v>594</v>
      </c>
      <c r="H283" s="129">
        <v>7.95</v>
      </c>
      <c r="I283" s="129">
        <v>10.99</v>
      </c>
      <c r="J283" s="130" t="b">
        <v>0</v>
      </c>
      <c r="K283" s="58"/>
      <c r="L283" s="131">
        <f t="shared" si="8"/>
        <v>2</v>
      </c>
      <c r="M283" s="130"/>
      <c r="N283" s="109"/>
      <c r="O283" s="109"/>
      <c r="P283" s="109"/>
      <c r="Q283" s="58"/>
      <c r="R283" s="126"/>
      <c r="S283" s="126"/>
      <c r="T283" s="80"/>
      <c r="U283" s="80"/>
      <c r="V283" s="80"/>
      <c r="W283" s="80"/>
      <c r="X283" s="80"/>
      <c r="Y283" s="80"/>
      <c r="Z283" s="80"/>
      <c r="AA283" s="81"/>
      <c r="AB283" s="81"/>
      <c r="AC283" s="81"/>
      <c r="AD283" s="81"/>
      <c r="AE283" s="81"/>
    </row>
    <row r="284">
      <c r="A284" s="16"/>
      <c r="B284" s="127" t="s">
        <v>31</v>
      </c>
      <c r="C284" s="127">
        <v>75394.0</v>
      </c>
      <c r="D284" s="108" t="s">
        <v>595</v>
      </c>
      <c r="E284" s="109"/>
      <c r="F284" s="58"/>
      <c r="G284" s="128" t="s">
        <v>596</v>
      </c>
      <c r="H284" s="129">
        <v>4.5</v>
      </c>
      <c r="I284" s="129">
        <v>5.84</v>
      </c>
      <c r="J284" s="130" t="b">
        <v>0</v>
      </c>
      <c r="K284" s="58"/>
      <c r="L284" s="131">
        <f t="shared" si="8"/>
        <v>1</v>
      </c>
      <c r="M284" s="130"/>
      <c r="N284" s="109"/>
      <c r="O284" s="109"/>
      <c r="P284" s="109"/>
      <c r="Q284" s="58"/>
      <c r="R284" s="126"/>
      <c r="S284" s="126"/>
      <c r="T284" s="80"/>
      <c r="U284" s="80"/>
      <c r="V284" s="80"/>
      <c r="W284" s="80"/>
      <c r="X284" s="80"/>
      <c r="Y284" s="80"/>
      <c r="Z284" s="80"/>
      <c r="AA284" s="81"/>
      <c r="AB284" s="81"/>
      <c r="AC284" s="81"/>
      <c r="AD284" s="81"/>
      <c r="AE284" s="81"/>
    </row>
    <row r="285">
      <c r="A285" s="16"/>
      <c r="B285" s="127" t="s">
        <v>31</v>
      </c>
      <c r="C285" s="127">
        <v>75394.0</v>
      </c>
      <c r="D285" s="108" t="s">
        <v>597</v>
      </c>
      <c r="E285" s="109"/>
      <c r="F285" s="58"/>
      <c r="G285" s="128" t="s">
        <v>598</v>
      </c>
      <c r="H285" s="129">
        <v>4.96</v>
      </c>
      <c r="I285" s="129">
        <v>0.622</v>
      </c>
      <c r="J285" s="130" t="b">
        <v>0</v>
      </c>
      <c r="K285" s="58"/>
      <c r="L285" s="131">
        <f t="shared" si="8"/>
        <v>2</v>
      </c>
      <c r="M285" s="130"/>
      <c r="N285" s="109"/>
      <c r="O285" s="109"/>
      <c r="P285" s="109"/>
      <c r="Q285" s="58"/>
      <c r="R285" s="126"/>
      <c r="S285" s="126"/>
      <c r="T285" s="80"/>
      <c r="U285" s="80"/>
      <c r="V285" s="80"/>
      <c r="W285" s="80"/>
      <c r="X285" s="80"/>
      <c r="Y285" s="80"/>
      <c r="Z285" s="80"/>
      <c r="AA285" s="81"/>
      <c r="AB285" s="81"/>
      <c r="AC285" s="81"/>
      <c r="AD285" s="81"/>
      <c r="AE285" s="81"/>
    </row>
    <row r="286">
      <c r="A286" s="16"/>
      <c r="B286" s="127" t="s">
        <v>31</v>
      </c>
      <c r="C286" s="127">
        <v>75394.0</v>
      </c>
      <c r="D286" s="108" t="s">
        <v>371</v>
      </c>
      <c r="E286" s="109"/>
      <c r="F286" s="58"/>
      <c r="G286" s="128" t="s">
        <v>372</v>
      </c>
      <c r="H286" s="129">
        <v>2.99</v>
      </c>
      <c r="I286" s="129">
        <v>3.39</v>
      </c>
      <c r="J286" s="130" t="b">
        <v>0</v>
      </c>
      <c r="K286" s="58"/>
      <c r="L286" s="131">
        <f t="shared" si="8"/>
        <v>4</v>
      </c>
      <c r="M286" s="130"/>
      <c r="N286" s="109"/>
      <c r="O286" s="109"/>
      <c r="P286" s="109"/>
      <c r="Q286" s="58"/>
      <c r="R286" s="126"/>
      <c r="S286" s="126"/>
      <c r="T286" s="80"/>
      <c r="U286" s="80"/>
      <c r="V286" s="80"/>
      <c r="W286" s="80"/>
      <c r="X286" s="80"/>
      <c r="Y286" s="80"/>
      <c r="Z286" s="80"/>
      <c r="AA286" s="81"/>
      <c r="AB286" s="81"/>
      <c r="AC286" s="81"/>
      <c r="AD286" s="81"/>
      <c r="AE286" s="81"/>
    </row>
    <row r="287">
      <c r="A287" s="16"/>
      <c r="B287" s="127" t="s">
        <v>31</v>
      </c>
      <c r="C287" s="127">
        <v>75396.0</v>
      </c>
      <c r="D287" s="108" t="s">
        <v>599</v>
      </c>
      <c r="E287" s="109"/>
      <c r="F287" s="58"/>
      <c r="G287" s="128" t="s">
        <v>600</v>
      </c>
      <c r="H287" s="129">
        <v>5.79</v>
      </c>
      <c r="I287" s="129">
        <v>6.25</v>
      </c>
      <c r="J287" s="130" t="b">
        <v>0</v>
      </c>
      <c r="K287" s="58"/>
      <c r="L287" s="131">
        <f t="shared" si="8"/>
        <v>1</v>
      </c>
      <c r="M287" s="130"/>
      <c r="N287" s="109"/>
      <c r="O287" s="109"/>
      <c r="P287" s="109"/>
      <c r="Q287" s="58"/>
      <c r="R287" s="126"/>
      <c r="S287" s="126"/>
      <c r="T287" s="80"/>
      <c r="U287" s="80"/>
      <c r="V287" s="80"/>
      <c r="W287" s="80"/>
      <c r="X287" s="80"/>
      <c r="Y287" s="80"/>
      <c r="Z287" s="80"/>
      <c r="AA287" s="81"/>
      <c r="AB287" s="81"/>
      <c r="AC287" s="81"/>
      <c r="AD287" s="81"/>
      <c r="AE287" s="81"/>
    </row>
    <row r="288">
      <c r="A288" s="16"/>
      <c r="B288" s="127" t="s">
        <v>31</v>
      </c>
      <c r="C288" s="127">
        <v>75396.0</v>
      </c>
      <c r="D288" s="108" t="s">
        <v>393</v>
      </c>
      <c r="E288" s="109"/>
      <c r="F288" s="58"/>
      <c r="G288" s="128" t="s">
        <v>394</v>
      </c>
      <c r="H288" s="129">
        <v>2.94</v>
      </c>
      <c r="I288" s="129">
        <v>3.72</v>
      </c>
      <c r="J288" s="130" t="b">
        <v>0</v>
      </c>
      <c r="K288" s="58"/>
      <c r="L288" s="131">
        <f t="shared" si="8"/>
        <v>4</v>
      </c>
      <c r="M288" s="130"/>
      <c r="N288" s="109"/>
      <c r="O288" s="109"/>
      <c r="P288" s="109"/>
      <c r="Q288" s="58"/>
      <c r="R288" s="126"/>
      <c r="S288" s="126"/>
      <c r="T288" s="80"/>
      <c r="U288" s="80"/>
      <c r="V288" s="80"/>
      <c r="W288" s="80"/>
      <c r="X288" s="80"/>
      <c r="Y288" s="80"/>
      <c r="Z288" s="80"/>
      <c r="AA288" s="81"/>
      <c r="AB288" s="81"/>
      <c r="AC288" s="81"/>
      <c r="AD288" s="81"/>
      <c r="AE288" s="81"/>
    </row>
    <row r="289">
      <c r="A289" s="16"/>
      <c r="B289" s="127" t="s">
        <v>31</v>
      </c>
      <c r="C289" s="127">
        <v>75396.0</v>
      </c>
      <c r="D289" s="108" t="s">
        <v>492</v>
      </c>
      <c r="E289" s="109"/>
      <c r="F289" s="58"/>
      <c r="G289" s="128" t="s">
        <v>601</v>
      </c>
      <c r="H289" s="129">
        <v>3.74</v>
      </c>
      <c r="I289" s="129">
        <v>4.18</v>
      </c>
      <c r="J289" s="130" t="b">
        <v>0</v>
      </c>
      <c r="K289" s="58"/>
      <c r="L289" s="131">
        <f t="shared" si="8"/>
        <v>1</v>
      </c>
      <c r="M289" s="130"/>
      <c r="N289" s="109"/>
      <c r="O289" s="109"/>
      <c r="P289" s="109"/>
      <c r="Q289" s="58"/>
      <c r="R289" s="126"/>
      <c r="S289" s="126"/>
      <c r="T289" s="80"/>
      <c r="U289" s="80"/>
      <c r="V289" s="80"/>
      <c r="W289" s="80"/>
      <c r="X289" s="80"/>
      <c r="Y289" s="80"/>
      <c r="Z289" s="80"/>
      <c r="AA289" s="81"/>
      <c r="AB289" s="81"/>
      <c r="AC289" s="81"/>
      <c r="AD289" s="81"/>
      <c r="AE289" s="81"/>
    </row>
    <row r="290">
      <c r="A290" s="16"/>
      <c r="B290" s="127" t="s">
        <v>31</v>
      </c>
      <c r="C290" s="127">
        <v>75396.0</v>
      </c>
      <c r="D290" s="108" t="s">
        <v>602</v>
      </c>
      <c r="E290" s="109"/>
      <c r="F290" s="58"/>
      <c r="G290" s="128" t="s">
        <v>603</v>
      </c>
      <c r="H290" s="129">
        <v>8.11</v>
      </c>
      <c r="I290" s="129">
        <v>10.04</v>
      </c>
      <c r="J290" s="130" t="b">
        <v>0</v>
      </c>
      <c r="K290" s="58"/>
      <c r="L290" s="131">
        <f t="shared" si="8"/>
        <v>1</v>
      </c>
      <c r="M290" s="130"/>
      <c r="N290" s="109"/>
      <c r="O290" s="109"/>
      <c r="P290" s="109"/>
      <c r="Q290" s="58"/>
      <c r="R290" s="126"/>
      <c r="S290" s="126"/>
      <c r="T290" s="80"/>
      <c r="U290" s="80"/>
      <c r="V290" s="80"/>
      <c r="W290" s="80"/>
      <c r="X290" s="80"/>
      <c r="Y290" s="80"/>
      <c r="Z290" s="80"/>
      <c r="AA290" s="81"/>
      <c r="AB290" s="81"/>
      <c r="AC290" s="81"/>
      <c r="AD290" s="81"/>
      <c r="AE290" s="81"/>
    </row>
    <row r="291">
      <c r="A291" s="16"/>
      <c r="B291" s="127" t="s">
        <v>31</v>
      </c>
      <c r="C291" s="127">
        <v>75396.0</v>
      </c>
      <c r="D291" s="108" t="s">
        <v>412</v>
      </c>
      <c r="E291" s="109"/>
      <c r="F291" s="58"/>
      <c r="G291" s="128" t="s">
        <v>604</v>
      </c>
      <c r="H291" s="129">
        <v>6.3</v>
      </c>
      <c r="I291" s="129">
        <v>6.94</v>
      </c>
      <c r="J291" s="130" t="b">
        <v>0</v>
      </c>
      <c r="K291" s="58"/>
      <c r="L291" s="131">
        <f t="shared" si="8"/>
        <v>1</v>
      </c>
      <c r="M291" s="130"/>
      <c r="N291" s="109"/>
      <c r="O291" s="109"/>
      <c r="P291" s="109"/>
      <c r="Q291" s="58"/>
      <c r="R291" s="126"/>
      <c r="S291" s="126"/>
      <c r="T291" s="80"/>
      <c r="U291" s="80"/>
      <c r="V291" s="80"/>
      <c r="W291" s="80"/>
      <c r="X291" s="80"/>
      <c r="Y291" s="80"/>
      <c r="Z291" s="80"/>
      <c r="AA291" s="81"/>
      <c r="AB291" s="81"/>
      <c r="AC291" s="81"/>
      <c r="AD291" s="81"/>
      <c r="AE291" s="81"/>
    </row>
    <row r="292">
      <c r="A292" s="16"/>
      <c r="B292" s="127" t="s">
        <v>31</v>
      </c>
      <c r="C292" s="127">
        <v>75396.0</v>
      </c>
      <c r="D292" s="108" t="s">
        <v>605</v>
      </c>
      <c r="E292" s="109"/>
      <c r="F292" s="58"/>
      <c r="G292" s="128" t="s">
        <v>606</v>
      </c>
      <c r="H292" s="129">
        <v>19.28</v>
      </c>
      <c r="I292" s="129">
        <v>21.49</v>
      </c>
      <c r="J292" s="108" t="b">
        <v>1</v>
      </c>
      <c r="K292" s="58"/>
      <c r="L292" s="131">
        <f t="shared" si="8"/>
        <v>1</v>
      </c>
      <c r="M292" s="130"/>
      <c r="N292" s="109"/>
      <c r="O292" s="109"/>
      <c r="P292" s="109"/>
      <c r="Q292" s="58"/>
      <c r="R292" s="126"/>
      <c r="S292" s="126"/>
      <c r="T292" s="80"/>
      <c r="U292" s="80"/>
      <c r="V292" s="80"/>
      <c r="W292" s="80"/>
      <c r="X292" s="80"/>
      <c r="Y292" s="80"/>
      <c r="Z292" s="80"/>
      <c r="AA292" s="81"/>
      <c r="AB292" s="81"/>
      <c r="AC292" s="81"/>
      <c r="AD292" s="81"/>
      <c r="AE292" s="81"/>
    </row>
    <row r="293">
      <c r="A293" s="16"/>
      <c r="B293" s="127" t="s">
        <v>31</v>
      </c>
      <c r="C293" s="127">
        <v>75397.0</v>
      </c>
      <c r="D293" s="108" t="s">
        <v>607</v>
      </c>
      <c r="E293" s="109"/>
      <c r="F293" s="58"/>
      <c r="G293" s="128" t="s">
        <v>608</v>
      </c>
      <c r="H293" s="129">
        <v>6.52</v>
      </c>
      <c r="I293" s="129">
        <v>6.55</v>
      </c>
      <c r="J293" s="130" t="b">
        <v>0</v>
      </c>
      <c r="K293" s="58"/>
      <c r="L293" s="131">
        <f t="shared" si="8"/>
        <v>1</v>
      </c>
      <c r="M293" s="130"/>
      <c r="N293" s="109"/>
      <c r="O293" s="109"/>
      <c r="P293" s="109"/>
      <c r="Q293" s="58"/>
      <c r="R293" s="126"/>
      <c r="S293" s="126"/>
      <c r="T293" s="80"/>
      <c r="U293" s="80"/>
      <c r="V293" s="80"/>
      <c r="W293" s="80"/>
      <c r="X293" s="80"/>
      <c r="Y293" s="80"/>
      <c r="Z293" s="80"/>
      <c r="AA293" s="81"/>
      <c r="AB293" s="81"/>
      <c r="AC293" s="81"/>
      <c r="AD293" s="81"/>
      <c r="AE293" s="81"/>
    </row>
    <row r="294">
      <c r="A294" s="16"/>
      <c r="B294" s="127" t="s">
        <v>31</v>
      </c>
      <c r="C294" s="127">
        <v>75397.0</v>
      </c>
      <c r="D294" s="108" t="s">
        <v>609</v>
      </c>
      <c r="E294" s="109"/>
      <c r="F294" s="58"/>
      <c r="G294" s="128" t="s">
        <v>610</v>
      </c>
      <c r="H294" s="129">
        <v>14.78</v>
      </c>
      <c r="I294" s="129">
        <v>18.22</v>
      </c>
      <c r="J294" s="130" t="b">
        <v>0</v>
      </c>
      <c r="K294" s="58"/>
      <c r="L294" s="131">
        <f t="shared" si="8"/>
        <v>1</v>
      </c>
      <c r="M294" s="130"/>
      <c r="N294" s="109"/>
      <c r="O294" s="109"/>
      <c r="P294" s="109"/>
      <c r="Q294" s="58"/>
      <c r="R294" s="126"/>
      <c r="S294" s="126"/>
      <c r="T294" s="80"/>
      <c r="U294" s="80"/>
      <c r="V294" s="80"/>
      <c r="W294" s="80"/>
      <c r="X294" s="80"/>
      <c r="Y294" s="80"/>
      <c r="Z294" s="80"/>
      <c r="AA294" s="81"/>
      <c r="AB294" s="81"/>
      <c r="AC294" s="81"/>
      <c r="AD294" s="81"/>
      <c r="AE294" s="81"/>
    </row>
    <row r="295">
      <c r="A295" s="16"/>
      <c r="B295" s="127" t="s">
        <v>31</v>
      </c>
      <c r="C295" s="127">
        <v>75397.0</v>
      </c>
      <c r="D295" s="108" t="s">
        <v>488</v>
      </c>
      <c r="E295" s="109"/>
      <c r="F295" s="58"/>
      <c r="G295" s="128" t="s">
        <v>489</v>
      </c>
      <c r="H295" s="129">
        <v>4.75</v>
      </c>
      <c r="I295" s="129">
        <v>5.19</v>
      </c>
      <c r="J295" s="130" t="b">
        <v>0</v>
      </c>
      <c r="K295" s="58"/>
      <c r="L295" s="131">
        <f t="shared" si="8"/>
        <v>3</v>
      </c>
      <c r="M295" s="130"/>
      <c r="N295" s="109"/>
      <c r="O295" s="109"/>
      <c r="P295" s="109"/>
      <c r="Q295" s="58"/>
      <c r="R295" s="126"/>
      <c r="S295" s="126"/>
      <c r="T295" s="80"/>
      <c r="U295" s="80"/>
      <c r="V295" s="80"/>
      <c r="W295" s="80"/>
      <c r="X295" s="80"/>
      <c r="Y295" s="80"/>
      <c r="Z295" s="80"/>
      <c r="AA295" s="81"/>
      <c r="AB295" s="81"/>
      <c r="AC295" s="81"/>
      <c r="AD295" s="81"/>
      <c r="AE295" s="81"/>
    </row>
    <row r="296">
      <c r="A296" s="16"/>
      <c r="B296" s="127" t="s">
        <v>31</v>
      </c>
      <c r="C296" s="127">
        <v>75397.0</v>
      </c>
      <c r="D296" s="108" t="s">
        <v>611</v>
      </c>
      <c r="E296" s="109"/>
      <c r="F296" s="58"/>
      <c r="G296" s="128" t="s">
        <v>612</v>
      </c>
      <c r="H296" s="129">
        <v>10.96</v>
      </c>
      <c r="I296" s="129">
        <v>12.19</v>
      </c>
      <c r="J296" s="130" t="b">
        <v>0</v>
      </c>
      <c r="K296" s="58"/>
      <c r="L296" s="131">
        <f t="shared" si="8"/>
        <v>1</v>
      </c>
      <c r="M296" s="130"/>
      <c r="N296" s="109"/>
      <c r="O296" s="109"/>
      <c r="P296" s="109"/>
      <c r="Q296" s="58"/>
      <c r="R296" s="126"/>
      <c r="S296" s="126"/>
      <c r="T296" s="80"/>
      <c r="U296" s="80"/>
      <c r="V296" s="80"/>
      <c r="W296" s="80"/>
      <c r="X296" s="80"/>
      <c r="Y296" s="80"/>
      <c r="Z296" s="80"/>
      <c r="AA296" s="81"/>
      <c r="AB296" s="81"/>
      <c r="AC296" s="81"/>
      <c r="AD296" s="81"/>
      <c r="AE296" s="81"/>
    </row>
    <row r="297">
      <c r="A297" s="16"/>
      <c r="B297" s="127" t="s">
        <v>31</v>
      </c>
      <c r="C297" s="127">
        <v>75397.0</v>
      </c>
      <c r="D297" s="108" t="s">
        <v>613</v>
      </c>
      <c r="E297" s="109"/>
      <c r="F297" s="58"/>
      <c r="G297" s="128" t="s">
        <v>614</v>
      </c>
      <c r="H297" s="129">
        <v>36.41</v>
      </c>
      <c r="I297" s="129">
        <v>51.48</v>
      </c>
      <c r="J297" s="130" t="b">
        <v>0</v>
      </c>
      <c r="K297" s="58"/>
      <c r="L297" s="131">
        <f t="shared" si="8"/>
        <v>1</v>
      </c>
      <c r="M297" s="130"/>
      <c r="N297" s="109"/>
      <c r="O297" s="109"/>
      <c r="P297" s="109"/>
      <c r="Q297" s="58"/>
      <c r="R297" s="126"/>
      <c r="S297" s="126"/>
      <c r="T297" s="80"/>
      <c r="U297" s="80"/>
      <c r="V297" s="80"/>
      <c r="W297" s="80"/>
      <c r="X297" s="80"/>
      <c r="Y297" s="80"/>
      <c r="Z297" s="80"/>
      <c r="AA297" s="81"/>
      <c r="AB297" s="81"/>
      <c r="AC297" s="81"/>
      <c r="AD297" s="81"/>
      <c r="AE297" s="81"/>
    </row>
    <row r="298">
      <c r="A298" s="16"/>
      <c r="B298" s="127" t="s">
        <v>31</v>
      </c>
      <c r="C298" s="127">
        <v>75397.0</v>
      </c>
      <c r="D298" s="108" t="s">
        <v>615</v>
      </c>
      <c r="E298" s="109"/>
      <c r="F298" s="58"/>
      <c r="G298" s="128" t="s">
        <v>616</v>
      </c>
      <c r="H298" s="129">
        <v>15.82</v>
      </c>
      <c r="I298" s="129">
        <v>18.25</v>
      </c>
      <c r="J298" s="130" t="b">
        <v>0</v>
      </c>
      <c r="K298" s="58"/>
      <c r="L298" s="131">
        <f t="shared" si="8"/>
        <v>1</v>
      </c>
      <c r="M298" s="130"/>
      <c r="N298" s="109"/>
      <c r="O298" s="109"/>
      <c r="P298" s="109"/>
      <c r="Q298" s="58"/>
      <c r="R298" s="126"/>
      <c r="S298" s="126"/>
      <c r="T298" s="80"/>
      <c r="U298" s="80"/>
      <c r="V298" s="80"/>
      <c r="W298" s="80"/>
      <c r="X298" s="80"/>
      <c r="Y298" s="80"/>
      <c r="Z298" s="80"/>
      <c r="AA298" s="81"/>
      <c r="AB298" s="81"/>
      <c r="AC298" s="81"/>
      <c r="AD298" s="81"/>
      <c r="AE298" s="81"/>
    </row>
    <row r="299">
      <c r="A299" s="16"/>
      <c r="B299" s="127" t="s">
        <v>31</v>
      </c>
      <c r="C299" s="127">
        <v>75397.0</v>
      </c>
      <c r="D299" s="108" t="s">
        <v>617</v>
      </c>
      <c r="E299" s="109"/>
      <c r="F299" s="58"/>
      <c r="G299" s="128" t="s">
        <v>618</v>
      </c>
      <c r="H299" s="129">
        <v>41.58</v>
      </c>
      <c r="I299" s="129">
        <v>53.97</v>
      </c>
      <c r="J299" s="130" t="b">
        <v>0</v>
      </c>
      <c r="K299" s="58"/>
      <c r="L299" s="131">
        <f t="shared" si="8"/>
        <v>1</v>
      </c>
      <c r="M299" s="130"/>
      <c r="N299" s="109"/>
      <c r="O299" s="109"/>
      <c r="P299" s="109"/>
      <c r="Q299" s="58"/>
      <c r="R299" s="126"/>
      <c r="S299" s="126"/>
      <c r="T299" s="80"/>
      <c r="U299" s="80"/>
      <c r="V299" s="80"/>
      <c r="W299" s="80"/>
      <c r="X299" s="80"/>
      <c r="Y299" s="80"/>
      <c r="Z299" s="80"/>
      <c r="AA299" s="81"/>
      <c r="AB299" s="81"/>
      <c r="AC299" s="81"/>
      <c r="AD299" s="81"/>
      <c r="AE299" s="81"/>
    </row>
    <row r="300">
      <c r="A300" s="16"/>
      <c r="B300" s="127" t="s">
        <v>31</v>
      </c>
      <c r="C300" s="127">
        <v>75397.0</v>
      </c>
      <c r="D300" s="108" t="s">
        <v>619</v>
      </c>
      <c r="E300" s="109"/>
      <c r="F300" s="58"/>
      <c r="G300" s="128" t="s">
        <v>620</v>
      </c>
      <c r="H300" s="129">
        <v>45.59</v>
      </c>
      <c r="I300" s="129">
        <v>58.0</v>
      </c>
      <c r="J300" s="130" t="b">
        <v>0</v>
      </c>
      <c r="K300" s="58"/>
      <c r="L300" s="131">
        <f t="shared" si="8"/>
        <v>1</v>
      </c>
      <c r="M300" s="130"/>
      <c r="N300" s="109"/>
      <c r="O300" s="109"/>
      <c r="P300" s="109"/>
      <c r="Q300" s="58"/>
      <c r="R300" s="126"/>
      <c r="S300" s="126"/>
      <c r="T300" s="80"/>
      <c r="U300" s="80"/>
      <c r="V300" s="80"/>
      <c r="W300" s="80"/>
      <c r="X300" s="80"/>
      <c r="Y300" s="80"/>
      <c r="Z300" s="80"/>
      <c r="AA300" s="81"/>
      <c r="AB300" s="81"/>
      <c r="AC300" s="81"/>
      <c r="AD300" s="81"/>
      <c r="AE300" s="81"/>
    </row>
    <row r="301">
      <c r="A301" s="16"/>
      <c r="B301" s="127" t="s">
        <v>31</v>
      </c>
      <c r="C301" s="127">
        <v>75397.0</v>
      </c>
      <c r="D301" s="108" t="s">
        <v>621</v>
      </c>
      <c r="E301" s="109"/>
      <c r="F301" s="58"/>
      <c r="G301" s="128" t="s">
        <v>622</v>
      </c>
      <c r="H301" s="129">
        <v>19.94</v>
      </c>
      <c r="I301" s="129">
        <v>22.12</v>
      </c>
      <c r="J301" s="130" t="b">
        <v>0</v>
      </c>
      <c r="K301" s="58"/>
      <c r="L301" s="131">
        <f t="shared" si="8"/>
        <v>1</v>
      </c>
      <c r="M301" s="130"/>
      <c r="N301" s="109"/>
      <c r="O301" s="109"/>
      <c r="P301" s="109"/>
      <c r="Q301" s="58"/>
      <c r="R301" s="126"/>
      <c r="S301" s="126"/>
      <c r="T301" s="80"/>
      <c r="U301" s="80"/>
      <c r="V301" s="80"/>
      <c r="W301" s="80"/>
      <c r="X301" s="80"/>
      <c r="Y301" s="80"/>
      <c r="Z301" s="80"/>
      <c r="AA301" s="81"/>
      <c r="AB301" s="81"/>
      <c r="AC301" s="81"/>
      <c r="AD301" s="81"/>
      <c r="AE301" s="81"/>
    </row>
    <row r="302">
      <c r="A302" s="16"/>
      <c r="B302" s="127" t="s">
        <v>31</v>
      </c>
      <c r="C302" s="127">
        <v>75397.0</v>
      </c>
      <c r="D302" s="108" t="s">
        <v>623</v>
      </c>
      <c r="E302" s="109"/>
      <c r="F302" s="58"/>
      <c r="G302" s="128" t="s">
        <v>624</v>
      </c>
      <c r="H302" s="129">
        <v>18.52</v>
      </c>
      <c r="I302" s="129">
        <v>20.5</v>
      </c>
      <c r="J302" s="130" t="b">
        <v>0</v>
      </c>
      <c r="K302" s="58"/>
      <c r="L302" s="131">
        <f t="shared" si="8"/>
        <v>1</v>
      </c>
      <c r="M302" s="130"/>
      <c r="N302" s="109"/>
      <c r="O302" s="109"/>
      <c r="P302" s="109"/>
      <c r="Q302" s="58"/>
      <c r="R302" s="126"/>
      <c r="S302" s="126"/>
      <c r="T302" s="80"/>
      <c r="U302" s="80"/>
      <c r="V302" s="80"/>
      <c r="W302" s="80"/>
      <c r="X302" s="80"/>
      <c r="Y302" s="80"/>
      <c r="Z302" s="80"/>
      <c r="AA302" s="81"/>
      <c r="AB302" s="81"/>
      <c r="AC302" s="81"/>
      <c r="AD302" s="81"/>
      <c r="AE302" s="81"/>
    </row>
    <row r="303">
      <c r="A303" s="16"/>
      <c r="B303" s="127" t="s">
        <v>31</v>
      </c>
      <c r="C303" s="127">
        <v>75397.0</v>
      </c>
      <c r="D303" s="108" t="s">
        <v>625</v>
      </c>
      <c r="E303" s="109"/>
      <c r="F303" s="58"/>
      <c r="G303" s="128" t="s">
        <v>626</v>
      </c>
      <c r="H303" s="129">
        <v>15.82</v>
      </c>
      <c r="I303" s="129">
        <v>26.16</v>
      </c>
      <c r="J303" s="130" t="b">
        <v>0</v>
      </c>
      <c r="K303" s="58"/>
      <c r="L303" s="131">
        <f t="shared" si="8"/>
        <v>1</v>
      </c>
      <c r="M303" s="130"/>
      <c r="N303" s="109"/>
      <c r="O303" s="109"/>
      <c r="P303" s="109"/>
      <c r="Q303" s="58"/>
      <c r="R303" s="126"/>
      <c r="S303" s="126"/>
      <c r="T303" s="80"/>
      <c r="U303" s="80"/>
      <c r="V303" s="80"/>
      <c r="W303" s="80"/>
      <c r="X303" s="80"/>
      <c r="Y303" s="80"/>
      <c r="Z303" s="80"/>
      <c r="AA303" s="81"/>
      <c r="AB303" s="81"/>
      <c r="AC303" s="81"/>
      <c r="AD303" s="81"/>
      <c r="AE303" s="81"/>
    </row>
    <row r="304">
      <c r="A304" s="16"/>
      <c r="B304" s="127" t="s">
        <v>31</v>
      </c>
      <c r="C304" s="127">
        <v>75398.0</v>
      </c>
      <c r="D304" s="108" t="s">
        <v>391</v>
      </c>
      <c r="E304" s="109"/>
      <c r="F304" s="58"/>
      <c r="G304" s="128" t="s">
        <v>627</v>
      </c>
      <c r="H304" s="129">
        <v>15.57</v>
      </c>
      <c r="I304" s="129">
        <v>15.73</v>
      </c>
      <c r="J304" s="130" t="b">
        <v>0</v>
      </c>
      <c r="K304" s="58"/>
      <c r="L304" s="131">
        <f t="shared" si="8"/>
        <v>1</v>
      </c>
      <c r="M304" s="130"/>
      <c r="N304" s="109"/>
      <c r="O304" s="109"/>
      <c r="P304" s="109"/>
      <c r="Q304" s="58"/>
      <c r="R304" s="126"/>
      <c r="S304" s="126"/>
      <c r="T304" s="80"/>
      <c r="U304" s="80"/>
      <c r="V304" s="80"/>
      <c r="W304" s="80"/>
      <c r="X304" s="80"/>
      <c r="Y304" s="80"/>
      <c r="Z304" s="80"/>
      <c r="AA304" s="81"/>
      <c r="AB304" s="81"/>
      <c r="AC304" s="81"/>
      <c r="AD304" s="81"/>
      <c r="AE304" s="81"/>
    </row>
    <row r="305">
      <c r="A305" s="16"/>
      <c r="B305" s="127" t="s">
        <v>31</v>
      </c>
      <c r="C305" s="127">
        <v>75399.0</v>
      </c>
      <c r="D305" s="108" t="s">
        <v>628</v>
      </c>
      <c r="E305" s="109"/>
      <c r="F305" s="58"/>
      <c r="G305" s="128" t="s">
        <v>629</v>
      </c>
      <c r="H305" s="129">
        <v>10.23</v>
      </c>
      <c r="I305" s="129">
        <v>9.51</v>
      </c>
      <c r="J305" s="130" t="b">
        <v>0</v>
      </c>
      <c r="K305" s="58"/>
      <c r="L305" s="131">
        <f t="shared" si="8"/>
        <v>1</v>
      </c>
      <c r="M305" s="130"/>
      <c r="N305" s="109"/>
      <c r="O305" s="109"/>
      <c r="P305" s="109"/>
      <c r="Q305" s="58"/>
      <c r="R305" s="126"/>
      <c r="S305" s="126"/>
      <c r="T305" s="80"/>
      <c r="U305" s="80"/>
      <c r="V305" s="80"/>
      <c r="W305" s="80"/>
      <c r="X305" s="80"/>
      <c r="Y305" s="80"/>
      <c r="Z305" s="80"/>
      <c r="AA305" s="81"/>
      <c r="AB305" s="81"/>
      <c r="AC305" s="81"/>
      <c r="AD305" s="81"/>
      <c r="AE305" s="81"/>
    </row>
    <row r="306">
      <c r="A306" s="16"/>
      <c r="B306" s="127" t="s">
        <v>31</v>
      </c>
      <c r="C306" s="127">
        <v>75399.0</v>
      </c>
      <c r="D306" s="108" t="s">
        <v>630</v>
      </c>
      <c r="E306" s="109"/>
      <c r="F306" s="58"/>
      <c r="G306" s="128" t="s">
        <v>631</v>
      </c>
      <c r="H306" s="129">
        <v>11.67</v>
      </c>
      <c r="I306" s="129">
        <v>12.06</v>
      </c>
      <c r="J306" s="130" t="b">
        <v>0</v>
      </c>
      <c r="K306" s="58"/>
      <c r="L306" s="131">
        <f t="shared" si="8"/>
        <v>1</v>
      </c>
      <c r="M306" s="130"/>
      <c r="N306" s="109"/>
      <c r="O306" s="109"/>
      <c r="P306" s="109"/>
      <c r="Q306" s="58"/>
      <c r="R306" s="126"/>
      <c r="S306" s="126"/>
      <c r="T306" s="80"/>
      <c r="U306" s="80"/>
      <c r="V306" s="80"/>
      <c r="W306" s="80"/>
      <c r="X306" s="80"/>
      <c r="Y306" s="80"/>
      <c r="Z306" s="80"/>
      <c r="AA306" s="81"/>
      <c r="AB306" s="81"/>
      <c r="AC306" s="81"/>
      <c r="AD306" s="81"/>
      <c r="AE306" s="81"/>
    </row>
    <row r="307">
      <c r="A307" s="16"/>
      <c r="B307" s="127" t="s">
        <v>31</v>
      </c>
      <c r="C307" s="127">
        <v>75399.0</v>
      </c>
      <c r="D307" s="108" t="s">
        <v>632</v>
      </c>
      <c r="E307" s="109"/>
      <c r="F307" s="58"/>
      <c r="G307" s="128" t="s">
        <v>633</v>
      </c>
      <c r="H307" s="129">
        <v>10.07</v>
      </c>
      <c r="I307" s="129">
        <v>12.77</v>
      </c>
      <c r="J307" s="130" t="b">
        <v>0</v>
      </c>
      <c r="K307" s="58"/>
      <c r="L307" s="131">
        <f t="shared" si="8"/>
        <v>1</v>
      </c>
      <c r="M307" s="130"/>
      <c r="N307" s="109"/>
      <c r="O307" s="109"/>
      <c r="P307" s="109"/>
      <c r="Q307" s="58"/>
      <c r="R307" s="126"/>
      <c r="S307" s="126"/>
      <c r="T307" s="80"/>
      <c r="U307" s="80"/>
      <c r="V307" s="80"/>
      <c r="W307" s="80"/>
      <c r="X307" s="80"/>
      <c r="Y307" s="80"/>
      <c r="Z307" s="80"/>
      <c r="AA307" s="81"/>
      <c r="AB307" s="81"/>
      <c r="AC307" s="81"/>
      <c r="AD307" s="81"/>
      <c r="AE307" s="81"/>
    </row>
    <row r="308">
      <c r="A308" s="16"/>
      <c r="B308" s="127" t="s">
        <v>31</v>
      </c>
      <c r="C308" s="127">
        <v>75399.0</v>
      </c>
      <c r="D308" s="108" t="s">
        <v>634</v>
      </c>
      <c r="E308" s="109"/>
      <c r="F308" s="58"/>
      <c r="G308" s="128" t="s">
        <v>635</v>
      </c>
      <c r="H308" s="129">
        <v>10.63</v>
      </c>
      <c r="I308" s="129">
        <v>12.77</v>
      </c>
      <c r="J308" s="130" t="b">
        <v>0</v>
      </c>
      <c r="K308" s="58"/>
      <c r="L308" s="131">
        <f t="shared" si="8"/>
        <v>2</v>
      </c>
      <c r="M308" s="130"/>
      <c r="N308" s="109"/>
      <c r="O308" s="109"/>
      <c r="P308" s="109"/>
      <c r="Q308" s="58"/>
      <c r="R308" s="126"/>
      <c r="S308" s="126"/>
      <c r="T308" s="80"/>
      <c r="U308" s="80"/>
      <c r="V308" s="80"/>
      <c r="W308" s="80"/>
      <c r="X308" s="80"/>
      <c r="Y308" s="80"/>
      <c r="Z308" s="80"/>
      <c r="AA308" s="81"/>
      <c r="AB308" s="81"/>
      <c r="AC308" s="81"/>
      <c r="AD308" s="81"/>
      <c r="AE308" s="81"/>
    </row>
    <row r="309">
      <c r="A309" s="16"/>
      <c r="B309" s="127" t="s">
        <v>31</v>
      </c>
      <c r="C309" s="127">
        <v>75400.0</v>
      </c>
      <c r="D309" s="108" t="s">
        <v>636</v>
      </c>
      <c r="E309" s="109"/>
      <c r="F309" s="58"/>
      <c r="G309" s="128" t="s">
        <v>637</v>
      </c>
      <c r="H309" s="129">
        <v>8.98</v>
      </c>
      <c r="I309" s="129">
        <v>9.36</v>
      </c>
      <c r="J309" s="130"/>
      <c r="K309" s="58"/>
      <c r="L309" s="131">
        <f t="shared" si="8"/>
        <v>2</v>
      </c>
      <c r="M309" s="108" t="s">
        <v>225</v>
      </c>
      <c r="N309" s="109"/>
      <c r="O309" s="109"/>
      <c r="P309" s="109"/>
      <c r="Q309" s="58"/>
      <c r="R309" s="126"/>
      <c r="S309" s="126"/>
      <c r="T309" s="80"/>
      <c r="U309" s="80"/>
      <c r="V309" s="80"/>
      <c r="W309" s="80"/>
      <c r="X309" s="80"/>
      <c r="Y309" s="80"/>
      <c r="Z309" s="80"/>
      <c r="AA309" s="81"/>
      <c r="AB309" s="81"/>
      <c r="AC309" s="81"/>
      <c r="AD309" s="81"/>
      <c r="AE309" s="81"/>
    </row>
    <row r="310">
      <c r="A310" s="16"/>
      <c r="B310" s="127" t="s">
        <v>31</v>
      </c>
      <c r="C310" s="127">
        <v>75400.0</v>
      </c>
      <c r="D310" s="108" t="s">
        <v>636</v>
      </c>
      <c r="E310" s="109"/>
      <c r="F310" s="58"/>
      <c r="G310" s="128" t="s">
        <v>637</v>
      </c>
      <c r="H310" s="129">
        <v>8.98</v>
      </c>
      <c r="I310" s="129">
        <v>9.36</v>
      </c>
      <c r="J310" s="130"/>
      <c r="K310" s="58"/>
      <c r="L310" s="131">
        <f t="shared" si="8"/>
        <v>2</v>
      </c>
      <c r="M310" s="108" t="s">
        <v>225</v>
      </c>
      <c r="N310" s="109"/>
      <c r="O310" s="109"/>
      <c r="P310" s="109"/>
      <c r="Q310" s="58"/>
      <c r="R310" s="126"/>
      <c r="S310" s="126"/>
      <c r="T310" s="80"/>
      <c r="U310" s="80"/>
      <c r="V310" s="80"/>
      <c r="W310" s="80"/>
      <c r="X310" s="80"/>
      <c r="Y310" s="80"/>
      <c r="Z310" s="80"/>
      <c r="AA310" s="81"/>
      <c r="AB310" s="81"/>
      <c r="AC310" s="81"/>
      <c r="AD310" s="81"/>
      <c r="AE310" s="81"/>
    </row>
    <row r="311">
      <c r="A311" s="16"/>
      <c r="B311" s="127" t="s">
        <v>31</v>
      </c>
      <c r="C311" s="127">
        <v>75401.0</v>
      </c>
      <c r="D311" s="108" t="s">
        <v>420</v>
      </c>
      <c r="E311" s="109"/>
      <c r="F311" s="58"/>
      <c r="G311" s="128" t="s">
        <v>638</v>
      </c>
      <c r="H311" s="129">
        <v>10.77</v>
      </c>
      <c r="I311" s="129">
        <v>12.3</v>
      </c>
      <c r="J311" s="130" t="b">
        <v>0</v>
      </c>
      <c r="K311" s="58"/>
      <c r="L311" s="131">
        <f t="shared" si="8"/>
        <v>1</v>
      </c>
      <c r="M311" s="130"/>
      <c r="N311" s="109"/>
      <c r="O311" s="109"/>
      <c r="P311" s="109"/>
      <c r="Q311" s="58"/>
      <c r="R311" s="126"/>
      <c r="S311" s="126"/>
      <c r="T311" s="80"/>
      <c r="U311" s="80"/>
      <c r="V311" s="80"/>
      <c r="W311" s="80"/>
      <c r="X311" s="80"/>
      <c r="Y311" s="80"/>
      <c r="Z311" s="80"/>
      <c r="AA311" s="81"/>
      <c r="AB311" s="81"/>
      <c r="AC311" s="81"/>
      <c r="AD311" s="81"/>
      <c r="AE311" s="81"/>
    </row>
    <row r="312">
      <c r="A312" s="16"/>
      <c r="B312" s="127" t="s">
        <v>31</v>
      </c>
      <c r="C312" s="127">
        <v>75401.0</v>
      </c>
      <c r="D312" s="108" t="s">
        <v>533</v>
      </c>
      <c r="E312" s="109"/>
      <c r="F312" s="58"/>
      <c r="G312" s="128" t="s">
        <v>639</v>
      </c>
      <c r="H312" s="129">
        <v>11.48</v>
      </c>
      <c r="I312" s="129">
        <v>12.52</v>
      </c>
      <c r="J312" s="130" t="b">
        <v>0</v>
      </c>
      <c r="K312" s="58"/>
      <c r="L312" s="131">
        <f t="shared" si="8"/>
        <v>1</v>
      </c>
      <c r="M312" s="130"/>
      <c r="N312" s="109"/>
      <c r="O312" s="109"/>
      <c r="P312" s="109"/>
      <c r="Q312" s="58"/>
      <c r="R312" s="126"/>
      <c r="S312" s="126"/>
      <c r="T312" s="80"/>
      <c r="U312" s="80"/>
      <c r="V312" s="80"/>
      <c r="W312" s="80"/>
      <c r="X312" s="80"/>
      <c r="Y312" s="80"/>
      <c r="Z312" s="80"/>
      <c r="AA312" s="81"/>
      <c r="AB312" s="81"/>
      <c r="AC312" s="81"/>
      <c r="AD312" s="81"/>
      <c r="AE312" s="81"/>
    </row>
    <row r="313">
      <c r="A313" s="16"/>
      <c r="B313" s="127" t="s">
        <v>31</v>
      </c>
      <c r="C313" s="127">
        <v>75401.0</v>
      </c>
      <c r="D313" s="108" t="s">
        <v>640</v>
      </c>
      <c r="E313" s="109"/>
      <c r="F313" s="58"/>
      <c r="G313" s="128" t="s">
        <v>641</v>
      </c>
      <c r="H313" s="129">
        <v>7.91</v>
      </c>
      <c r="I313" s="129">
        <v>8.23</v>
      </c>
      <c r="J313" s="130" t="b">
        <v>0</v>
      </c>
      <c r="K313" s="58"/>
      <c r="L313" s="131">
        <f t="shared" si="8"/>
        <v>1</v>
      </c>
      <c r="M313" s="130"/>
      <c r="N313" s="109"/>
      <c r="O313" s="109"/>
      <c r="P313" s="109"/>
      <c r="Q313" s="58"/>
      <c r="R313" s="126"/>
      <c r="S313" s="126"/>
      <c r="T313" s="80"/>
      <c r="U313" s="80"/>
      <c r="V313" s="80"/>
      <c r="W313" s="80"/>
      <c r="X313" s="80"/>
      <c r="Y313" s="80"/>
      <c r="Z313" s="80"/>
      <c r="AA313" s="81"/>
      <c r="AB313" s="81"/>
      <c r="AC313" s="81"/>
      <c r="AD313" s="81"/>
      <c r="AE313" s="81"/>
    </row>
    <row r="314">
      <c r="A314" s="16"/>
      <c r="B314" s="127" t="s">
        <v>31</v>
      </c>
      <c r="C314" s="127">
        <v>75402.0</v>
      </c>
      <c r="D314" s="108" t="s">
        <v>642</v>
      </c>
      <c r="E314" s="109"/>
      <c r="F314" s="58"/>
      <c r="G314" s="128" t="s">
        <v>643</v>
      </c>
      <c r="H314" s="129">
        <v>8.59</v>
      </c>
      <c r="I314" s="129">
        <v>9.17</v>
      </c>
      <c r="J314" s="130" t="b">
        <v>0</v>
      </c>
      <c r="K314" s="58"/>
      <c r="L314" s="131">
        <f t="shared" si="8"/>
        <v>1</v>
      </c>
      <c r="M314" s="130"/>
      <c r="N314" s="109"/>
      <c r="O314" s="109"/>
      <c r="P314" s="109"/>
      <c r="Q314" s="58"/>
      <c r="R314" s="126"/>
      <c r="S314" s="126"/>
      <c r="T314" s="80"/>
      <c r="U314" s="80"/>
      <c r="V314" s="80"/>
      <c r="W314" s="80"/>
      <c r="X314" s="80"/>
      <c r="Y314" s="80"/>
      <c r="Z314" s="80"/>
      <c r="AA314" s="81"/>
      <c r="AB314" s="81"/>
      <c r="AC314" s="81"/>
      <c r="AD314" s="81"/>
      <c r="AE314" s="81"/>
    </row>
    <row r="315">
      <c r="A315" s="16"/>
      <c r="B315" s="127" t="s">
        <v>31</v>
      </c>
      <c r="C315" s="127">
        <v>75402.0</v>
      </c>
      <c r="D315" s="108" t="s">
        <v>644</v>
      </c>
      <c r="E315" s="109"/>
      <c r="F315" s="58"/>
      <c r="G315" s="128" t="s">
        <v>645</v>
      </c>
      <c r="H315" s="129">
        <v>8.11</v>
      </c>
      <c r="I315" s="129">
        <v>8.3</v>
      </c>
      <c r="J315" s="130" t="b">
        <v>0</v>
      </c>
      <c r="K315" s="58"/>
      <c r="L315" s="131">
        <f t="shared" si="8"/>
        <v>1</v>
      </c>
      <c r="M315" s="130"/>
      <c r="N315" s="109"/>
      <c r="O315" s="109"/>
      <c r="P315" s="109"/>
      <c r="Q315" s="58"/>
      <c r="R315" s="126"/>
      <c r="S315" s="126"/>
      <c r="T315" s="80"/>
      <c r="U315" s="80"/>
      <c r="V315" s="80"/>
      <c r="W315" s="80"/>
      <c r="X315" s="80"/>
      <c r="Y315" s="80"/>
      <c r="Z315" s="80"/>
      <c r="AA315" s="81"/>
      <c r="AB315" s="81"/>
      <c r="AC315" s="81"/>
      <c r="AD315" s="81"/>
      <c r="AE315" s="81"/>
    </row>
    <row r="316">
      <c r="A316" s="16"/>
      <c r="B316" s="127" t="s">
        <v>31</v>
      </c>
      <c r="C316" s="127">
        <v>75402.0</v>
      </c>
      <c r="D316" s="108" t="s">
        <v>646</v>
      </c>
      <c r="E316" s="109"/>
      <c r="F316" s="58"/>
      <c r="G316" s="128" t="s">
        <v>647</v>
      </c>
      <c r="H316" s="129">
        <v>7.49</v>
      </c>
      <c r="I316" s="129">
        <v>8.26</v>
      </c>
      <c r="J316" s="130" t="b">
        <v>0</v>
      </c>
      <c r="K316" s="58"/>
      <c r="L316" s="131">
        <f t="shared" si="8"/>
        <v>1</v>
      </c>
      <c r="M316" s="130"/>
      <c r="N316" s="109"/>
      <c r="O316" s="109"/>
      <c r="P316" s="109"/>
      <c r="Q316" s="58"/>
      <c r="R316" s="126"/>
      <c r="S316" s="126"/>
      <c r="T316" s="80"/>
      <c r="U316" s="80"/>
      <c r="V316" s="80"/>
      <c r="W316" s="80"/>
      <c r="X316" s="80"/>
      <c r="Y316" s="80"/>
      <c r="Z316" s="80"/>
      <c r="AA316" s="81"/>
      <c r="AB316" s="81"/>
      <c r="AC316" s="81"/>
      <c r="AD316" s="81"/>
      <c r="AE316" s="81"/>
    </row>
    <row r="317">
      <c r="A317" s="16"/>
      <c r="B317" s="127" t="s">
        <v>31</v>
      </c>
      <c r="C317" s="127">
        <v>75402.0</v>
      </c>
      <c r="D317" s="108" t="s">
        <v>648</v>
      </c>
      <c r="E317" s="109"/>
      <c r="F317" s="58"/>
      <c r="G317" s="128" t="s">
        <v>649</v>
      </c>
      <c r="H317" s="129">
        <v>6.74</v>
      </c>
      <c r="I317" s="129">
        <v>7.01</v>
      </c>
      <c r="J317" s="130" t="b">
        <v>0</v>
      </c>
      <c r="K317" s="58"/>
      <c r="L317" s="131">
        <f t="shared" si="8"/>
        <v>1</v>
      </c>
      <c r="M317" s="130"/>
      <c r="N317" s="109"/>
      <c r="O317" s="109"/>
      <c r="P317" s="109"/>
      <c r="Q317" s="58"/>
      <c r="R317" s="126"/>
      <c r="S317" s="126"/>
      <c r="T317" s="80"/>
      <c r="U317" s="80"/>
      <c r="V317" s="80"/>
      <c r="W317" s="80"/>
      <c r="X317" s="80"/>
      <c r="Y317" s="80"/>
      <c r="Z317" s="80"/>
      <c r="AA317" s="81"/>
      <c r="AB317" s="81"/>
      <c r="AC317" s="81"/>
      <c r="AD317" s="81"/>
      <c r="AE317" s="81"/>
    </row>
    <row r="318">
      <c r="A318" s="16"/>
      <c r="B318" s="127" t="s">
        <v>31</v>
      </c>
      <c r="C318" s="127">
        <v>75409.0</v>
      </c>
      <c r="D318" s="108" t="s">
        <v>650</v>
      </c>
      <c r="E318" s="109"/>
      <c r="F318" s="58"/>
      <c r="G318" s="128" t="s">
        <v>651</v>
      </c>
      <c r="H318" s="129">
        <v>28.13</v>
      </c>
      <c r="I318" s="129">
        <v>21.36</v>
      </c>
      <c r="J318" s="130" t="b">
        <v>0</v>
      </c>
      <c r="K318" s="58"/>
      <c r="L318" s="131">
        <f t="shared" si="8"/>
        <v>1</v>
      </c>
      <c r="M318" s="130"/>
      <c r="N318" s="109"/>
      <c r="O318" s="109"/>
      <c r="P318" s="109"/>
      <c r="Q318" s="58"/>
      <c r="R318" s="126"/>
      <c r="S318" s="126"/>
      <c r="T318" s="80"/>
      <c r="U318" s="80"/>
      <c r="V318" s="80"/>
      <c r="W318" s="80"/>
      <c r="X318" s="80"/>
      <c r="Y318" s="80"/>
      <c r="Z318" s="80"/>
      <c r="AA318" s="81"/>
      <c r="AB318" s="81"/>
      <c r="AC318" s="81"/>
      <c r="AD318" s="81"/>
      <c r="AE318" s="81"/>
    </row>
    <row r="319">
      <c r="A319" s="16"/>
      <c r="B319" s="127" t="s">
        <v>31</v>
      </c>
      <c r="C319" s="127">
        <v>75409.0</v>
      </c>
      <c r="D319" s="108" t="s">
        <v>652</v>
      </c>
      <c r="E319" s="109"/>
      <c r="F319" s="58"/>
      <c r="G319" s="128" t="s">
        <v>653</v>
      </c>
      <c r="H319" s="129">
        <v>80.0</v>
      </c>
      <c r="I319" s="129">
        <v>70.27</v>
      </c>
      <c r="J319" s="130" t="b">
        <v>0</v>
      </c>
      <c r="K319" s="58"/>
      <c r="L319" s="131">
        <f t="shared" si="8"/>
        <v>1</v>
      </c>
      <c r="M319" s="130"/>
      <c r="N319" s="109"/>
      <c r="O319" s="109"/>
      <c r="P319" s="109"/>
      <c r="Q319" s="58"/>
      <c r="R319" s="126"/>
      <c r="S319" s="126"/>
      <c r="T319" s="80"/>
      <c r="U319" s="80"/>
      <c r="V319" s="80"/>
      <c r="W319" s="80"/>
      <c r="X319" s="80"/>
      <c r="Y319" s="80"/>
      <c r="Z319" s="80"/>
      <c r="AA319" s="81"/>
      <c r="AB319" s="81"/>
      <c r="AC319" s="81"/>
      <c r="AD319" s="81"/>
      <c r="AE319" s="81"/>
    </row>
    <row r="320">
      <c r="A320" s="16"/>
      <c r="B320" s="127" t="s">
        <v>31</v>
      </c>
      <c r="C320" s="127">
        <v>75416.0</v>
      </c>
      <c r="D320" s="108" t="s">
        <v>654</v>
      </c>
      <c r="E320" s="109"/>
      <c r="F320" s="58"/>
      <c r="G320" s="128" t="s">
        <v>655</v>
      </c>
      <c r="H320" s="129">
        <v>14.29</v>
      </c>
      <c r="I320" s="129">
        <v>13.91</v>
      </c>
      <c r="J320" s="130" t="b">
        <v>0</v>
      </c>
      <c r="K320" s="58"/>
      <c r="L320" s="131">
        <f t="shared" si="8"/>
        <v>1</v>
      </c>
      <c r="M320" s="130"/>
      <c r="N320" s="109"/>
      <c r="O320" s="109"/>
      <c r="P320" s="109"/>
      <c r="Q320" s="58"/>
      <c r="R320" s="126"/>
      <c r="S320" s="126"/>
      <c r="T320" s="80"/>
      <c r="U320" s="80"/>
      <c r="V320" s="80"/>
      <c r="W320" s="80"/>
      <c r="X320" s="80"/>
      <c r="Y320" s="80"/>
      <c r="Z320" s="80"/>
      <c r="AA320" s="81"/>
      <c r="AB320" s="81"/>
      <c r="AC320" s="81"/>
      <c r="AD320" s="81"/>
      <c r="AE320" s="81"/>
    </row>
    <row r="321">
      <c r="A321" s="16"/>
      <c r="B321" s="127" t="s">
        <v>31</v>
      </c>
      <c r="C321" s="127">
        <v>75417.0</v>
      </c>
      <c r="D321" s="108" t="s">
        <v>656</v>
      </c>
      <c r="E321" s="109"/>
      <c r="F321" s="58"/>
      <c r="G321" s="128" t="s">
        <v>657</v>
      </c>
      <c r="H321" s="129">
        <v>61.22</v>
      </c>
      <c r="I321" s="129">
        <v>58.35</v>
      </c>
      <c r="J321" s="130" t="b">
        <v>0</v>
      </c>
      <c r="K321" s="58"/>
      <c r="L321" s="131">
        <f t="shared" si="8"/>
        <v>1</v>
      </c>
      <c r="M321" s="130"/>
      <c r="N321" s="109"/>
      <c r="O321" s="109"/>
      <c r="P321" s="109"/>
      <c r="Q321" s="58"/>
      <c r="R321" s="126"/>
      <c r="S321" s="126"/>
      <c r="T321" s="80"/>
      <c r="U321" s="80"/>
      <c r="V321" s="80"/>
      <c r="W321" s="80"/>
      <c r="X321" s="80"/>
      <c r="Y321" s="80"/>
      <c r="Z321" s="80"/>
      <c r="AA321" s="81"/>
      <c r="AB321" s="81"/>
      <c r="AC321" s="81"/>
      <c r="AD321" s="81"/>
      <c r="AE321" s="81"/>
    </row>
    <row r="322">
      <c r="A322" s="16"/>
      <c r="B322" s="127" t="s">
        <v>31</v>
      </c>
      <c r="C322" s="127">
        <v>75419.0</v>
      </c>
      <c r="D322" s="108" t="s">
        <v>658</v>
      </c>
      <c r="E322" s="109"/>
      <c r="F322" s="58"/>
      <c r="G322" s="128" t="s">
        <v>659</v>
      </c>
      <c r="H322" s="129">
        <v>32.22</v>
      </c>
      <c r="I322" s="129">
        <v>41.03</v>
      </c>
      <c r="J322" s="130" t="b">
        <v>0</v>
      </c>
      <c r="K322" s="58"/>
      <c r="L322" s="131">
        <f t="shared" si="8"/>
        <v>1</v>
      </c>
      <c r="M322" s="130"/>
      <c r="N322" s="109"/>
      <c r="O322" s="109"/>
      <c r="P322" s="109"/>
      <c r="Q322" s="58"/>
      <c r="R322" s="126"/>
      <c r="S322" s="126"/>
      <c r="T322" s="80"/>
      <c r="U322" s="80"/>
      <c r="V322" s="80"/>
      <c r="W322" s="80"/>
      <c r="X322" s="80"/>
      <c r="Y322" s="80"/>
      <c r="Z322" s="80"/>
      <c r="AA322" s="81"/>
      <c r="AB322" s="81"/>
      <c r="AC322" s="81"/>
      <c r="AD322" s="81"/>
      <c r="AE322" s="81"/>
    </row>
    <row r="323">
      <c r="A323" s="16"/>
      <c r="B323" s="127" t="s">
        <v>31</v>
      </c>
      <c r="C323" s="127">
        <v>75419.0</v>
      </c>
      <c r="D323" s="108" t="s">
        <v>660</v>
      </c>
      <c r="E323" s="109"/>
      <c r="F323" s="58"/>
      <c r="G323" s="128" t="s">
        <v>661</v>
      </c>
      <c r="H323" s="129">
        <v>83.02</v>
      </c>
      <c r="I323" s="129">
        <v>38.52</v>
      </c>
      <c r="J323" s="130" t="b">
        <v>0</v>
      </c>
      <c r="K323" s="58"/>
      <c r="L323" s="131">
        <f t="shared" si="8"/>
        <v>1</v>
      </c>
      <c r="M323" s="130"/>
      <c r="N323" s="109"/>
      <c r="O323" s="109"/>
      <c r="P323" s="109"/>
      <c r="Q323" s="58"/>
      <c r="R323" s="126"/>
      <c r="S323" s="126"/>
      <c r="T323" s="80"/>
      <c r="U323" s="80"/>
      <c r="V323" s="80"/>
      <c r="W323" s="80"/>
      <c r="X323" s="80"/>
      <c r="Y323" s="80"/>
      <c r="Z323" s="80"/>
      <c r="AA323" s="81"/>
      <c r="AB323" s="81"/>
      <c r="AC323" s="81"/>
      <c r="AD323" s="81"/>
      <c r="AE323" s="81"/>
    </row>
    <row r="324">
      <c r="A324" s="16"/>
      <c r="B324" s="127" t="s">
        <v>31</v>
      </c>
      <c r="C324" s="127">
        <v>75419.0</v>
      </c>
      <c r="D324" s="108" t="s">
        <v>662</v>
      </c>
      <c r="E324" s="109"/>
      <c r="F324" s="58"/>
      <c r="G324" s="128" t="s">
        <v>663</v>
      </c>
      <c r="H324" s="129">
        <v>32.99</v>
      </c>
      <c r="I324" s="129">
        <v>37.95</v>
      </c>
      <c r="J324" s="130" t="b">
        <v>0</v>
      </c>
      <c r="K324" s="58"/>
      <c r="L324" s="131">
        <f t="shared" si="8"/>
        <v>1</v>
      </c>
      <c r="M324" s="130"/>
      <c r="N324" s="109"/>
      <c r="O324" s="109"/>
      <c r="P324" s="109"/>
      <c r="Q324" s="58"/>
      <c r="R324" s="126"/>
      <c r="S324" s="126"/>
      <c r="T324" s="80"/>
      <c r="U324" s="80"/>
      <c r="V324" s="80"/>
      <c r="W324" s="80"/>
      <c r="X324" s="80"/>
      <c r="Y324" s="80"/>
      <c r="Z324" s="80"/>
      <c r="AA324" s="81"/>
      <c r="AB324" s="81"/>
      <c r="AC324" s="81"/>
      <c r="AD324" s="81"/>
      <c r="AE324" s="81"/>
    </row>
    <row r="325">
      <c r="A325" s="16"/>
      <c r="B325" s="127" t="s">
        <v>31</v>
      </c>
      <c r="C325" s="127">
        <v>75419.0</v>
      </c>
      <c r="D325" s="108" t="s">
        <v>488</v>
      </c>
      <c r="E325" s="109"/>
      <c r="F325" s="58"/>
      <c r="G325" s="128" t="s">
        <v>489</v>
      </c>
      <c r="H325" s="129">
        <v>4.23</v>
      </c>
      <c r="I325" s="129">
        <v>5.05</v>
      </c>
      <c r="J325" s="130" t="b">
        <v>0</v>
      </c>
      <c r="K325" s="58"/>
      <c r="L325" s="131">
        <f t="shared" si="8"/>
        <v>3</v>
      </c>
      <c r="M325" s="130"/>
      <c r="N325" s="109"/>
      <c r="O325" s="109"/>
      <c r="P325" s="109"/>
      <c r="Q325" s="58"/>
      <c r="R325" s="126"/>
      <c r="S325" s="126"/>
      <c r="T325" s="80"/>
      <c r="U325" s="80"/>
      <c r="V325" s="80"/>
      <c r="W325" s="80"/>
      <c r="X325" s="80"/>
      <c r="Y325" s="80"/>
      <c r="Z325" s="80"/>
      <c r="AA325" s="81"/>
      <c r="AB325" s="81"/>
      <c r="AC325" s="81"/>
      <c r="AD325" s="81"/>
      <c r="AE325" s="81"/>
    </row>
    <row r="326">
      <c r="A326" s="16"/>
      <c r="B326" s="127" t="s">
        <v>31</v>
      </c>
      <c r="C326" s="127">
        <v>75419.0</v>
      </c>
      <c r="D326" s="108" t="s">
        <v>393</v>
      </c>
      <c r="E326" s="109"/>
      <c r="F326" s="58"/>
      <c r="G326" s="128" t="s">
        <v>394</v>
      </c>
      <c r="H326" s="129">
        <v>2.7</v>
      </c>
      <c r="I326" s="129">
        <v>3.52</v>
      </c>
      <c r="J326" s="130" t="b">
        <v>0</v>
      </c>
      <c r="K326" s="58"/>
      <c r="L326" s="131">
        <f t="shared" si="8"/>
        <v>4</v>
      </c>
      <c r="M326" s="130"/>
      <c r="N326" s="109"/>
      <c r="O326" s="109"/>
      <c r="P326" s="109"/>
      <c r="Q326" s="58"/>
      <c r="R326" s="126"/>
      <c r="S326" s="126"/>
      <c r="T326" s="80"/>
      <c r="U326" s="80"/>
      <c r="V326" s="80"/>
      <c r="W326" s="80"/>
      <c r="X326" s="80"/>
      <c r="Y326" s="80"/>
      <c r="Z326" s="80"/>
      <c r="AA326" s="81"/>
      <c r="AB326" s="81"/>
      <c r="AC326" s="81"/>
      <c r="AD326" s="81"/>
      <c r="AE326" s="81"/>
    </row>
    <row r="327">
      <c r="A327" s="16"/>
      <c r="B327" s="127" t="s">
        <v>31</v>
      </c>
      <c r="C327" s="127">
        <v>75419.0</v>
      </c>
      <c r="D327" s="108" t="s">
        <v>409</v>
      </c>
      <c r="E327" s="109"/>
      <c r="F327" s="58"/>
      <c r="G327" s="128" t="s">
        <v>559</v>
      </c>
      <c r="H327" s="129">
        <v>5.02</v>
      </c>
      <c r="I327" s="129">
        <v>5.38</v>
      </c>
      <c r="J327" s="130" t="b">
        <v>0</v>
      </c>
      <c r="K327" s="58"/>
      <c r="L327" s="131">
        <f t="shared" si="8"/>
        <v>3</v>
      </c>
      <c r="M327" s="130"/>
      <c r="N327" s="109"/>
      <c r="O327" s="109"/>
      <c r="P327" s="109"/>
      <c r="Q327" s="58"/>
      <c r="R327" s="126"/>
      <c r="S327" s="126"/>
      <c r="T327" s="80"/>
      <c r="U327" s="80"/>
      <c r="V327" s="80"/>
      <c r="W327" s="80"/>
      <c r="X327" s="80"/>
      <c r="Y327" s="80"/>
      <c r="Z327" s="80"/>
      <c r="AA327" s="81"/>
      <c r="AB327" s="81"/>
      <c r="AC327" s="81"/>
      <c r="AD327" s="81"/>
      <c r="AE327" s="81"/>
    </row>
    <row r="328">
      <c r="A328" s="16"/>
      <c r="B328" s="127" t="s">
        <v>31</v>
      </c>
      <c r="C328" s="127">
        <v>75419.0</v>
      </c>
      <c r="D328" s="108" t="s">
        <v>664</v>
      </c>
      <c r="E328" s="109"/>
      <c r="F328" s="58"/>
      <c r="G328" s="128" t="s">
        <v>665</v>
      </c>
      <c r="H328" s="129">
        <v>42.11</v>
      </c>
      <c r="I328" s="129">
        <v>49.5</v>
      </c>
      <c r="J328" s="130" t="b">
        <v>0</v>
      </c>
      <c r="K328" s="58"/>
      <c r="L328" s="131">
        <f t="shared" si="8"/>
        <v>1</v>
      </c>
      <c r="M328" s="130"/>
      <c r="N328" s="109"/>
      <c r="O328" s="109"/>
      <c r="P328" s="109"/>
      <c r="Q328" s="58"/>
      <c r="R328" s="126"/>
      <c r="S328" s="126"/>
      <c r="T328" s="80"/>
      <c r="U328" s="80"/>
      <c r="V328" s="80"/>
      <c r="W328" s="80"/>
      <c r="X328" s="80"/>
      <c r="Y328" s="80"/>
      <c r="Z328" s="80"/>
      <c r="AA328" s="81"/>
      <c r="AB328" s="81"/>
      <c r="AC328" s="81"/>
      <c r="AD328" s="81"/>
      <c r="AE328" s="81"/>
    </row>
    <row r="329">
      <c r="A329" s="16"/>
      <c r="B329" s="127" t="s">
        <v>31</v>
      </c>
      <c r="C329" s="127">
        <v>75419.0</v>
      </c>
      <c r="D329" s="108" t="s">
        <v>666</v>
      </c>
      <c r="E329" s="109"/>
      <c r="F329" s="58"/>
      <c r="G329" s="128" t="s">
        <v>667</v>
      </c>
      <c r="H329" s="129">
        <v>6.38</v>
      </c>
      <c r="I329" s="129">
        <v>8.23</v>
      </c>
      <c r="J329" s="130" t="b">
        <v>0</v>
      </c>
      <c r="K329" s="58"/>
      <c r="L329" s="131">
        <f t="shared" si="8"/>
        <v>1</v>
      </c>
      <c r="M329" s="130"/>
      <c r="N329" s="109"/>
      <c r="O329" s="109"/>
      <c r="P329" s="109"/>
      <c r="Q329" s="58"/>
      <c r="R329" s="126"/>
      <c r="S329" s="126"/>
      <c r="T329" s="80"/>
      <c r="U329" s="80"/>
      <c r="V329" s="80"/>
      <c r="W329" s="80"/>
      <c r="X329" s="80"/>
      <c r="Y329" s="80"/>
      <c r="Z329" s="80"/>
      <c r="AA329" s="81"/>
      <c r="AB329" s="81"/>
      <c r="AC329" s="81"/>
      <c r="AD329" s="81"/>
      <c r="AE329" s="81"/>
    </row>
    <row r="330">
      <c r="A330" s="16"/>
      <c r="B330" s="127" t="s">
        <v>31</v>
      </c>
      <c r="C330" s="127">
        <v>75419.0</v>
      </c>
      <c r="D330" s="108" t="s">
        <v>668</v>
      </c>
      <c r="E330" s="109"/>
      <c r="F330" s="58"/>
      <c r="G330" s="128" t="s">
        <v>669</v>
      </c>
      <c r="H330" s="129">
        <v>56.12</v>
      </c>
      <c r="I330" s="129">
        <v>81.401</v>
      </c>
      <c r="J330" s="130" t="b">
        <v>0</v>
      </c>
      <c r="K330" s="58"/>
      <c r="L330" s="131">
        <f t="shared" si="8"/>
        <v>1</v>
      </c>
      <c r="M330" s="130"/>
      <c r="N330" s="109"/>
      <c r="O330" s="109"/>
      <c r="P330" s="109"/>
      <c r="Q330" s="58"/>
      <c r="R330" s="126"/>
      <c r="S330" s="126"/>
      <c r="T330" s="80"/>
      <c r="U330" s="80"/>
      <c r="V330" s="80"/>
      <c r="W330" s="80"/>
      <c r="X330" s="80"/>
      <c r="Y330" s="80"/>
      <c r="Z330" s="80"/>
      <c r="AA330" s="81"/>
      <c r="AB330" s="81"/>
      <c r="AC330" s="81"/>
      <c r="AD330" s="81"/>
      <c r="AE330" s="81"/>
    </row>
    <row r="331">
      <c r="A331" s="16"/>
      <c r="B331" s="127" t="s">
        <v>31</v>
      </c>
      <c r="C331" s="127">
        <v>75419.0</v>
      </c>
      <c r="D331" s="108" t="s">
        <v>670</v>
      </c>
      <c r="E331" s="109"/>
      <c r="F331" s="58"/>
      <c r="G331" s="128" t="s">
        <v>671</v>
      </c>
      <c r="H331" s="129">
        <v>66.42</v>
      </c>
      <c r="I331" s="129">
        <v>39.64</v>
      </c>
      <c r="J331" s="130" t="b">
        <v>0</v>
      </c>
      <c r="K331" s="58"/>
      <c r="L331" s="131">
        <f t="shared" si="8"/>
        <v>1</v>
      </c>
      <c r="M331" s="130"/>
      <c r="N331" s="109"/>
      <c r="O331" s="109"/>
      <c r="P331" s="109"/>
      <c r="Q331" s="58"/>
      <c r="R331" s="126"/>
      <c r="S331" s="126"/>
      <c r="T331" s="80"/>
      <c r="U331" s="80"/>
      <c r="V331" s="80"/>
      <c r="W331" s="80"/>
      <c r="X331" s="80"/>
      <c r="Y331" s="80"/>
      <c r="Z331" s="80"/>
      <c r="AA331" s="81"/>
      <c r="AB331" s="81"/>
      <c r="AC331" s="81"/>
      <c r="AD331" s="81"/>
      <c r="AE331" s="81"/>
    </row>
    <row r="332">
      <c r="A332" s="16"/>
      <c r="B332" s="127" t="s">
        <v>31</v>
      </c>
      <c r="C332" s="127">
        <v>75419.0</v>
      </c>
      <c r="D332" s="108" t="s">
        <v>672</v>
      </c>
      <c r="E332" s="109"/>
      <c r="F332" s="58"/>
      <c r="G332" s="128" t="s">
        <v>673</v>
      </c>
      <c r="H332" s="129">
        <v>83.02</v>
      </c>
      <c r="I332" s="129">
        <v>42.58</v>
      </c>
      <c r="J332" s="130" t="b">
        <v>0</v>
      </c>
      <c r="K332" s="58"/>
      <c r="L332" s="131">
        <f t="shared" si="8"/>
        <v>1</v>
      </c>
      <c r="M332" s="130"/>
      <c r="N332" s="109"/>
      <c r="O332" s="109"/>
      <c r="P332" s="109"/>
      <c r="Q332" s="58"/>
      <c r="R332" s="126"/>
      <c r="S332" s="126"/>
      <c r="T332" s="80"/>
      <c r="U332" s="80"/>
      <c r="V332" s="80"/>
      <c r="W332" s="80"/>
      <c r="X332" s="80"/>
      <c r="Y332" s="80"/>
      <c r="Z332" s="80"/>
      <c r="AA332" s="81"/>
      <c r="AB332" s="81"/>
      <c r="AC332" s="81"/>
      <c r="AD332" s="81"/>
      <c r="AE332" s="81"/>
    </row>
    <row r="333">
      <c r="A333" s="16"/>
      <c r="B333" s="127" t="s">
        <v>31</v>
      </c>
      <c r="C333" s="127">
        <v>75419.0</v>
      </c>
      <c r="D333" s="108" t="s">
        <v>385</v>
      </c>
      <c r="E333" s="109"/>
      <c r="F333" s="58"/>
      <c r="G333" s="128" t="s">
        <v>674</v>
      </c>
      <c r="H333" s="129">
        <v>9.07</v>
      </c>
      <c r="I333" s="129">
        <v>13.98</v>
      </c>
      <c r="J333" s="130" t="b">
        <v>0</v>
      </c>
      <c r="K333" s="58"/>
      <c r="L333" s="131">
        <f t="shared" si="8"/>
        <v>1</v>
      </c>
      <c r="M333" s="130"/>
      <c r="N333" s="109"/>
      <c r="O333" s="109"/>
      <c r="P333" s="109"/>
      <c r="Q333" s="58"/>
      <c r="R333" s="126"/>
      <c r="S333" s="126"/>
      <c r="T333" s="80"/>
      <c r="U333" s="80"/>
      <c r="V333" s="80"/>
      <c r="W333" s="80"/>
      <c r="X333" s="80"/>
      <c r="Y333" s="80"/>
      <c r="Z333" s="80"/>
      <c r="AA333" s="81"/>
      <c r="AB333" s="81"/>
      <c r="AC333" s="81"/>
      <c r="AD333" s="81"/>
      <c r="AE333" s="81"/>
    </row>
    <row r="334">
      <c r="A334" s="16"/>
      <c r="B334" s="127" t="s">
        <v>31</v>
      </c>
      <c r="C334" s="127">
        <v>75419.0</v>
      </c>
      <c r="D334" s="108" t="s">
        <v>675</v>
      </c>
      <c r="E334" s="109"/>
      <c r="F334" s="58"/>
      <c r="G334" s="128" t="s">
        <v>676</v>
      </c>
      <c r="H334" s="129">
        <v>5.52</v>
      </c>
      <c r="I334" s="129">
        <v>7.42</v>
      </c>
      <c r="J334" s="130" t="b">
        <v>0</v>
      </c>
      <c r="K334" s="58"/>
      <c r="L334" s="131">
        <f t="shared" si="8"/>
        <v>1</v>
      </c>
      <c r="M334" s="130"/>
      <c r="N334" s="109"/>
      <c r="O334" s="109"/>
      <c r="P334" s="109"/>
      <c r="Q334" s="58"/>
      <c r="R334" s="126"/>
      <c r="S334" s="126"/>
      <c r="T334" s="80"/>
      <c r="U334" s="80"/>
      <c r="V334" s="80"/>
      <c r="W334" s="80"/>
      <c r="X334" s="80"/>
      <c r="Y334" s="80"/>
      <c r="Z334" s="80"/>
      <c r="AA334" s="81"/>
      <c r="AB334" s="81"/>
      <c r="AC334" s="81"/>
      <c r="AD334" s="81"/>
      <c r="AE334" s="81"/>
    </row>
    <row r="335">
      <c r="A335" s="16"/>
      <c r="B335" s="127" t="s">
        <v>31</v>
      </c>
      <c r="C335" s="127">
        <v>75419.0</v>
      </c>
      <c r="D335" s="108" t="s">
        <v>677</v>
      </c>
      <c r="E335" s="109"/>
      <c r="F335" s="58"/>
      <c r="G335" s="128" t="s">
        <v>678</v>
      </c>
      <c r="H335" s="129">
        <v>79.51</v>
      </c>
      <c r="I335" s="129">
        <v>80.48</v>
      </c>
      <c r="J335" s="130" t="b">
        <v>0</v>
      </c>
      <c r="K335" s="58"/>
      <c r="L335" s="131">
        <f t="shared" si="8"/>
        <v>1</v>
      </c>
      <c r="M335" s="130"/>
      <c r="N335" s="109"/>
      <c r="O335" s="109"/>
      <c r="P335" s="109"/>
      <c r="Q335" s="58"/>
      <c r="R335" s="126"/>
      <c r="S335" s="126"/>
      <c r="T335" s="80"/>
      <c r="U335" s="80"/>
      <c r="V335" s="80"/>
      <c r="W335" s="80"/>
      <c r="X335" s="80"/>
      <c r="Y335" s="80"/>
      <c r="Z335" s="80"/>
      <c r="AA335" s="81"/>
      <c r="AB335" s="81"/>
      <c r="AC335" s="81"/>
      <c r="AD335" s="81"/>
      <c r="AE335" s="81"/>
    </row>
    <row r="336">
      <c r="A336" s="16"/>
      <c r="B336" s="127" t="s">
        <v>31</v>
      </c>
      <c r="C336" s="127">
        <v>75419.0</v>
      </c>
      <c r="D336" s="108" t="s">
        <v>679</v>
      </c>
      <c r="E336" s="109"/>
      <c r="F336" s="58"/>
      <c r="G336" s="128" t="s">
        <v>680</v>
      </c>
      <c r="H336" s="129">
        <v>12.84</v>
      </c>
      <c r="I336" s="129">
        <v>14.66</v>
      </c>
      <c r="J336" s="130" t="b">
        <v>0</v>
      </c>
      <c r="K336" s="58"/>
      <c r="L336" s="131">
        <f t="shared" si="8"/>
        <v>1</v>
      </c>
      <c r="M336" s="130"/>
      <c r="N336" s="109"/>
      <c r="O336" s="109"/>
      <c r="P336" s="109"/>
      <c r="Q336" s="58"/>
      <c r="R336" s="126"/>
      <c r="S336" s="126"/>
      <c r="T336" s="80"/>
      <c r="U336" s="80"/>
      <c r="V336" s="80"/>
      <c r="W336" s="80"/>
      <c r="X336" s="80"/>
      <c r="Y336" s="80"/>
      <c r="Z336" s="80"/>
      <c r="AA336" s="81"/>
      <c r="AB336" s="81"/>
      <c r="AC336" s="81"/>
      <c r="AD336" s="81"/>
      <c r="AE336" s="81"/>
    </row>
    <row r="337">
      <c r="A337" s="16"/>
      <c r="B337" s="127" t="s">
        <v>31</v>
      </c>
      <c r="C337" s="127">
        <v>75419.0</v>
      </c>
      <c r="D337" s="108" t="s">
        <v>679</v>
      </c>
      <c r="E337" s="109"/>
      <c r="F337" s="58"/>
      <c r="G337" s="128" t="s">
        <v>594</v>
      </c>
      <c r="H337" s="129">
        <v>8.75</v>
      </c>
      <c r="I337" s="129">
        <v>9.01</v>
      </c>
      <c r="J337" s="130" t="b">
        <v>0</v>
      </c>
      <c r="K337" s="58"/>
      <c r="L337" s="131">
        <f t="shared" si="8"/>
        <v>2</v>
      </c>
      <c r="M337" s="130"/>
      <c r="N337" s="109"/>
      <c r="O337" s="109"/>
      <c r="P337" s="109"/>
      <c r="Q337" s="58"/>
      <c r="R337" s="126"/>
      <c r="S337" s="126"/>
      <c r="T337" s="80"/>
      <c r="U337" s="80"/>
      <c r="V337" s="80"/>
      <c r="W337" s="80"/>
      <c r="X337" s="80"/>
      <c r="Y337" s="80"/>
      <c r="Z337" s="80"/>
      <c r="AA337" s="81"/>
      <c r="AB337" s="81"/>
      <c r="AC337" s="81"/>
      <c r="AD337" s="81"/>
      <c r="AE337" s="81"/>
    </row>
    <row r="338">
      <c r="A338" s="16"/>
      <c r="B338" s="127" t="s">
        <v>31</v>
      </c>
      <c r="C338" s="127">
        <v>75419.0</v>
      </c>
      <c r="D338" s="108" t="s">
        <v>681</v>
      </c>
      <c r="E338" s="109"/>
      <c r="F338" s="58"/>
      <c r="G338" s="128" t="s">
        <v>682</v>
      </c>
      <c r="H338" s="129">
        <v>49.55</v>
      </c>
      <c r="I338" s="129">
        <v>66.95</v>
      </c>
      <c r="J338" s="130" t="b">
        <v>0</v>
      </c>
      <c r="K338" s="58"/>
      <c r="L338" s="131">
        <f t="shared" si="8"/>
        <v>1</v>
      </c>
      <c r="M338" s="130"/>
      <c r="N338" s="109"/>
      <c r="O338" s="109"/>
      <c r="P338" s="109"/>
      <c r="Q338" s="58"/>
      <c r="R338" s="126"/>
      <c r="S338" s="126"/>
      <c r="T338" s="80"/>
      <c r="U338" s="80"/>
      <c r="V338" s="80"/>
      <c r="W338" s="80"/>
      <c r="X338" s="80"/>
      <c r="Y338" s="80"/>
      <c r="Z338" s="80"/>
      <c r="AA338" s="81"/>
      <c r="AB338" s="81"/>
      <c r="AC338" s="81"/>
      <c r="AD338" s="81"/>
      <c r="AE338" s="81"/>
    </row>
    <row r="339">
      <c r="A339" s="16"/>
      <c r="B339" s="127" t="s">
        <v>31</v>
      </c>
      <c r="C339" s="127">
        <v>75419.0</v>
      </c>
      <c r="D339" s="108" t="s">
        <v>595</v>
      </c>
      <c r="E339" s="109"/>
      <c r="F339" s="58"/>
      <c r="G339" s="128" t="s">
        <v>683</v>
      </c>
      <c r="H339" s="129"/>
      <c r="I339" s="129">
        <v>8.4</v>
      </c>
      <c r="J339" s="130" t="b">
        <v>0</v>
      </c>
      <c r="K339" s="58"/>
      <c r="L339" s="131">
        <f t="shared" si="8"/>
        <v>1</v>
      </c>
      <c r="M339" s="130"/>
      <c r="N339" s="109"/>
      <c r="O339" s="109"/>
      <c r="P339" s="109"/>
      <c r="Q339" s="58"/>
      <c r="R339" s="126"/>
      <c r="S339" s="126"/>
      <c r="T339" s="80"/>
      <c r="U339" s="80"/>
      <c r="V339" s="80"/>
      <c r="W339" s="80"/>
      <c r="X339" s="80"/>
      <c r="Y339" s="80"/>
      <c r="Z339" s="80"/>
      <c r="AA339" s="81"/>
      <c r="AB339" s="81"/>
      <c r="AC339" s="81"/>
      <c r="AD339" s="81"/>
      <c r="AE339" s="81"/>
    </row>
    <row r="340">
      <c r="A340" s="16"/>
      <c r="B340" s="127" t="s">
        <v>31</v>
      </c>
      <c r="C340" s="127">
        <v>75419.0</v>
      </c>
      <c r="D340" s="108" t="s">
        <v>595</v>
      </c>
      <c r="E340" s="109"/>
      <c r="F340" s="58"/>
      <c r="G340" s="128" t="s">
        <v>684</v>
      </c>
      <c r="H340" s="129">
        <v>7.92</v>
      </c>
      <c r="I340" s="129">
        <v>8.1</v>
      </c>
      <c r="J340" s="130" t="b">
        <v>0</v>
      </c>
      <c r="K340" s="58"/>
      <c r="L340" s="131">
        <f t="shared" si="8"/>
        <v>1</v>
      </c>
      <c r="M340" s="130"/>
      <c r="N340" s="109"/>
      <c r="O340" s="109"/>
      <c r="P340" s="109"/>
      <c r="Q340" s="58"/>
      <c r="R340" s="126"/>
      <c r="S340" s="126"/>
      <c r="T340" s="80"/>
      <c r="U340" s="80"/>
      <c r="V340" s="80"/>
      <c r="W340" s="80"/>
      <c r="X340" s="80"/>
      <c r="Y340" s="80"/>
      <c r="Z340" s="80"/>
      <c r="AA340" s="81"/>
      <c r="AB340" s="81"/>
      <c r="AC340" s="81"/>
      <c r="AD340" s="81"/>
      <c r="AE340" s="81"/>
    </row>
    <row r="341">
      <c r="A341" s="16"/>
      <c r="B341" s="127" t="s">
        <v>31</v>
      </c>
      <c r="C341" s="127">
        <v>75419.0</v>
      </c>
      <c r="D341" s="108" t="s">
        <v>685</v>
      </c>
      <c r="E341" s="109"/>
      <c r="F341" s="58"/>
      <c r="G341" s="128" t="s">
        <v>686</v>
      </c>
      <c r="H341" s="129">
        <v>20.65</v>
      </c>
      <c r="I341" s="129">
        <v>18.99</v>
      </c>
      <c r="J341" s="130" t="b">
        <v>0</v>
      </c>
      <c r="K341" s="58"/>
      <c r="L341" s="131">
        <f t="shared" si="8"/>
        <v>1</v>
      </c>
      <c r="M341" s="130"/>
      <c r="N341" s="109"/>
      <c r="O341" s="109"/>
      <c r="P341" s="109"/>
      <c r="Q341" s="58"/>
      <c r="R341" s="126"/>
      <c r="S341" s="126"/>
      <c r="T341" s="80"/>
      <c r="U341" s="80"/>
      <c r="V341" s="80"/>
      <c r="W341" s="80"/>
      <c r="X341" s="80"/>
      <c r="Y341" s="80"/>
      <c r="Z341" s="80"/>
      <c r="AA341" s="81"/>
      <c r="AB341" s="81"/>
      <c r="AC341" s="81"/>
      <c r="AD341" s="81"/>
      <c r="AE341" s="81"/>
    </row>
    <row r="342">
      <c r="A342" s="16"/>
      <c r="B342" s="127" t="s">
        <v>31</v>
      </c>
      <c r="C342" s="127">
        <v>75419.0</v>
      </c>
      <c r="D342" s="108" t="s">
        <v>597</v>
      </c>
      <c r="E342" s="109"/>
      <c r="F342" s="58"/>
      <c r="G342" s="128" t="s">
        <v>687</v>
      </c>
      <c r="H342" s="129">
        <v>9.38</v>
      </c>
      <c r="I342" s="129">
        <v>9.16</v>
      </c>
      <c r="J342" s="130" t="b">
        <v>0</v>
      </c>
      <c r="K342" s="58"/>
      <c r="L342" s="131">
        <f t="shared" si="8"/>
        <v>1</v>
      </c>
      <c r="M342" s="130"/>
      <c r="N342" s="109"/>
      <c r="O342" s="109"/>
      <c r="P342" s="109"/>
      <c r="Q342" s="58"/>
      <c r="R342" s="126"/>
      <c r="S342" s="126"/>
      <c r="T342" s="80"/>
      <c r="U342" s="80"/>
      <c r="V342" s="80"/>
      <c r="W342" s="80"/>
      <c r="X342" s="80"/>
      <c r="Y342" s="80"/>
      <c r="Z342" s="80"/>
      <c r="AA342" s="81"/>
      <c r="AB342" s="81"/>
      <c r="AC342" s="81"/>
      <c r="AD342" s="81"/>
      <c r="AE342" s="81"/>
    </row>
    <row r="343">
      <c r="A343" s="16"/>
      <c r="B343" s="127" t="s">
        <v>31</v>
      </c>
      <c r="C343" s="127">
        <v>75419.0</v>
      </c>
      <c r="D343" s="108" t="s">
        <v>597</v>
      </c>
      <c r="E343" s="109"/>
      <c r="F343" s="58"/>
      <c r="G343" s="128" t="s">
        <v>598</v>
      </c>
      <c r="H343" s="129">
        <v>4.95</v>
      </c>
      <c r="I343" s="129">
        <v>5.97</v>
      </c>
      <c r="J343" s="130" t="b">
        <v>0</v>
      </c>
      <c r="K343" s="58"/>
      <c r="L343" s="131">
        <f t="shared" si="8"/>
        <v>2</v>
      </c>
      <c r="M343" s="130"/>
      <c r="N343" s="109"/>
      <c r="O343" s="109"/>
      <c r="P343" s="109"/>
      <c r="Q343" s="58"/>
      <c r="R343" s="126"/>
      <c r="S343" s="126"/>
      <c r="T343" s="80"/>
      <c r="U343" s="80"/>
      <c r="V343" s="80"/>
      <c r="W343" s="80"/>
      <c r="X343" s="80"/>
      <c r="Y343" s="80"/>
      <c r="Z343" s="80"/>
      <c r="AA343" s="81"/>
      <c r="AB343" s="81"/>
      <c r="AC343" s="81"/>
      <c r="AD343" s="81"/>
      <c r="AE343" s="81"/>
    </row>
    <row r="344">
      <c r="A344" s="16"/>
      <c r="B344" s="127" t="s">
        <v>31</v>
      </c>
      <c r="C344" s="127">
        <v>75419.0</v>
      </c>
      <c r="D344" s="108" t="s">
        <v>688</v>
      </c>
      <c r="E344" s="109"/>
      <c r="F344" s="58"/>
      <c r="G344" s="128" t="s">
        <v>689</v>
      </c>
      <c r="H344" s="129">
        <v>8.94</v>
      </c>
      <c r="I344" s="129">
        <v>6.99</v>
      </c>
      <c r="J344" s="130" t="b">
        <v>0</v>
      </c>
      <c r="K344" s="58"/>
      <c r="L344" s="131">
        <f t="shared" si="8"/>
        <v>2</v>
      </c>
      <c r="M344" s="130"/>
      <c r="N344" s="109"/>
      <c r="O344" s="109"/>
      <c r="P344" s="109"/>
      <c r="Q344" s="58"/>
      <c r="R344" s="126"/>
      <c r="S344" s="126"/>
      <c r="T344" s="80"/>
      <c r="U344" s="80"/>
      <c r="V344" s="80"/>
      <c r="W344" s="80"/>
      <c r="X344" s="80"/>
      <c r="Y344" s="80"/>
      <c r="Z344" s="80"/>
      <c r="AA344" s="81"/>
      <c r="AB344" s="81"/>
      <c r="AC344" s="81"/>
      <c r="AD344" s="81"/>
      <c r="AE344" s="81"/>
    </row>
    <row r="345">
      <c r="A345" s="16"/>
      <c r="B345" s="127" t="s">
        <v>31</v>
      </c>
      <c r="C345" s="127">
        <v>75419.0</v>
      </c>
      <c r="D345" s="108" t="s">
        <v>688</v>
      </c>
      <c r="E345" s="109"/>
      <c r="F345" s="58"/>
      <c r="G345" s="128" t="s">
        <v>689</v>
      </c>
      <c r="H345" s="129">
        <v>8.94</v>
      </c>
      <c r="I345" s="129">
        <v>6.99</v>
      </c>
      <c r="J345" s="130" t="b">
        <v>0</v>
      </c>
      <c r="K345" s="58"/>
      <c r="L345" s="131">
        <f t="shared" si="8"/>
        <v>2</v>
      </c>
      <c r="M345" s="130"/>
      <c r="N345" s="109"/>
      <c r="O345" s="109"/>
      <c r="P345" s="109"/>
      <c r="Q345" s="58"/>
      <c r="R345" s="126"/>
      <c r="S345" s="126"/>
      <c r="T345" s="80"/>
      <c r="U345" s="80"/>
      <c r="V345" s="80"/>
      <c r="W345" s="80"/>
      <c r="X345" s="80"/>
      <c r="Y345" s="80"/>
      <c r="Z345" s="80"/>
      <c r="AA345" s="81"/>
      <c r="AB345" s="81"/>
      <c r="AC345" s="81"/>
      <c r="AD345" s="81"/>
      <c r="AE345" s="81"/>
    </row>
    <row r="346">
      <c r="A346" s="16"/>
      <c r="B346" s="127" t="s">
        <v>31</v>
      </c>
      <c r="C346" s="127">
        <v>75419.0</v>
      </c>
      <c r="D346" s="108" t="s">
        <v>690</v>
      </c>
      <c r="E346" s="109"/>
      <c r="F346" s="58"/>
      <c r="G346" s="128" t="s">
        <v>691</v>
      </c>
      <c r="H346" s="129">
        <v>29.06</v>
      </c>
      <c r="I346" s="129">
        <v>16.64</v>
      </c>
      <c r="J346" s="130" t="b">
        <v>0</v>
      </c>
      <c r="K346" s="58"/>
      <c r="L346" s="131">
        <f t="shared" si="8"/>
        <v>1</v>
      </c>
      <c r="M346" s="130"/>
      <c r="N346" s="109"/>
      <c r="O346" s="109"/>
      <c r="P346" s="109"/>
      <c r="Q346" s="58"/>
      <c r="R346" s="126"/>
      <c r="S346" s="126"/>
      <c r="T346" s="80"/>
      <c r="U346" s="80"/>
      <c r="V346" s="80"/>
      <c r="W346" s="80"/>
      <c r="X346" s="80"/>
      <c r="Y346" s="80"/>
      <c r="Z346" s="80"/>
      <c r="AA346" s="81"/>
      <c r="AB346" s="81"/>
      <c r="AC346" s="81"/>
      <c r="AD346" s="81"/>
      <c r="AE346" s="81"/>
    </row>
    <row r="347">
      <c r="A347" s="16"/>
      <c r="B347" s="127" t="s">
        <v>31</v>
      </c>
      <c r="C347" s="127">
        <v>75419.0</v>
      </c>
      <c r="D347" s="108" t="s">
        <v>692</v>
      </c>
      <c r="E347" s="109"/>
      <c r="F347" s="58"/>
      <c r="G347" s="128" t="s">
        <v>693</v>
      </c>
      <c r="H347" s="129"/>
      <c r="I347" s="129">
        <v>8.04</v>
      </c>
      <c r="J347" s="130" t="b">
        <v>0</v>
      </c>
      <c r="K347" s="58"/>
      <c r="L347" s="131">
        <f t="shared" si="8"/>
        <v>1</v>
      </c>
      <c r="M347" s="130"/>
      <c r="N347" s="109"/>
      <c r="O347" s="109"/>
      <c r="P347" s="109"/>
      <c r="Q347" s="58"/>
      <c r="R347" s="126"/>
      <c r="S347" s="126"/>
      <c r="T347" s="80"/>
      <c r="U347" s="80"/>
      <c r="V347" s="80"/>
      <c r="W347" s="80"/>
      <c r="X347" s="80"/>
      <c r="Y347" s="80"/>
      <c r="Z347" s="80"/>
      <c r="AA347" s="81"/>
      <c r="AB347" s="81"/>
      <c r="AC347" s="81"/>
      <c r="AD347" s="81"/>
      <c r="AE347" s="81"/>
    </row>
    <row r="348">
      <c r="A348" s="16"/>
      <c r="B348" s="127" t="s">
        <v>31</v>
      </c>
      <c r="C348" s="127">
        <v>75419.0</v>
      </c>
      <c r="D348" s="108" t="s">
        <v>692</v>
      </c>
      <c r="E348" s="109"/>
      <c r="F348" s="58"/>
      <c r="G348" s="128" t="s">
        <v>694</v>
      </c>
      <c r="H348" s="129">
        <v>3.93</v>
      </c>
      <c r="I348" s="129">
        <v>7.39</v>
      </c>
      <c r="J348" s="130" t="b">
        <v>0</v>
      </c>
      <c r="K348" s="58"/>
      <c r="L348" s="131">
        <f t="shared" si="8"/>
        <v>1</v>
      </c>
      <c r="M348" s="130"/>
      <c r="N348" s="109"/>
      <c r="O348" s="109"/>
      <c r="P348" s="109"/>
      <c r="Q348" s="58"/>
      <c r="R348" s="126"/>
      <c r="S348" s="126"/>
      <c r="T348" s="80"/>
      <c r="U348" s="80"/>
      <c r="V348" s="80"/>
      <c r="W348" s="80"/>
      <c r="X348" s="80"/>
      <c r="Y348" s="80"/>
      <c r="Z348" s="80"/>
      <c r="AA348" s="81"/>
      <c r="AB348" s="81"/>
      <c r="AC348" s="81"/>
      <c r="AD348" s="81"/>
      <c r="AE348" s="81"/>
    </row>
    <row r="349">
      <c r="A349" s="16"/>
      <c r="B349" s="127" t="s">
        <v>31</v>
      </c>
      <c r="C349" s="127">
        <v>75419.0</v>
      </c>
      <c r="D349" s="108" t="s">
        <v>692</v>
      </c>
      <c r="E349" s="109"/>
      <c r="F349" s="58"/>
      <c r="G349" s="128" t="s">
        <v>372</v>
      </c>
      <c r="H349" s="129">
        <v>2.85</v>
      </c>
      <c r="I349" s="129">
        <v>3.38</v>
      </c>
      <c r="J349" s="130" t="b">
        <v>0</v>
      </c>
      <c r="K349" s="58"/>
      <c r="L349" s="131">
        <f t="shared" si="8"/>
        <v>4</v>
      </c>
      <c r="M349" s="130"/>
      <c r="N349" s="109"/>
      <c r="O349" s="109"/>
      <c r="P349" s="109"/>
      <c r="Q349" s="58"/>
      <c r="R349" s="126"/>
      <c r="S349" s="126"/>
      <c r="T349" s="80"/>
      <c r="U349" s="80"/>
      <c r="V349" s="80"/>
      <c r="W349" s="80"/>
      <c r="X349" s="80"/>
      <c r="Y349" s="80"/>
      <c r="Z349" s="80"/>
      <c r="AA349" s="81"/>
      <c r="AB349" s="81"/>
      <c r="AC349" s="81"/>
      <c r="AD349" s="81"/>
      <c r="AE349" s="81"/>
    </row>
    <row r="350">
      <c r="A350" s="16"/>
      <c r="B350" s="127" t="s">
        <v>31</v>
      </c>
      <c r="C350" s="127">
        <v>75419.0</v>
      </c>
      <c r="D350" s="108" t="s">
        <v>695</v>
      </c>
      <c r="E350" s="109"/>
      <c r="F350" s="58"/>
      <c r="G350" s="128" t="s">
        <v>696</v>
      </c>
      <c r="H350" s="129">
        <v>4.08</v>
      </c>
      <c r="I350" s="129">
        <v>7.81</v>
      </c>
      <c r="J350" s="130" t="b">
        <v>0</v>
      </c>
      <c r="K350" s="58"/>
      <c r="L350" s="131">
        <f t="shared" si="8"/>
        <v>1</v>
      </c>
      <c r="M350" s="130"/>
      <c r="N350" s="109"/>
      <c r="O350" s="109"/>
      <c r="P350" s="109"/>
      <c r="Q350" s="58"/>
      <c r="R350" s="126"/>
      <c r="S350" s="126"/>
      <c r="T350" s="80"/>
      <c r="U350" s="80"/>
      <c r="V350" s="80"/>
      <c r="W350" s="80"/>
      <c r="X350" s="80"/>
      <c r="Y350" s="80"/>
      <c r="Z350" s="80"/>
      <c r="AA350" s="81"/>
      <c r="AB350" s="81"/>
      <c r="AC350" s="81"/>
      <c r="AD350" s="81"/>
      <c r="AE350" s="81"/>
    </row>
    <row r="351">
      <c r="A351" s="16"/>
      <c r="B351" s="127" t="s">
        <v>31</v>
      </c>
      <c r="C351" s="127">
        <v>75419.0</v>
      </c>
      <c r="D351" s="108" t="s">
        <v>695</v>
      </c>
      <c r="E351" s="109"/>
      <c r="F351" s="58"/>
      <c r="G351" s="128" t="s">
        <v>697</v>
      </c>
      <c r="H351" s="129">
        <v>7.71</v>
      </c>
      <c r="I351" s="129">
        <v>7.41</v>
      </c>
      <c r="J351" s="130" t="b">
        <v>0</v>
      </c>
      <c r="K351" s="58"/>
      <c r="L351" s="131">
        <f t="shared" si="8"/>
        <v>1</v>
      </c>
      <c r="M351" s="130"/>
      <c r="N351" s="109"/>
      <c r="O351" s="109"/>
      <c r="P351" s="109"/>
      <c r="Q351" s="58"/>
      <c r="R351" s="126"/>
      <c r="S351" s="126"/>
      <c r="T351" s="80"/>
      <c r="U351" s="80"/>
      <c r="V351" s="80"/>
      <c r="W351" s="80"/>
      <c r="X351" s="80"/>
      <c r="Y351" s="80"/>
      <c r="Z351" s="80"/>
      <c r="AA351" s="81"/>
      <c r="AB351" s="81"/>
      <c r="AC351" s="81"/>
      <c r="AD351" s="81"/>
      <c r="AE351" s="81"/>
    </row>
    <row r="352">
      <c r="A352" s="16"/>
      <c r="B352" s="127" t="s">
        <v>31</v>
      </c>
      <c r="C352" s="127">
        <v>75419.0</v>
      </c>
      <c r="D352" s="108" t="s">
        <v>695</v>
      </c>
      <c r="E352" s="109"/>
      <c r="F352" s="58"/>
      <c r="G352" s="128" t="s">
        <v>698</v>
      </c>
      <c r="H352" s="129">
        <v>4.02</v>
      </c>
      <c r="I352" s="129">
        <v>6.44</v>
      </c>
      <c r="J352" s="130" t="b">
        <v>0</v>
      </c>
      <c r="K352" s="58"/>
      <c r="L352" s="131">
        <f t="shared" si="8"/>
        <v>1</v>
      </c>
      <c r="M352" s="130"/>
      <c r="N352" s="109"/>
      <c r="O352" s="109"/>
      <c r="P352" s="109"/>
      <c r="Q352" s="58"/>
      <c r="R352" s="126"/>
      <c r="S352" s="126"/>
      <c r="T352" s="80"/>
      <c r="U352" s="80"/>
      <c r="V352" s="80"/>
      <c r="W352" s="80"/>
      <c r="X352" s="80"/>
      <c r="Y352" s="80"/>
      <c r="Z352" s="80"/>
      <c r="AA352" s="81"/>
      <c r="AB352" s="81"/>
      <c r="AC352" s="81"/>
      <c r="AD352" s="81"/>
      <c r="AE352" s="81"/>
    </row>
    <row r="353">
      <c r="A353" s="16"/>
      <c r="B353" s="127" t="s">
        <v>31</v>
      </c>
      <c r="C353" s="127">
        <v>75419.0</v>
      </c>
      <c r="D353" s="108" t="s">
        <v>699</v>
      </c>
      <c r="E353" s="109"/>
      <c r="F353" s="58"/>
      <c r="G353" s="128" t="s">
        <v>700</v>
      </c>
      <c r="H353" s="129">
        <v>5.12</v>
      </c>
      <c r="I353" s="129">
        <v>9.02</v>
      </c>
      <c r="J353" s="130" t="b">
        <v>0</v>
      </c>
      <c r="K353" s="58"/>
      <c r="L353" s="131">
        <f t="shared" si="8"/>
        <v>1</v>
      </c>
      <c r="M353" s="130"/>
      <c r="N353" s="109"/>
      <c r="O353" s="109"/>
      <c r="P353" s="109"/>
      <c r="Q353" s="58"/>
      <c r="R353" s="126"/>
      <c r="S353" s="126"/>
      <c r="T353" s="80"/>
      <c r="U353" s="80"/>
      <c r="V353" s="80"/>
      <c r="W353" s="80"/>
      <c r="X353" s="80"/>
      <c r="Y353" s="80"/>
      <c r="Z353" s="80"/>
      <c r="AA353" s="81"/>
      <c r="AB353" s="81"/>
      <c r="AC353" s="81"/>
      <c r="AD353" s="81"/>
      <c r="AE353" s="81"/>
    </row>
    <row r="354">
      <c r="A354" s="16"/>
      <c r="B354" s="127" t="s">
        <v>31</v>
      </c>
      <c r="C354" s="127">
        <v>75419.0</v>
      </c>
      <c r="D354" s="108" t="s">
        <v>412</v>
      </c>
      <c r="E354" s="109"/>
      <c r="F354" s="58"/>
      <c r="G354" s="128" t="s">
        <v>701</v>
      </c>
      <c r="H354" s="129">
        <v>8.93</v>
      </c>
      <c r="I354" s="129">
        <v>11.54</v>
      </c>
      <c r="J354" s="130" t="b">
        <v>0</v>
      </c>
      <c r="K354" s="58"/>
      <c r="L354" s="131">
        <f t="shared" si="8"/>
        <v>1</v>
      </c>
      <c r="M354" s="130"/>
      <c r="N354" s="109"/>
      <c r="O354" s="109"/>
      <c r="P354" s="109"/>
      <c r="Q354" s="58"/>
      <c r="R354" s="126"/>
      <c r="S354" s="126"/>
      <c r="T354" s="80"/>
      <c r="U354" s="80"/>
      <c r="V354" s="80"/>
      <c r="W354" s="80"/>
      <c r="X354" s="80"/>
      <c r="Y354" s="80"/>
      <c r="Z354" s="80"/>
      <c r="AA354" s="81"/>
      <c r="AB354" s="81"/>
      <c r="AC354" s="81"/>
      <c r="AD354" s="81"/>
      <c r="AE354" s="81"/>
    </row>
    <row r="355">
      <c r="A355" s="16"/>
      <c r="B355" s="127" t="s">
        <v>31</v>
      </c>
      <c r="C355" s="127">
        <v>75419.0</v>
      </c>
      <c r="D355" s="108" t="s">
        <v>702</v>
      </c>
      <c r="E355" s="109"/>
      <c r="F355" s="58"/>
      <c r="G355" s="128" t="s">
        <v>703</v>
      </c>
      <c r="H355" s="129">
        <v>8.94</v>
      </c>
      <c r="I355" s="129">
        <v>9.69</v>
      </c>
      <c r="J355" s="130" t="b">
        <v>0</v>
      </c>
      <c r="K355" s="58"/>
      <c r="L355" s="131">
        <f t="shared" si="8"/>
        <v>1</v>
      </c>
      <c r="M355" s="130"/>
      <c r="N355" s="109"/>
      <c r="O355" s="109"/>
      <c r="P355" s="109"/>
      <c r="Q355" s="58"/>
      <c r="R355" s="126"/>
      <c r="S355" s="126"/>
      <c r="T355" s="80"/>
      <c r="U355" s="80"/>
      <c r="V355" s="80"/>
      <c r="W355" s="80"/>
      <c r="X355" s="80"/>
      <c r="Y355" s="80"/>
      <c r="Z355" s="80"/>
      <c r="AA355" s="81"/>
      <c r="AB355" s="81"/>
      <c r="AC355" s="81"/>
      <c r="AD355" s="81"/>
      <c r="AE355" s="81"/>
    </row>
    <row r="356">
      <c r="A356" s="16"/>
      <c r="B356" s="127" t="s">
        <v>31</v>
      </c>
      <c r="C356" s="127">
        <v>75419.0</v>
      </c>
      <c r="D356" s="108" t="s">
        <v>704</v>
      </c>
      <c r="E356" s="109"/>
      <c r="F356" s="58"/>
      <c r="G356" s="128" t="s">
        <v>705</v>
      </c>
      <c r="H356" s="129">
        <v>5.56</v>
      </c>
      <c r="I356" s="129">
        <v>8.44</v>
      </c>
      <c r="J356" s="130" t="b">
        <v>0</v>
      </c>
      <c r="K356" s="58"/>
      <c r="L356" s="131">
        <f t="shared" si="8"/>
        <v>1</v>
      </c>
      <c r="M356" s="130"/>
      <c r="N356" s="109"/>
      <c r="O356" s="109"/>
      <c r="P356" s="109"/>
      <c r="Q356" s="58"/>
      <c r="R356" s="126"/>
      <c r="S356" s="126"/>
      <c r="T356" s="80"/>
      <c r="U356" s="80"/>
      <c r="V356" s="80"/>
      <c r="W356" s="80"/>
      <c r="X356" s="80"/>
      <c r="Y356" s="80"/>
      <c r="Z356" s="80"/>
      <c r="AA356" s="81"/>
      <c r="AB356" s="81"/>
      <c r="AC356" s="81"/>
      <c r="AD356" s="81"/>
      <c r="AE356" s="81"/>
    </row>
    <row r="357">
      <c r="A357" s="16"/>
      <c r="B357" s="127" t="s">
        <v>31</v>
      </c>
      <c r="C357" s="127">
        <v>75419.0</v>
      </c>
      <c r="D357" s="108" t="s">
        <v>706</v>
      </c>
      <c r="E357" s="109"/>
      <c r="F357" s="58"/>
      <c r="G357" s="128" t="s">
        <v>707</v>
      </c>
      <c r="H357" s="129">
        <v>0.94</v>
      </c>
      <c r="I357" s="129">
        <v>1.24</v>
      </c>
      <c r="J357" s="130" t="b">
        <v>0</v>
      </c>
      <c r="K357" s="58"/>
      <c r="L357" s="131">
        <f t="shared" si="8"/>
        <v>1</v>
      </c>
      <c r="M357" s="130"/>
      <c r="N357" s="109"/>
      <c r="O357" s="109"/>
      <c r="P357" s="109"/>
      <c r="Q357" s="58"/>
      <c r="R357" s="126"/>
      <c r="S357" s="126"/>
      <c r="T357" s="80"/>
      <c r="U357" s="80"/>
      <c r="V357" s="80"/>
      <c r="W357" s="80"/>
      <c r="X357" s="80"/>
      <c r="Y357" s="80"/>
      <c r="Z357" s="80"/>
      <c r="AA357" s="81"/>
      <c r="AB357" s="81"/>
      <c r="AC357" s="81"/>
      <c r="AD357" s="81"/>
      <c r="AE357" s="81"/>
    </row>
    <row r="358">
      <c r="A358" s="16"/>
      <c r="B358" s="127" t="s">
        <v>31</v>
      </c>
      <c r="C358" s="127">
        <v>75419.0</v>
      </c>
      <c r="D358" s="108" t="s">
        <v>708</v>
      </c>
      <c r="E358" s="109"/>
      <c r="F358" s="58"/>
      <c r="G358" s="128" t="s">
        <v>709</v>
      </c>
      <c r="H358" s="129">
        <v>19.89</v>
      </c>
      <c r="I358" s="129">
        <v>18.82</v>
      </c>
      <c r="J358" s="130" t="b">
        <v>0</v>
      </c>
      <c r="K358" s="58"/>
      <c r="L358" s="131">
        <f t="shared" si="8"/>
        <v>1</v>
      </c>
      <c r="M358" s="130"/>
      <c r="N358" s="109"/>
      <c r="O358" s="109"/>
      <c r="P358" s="109"/>
      <c r="Q358" s="58"/>
      <c r="R358" s="126"/>
      <c r="S358" s="126"/>
      <c r="T358" s="80"/>
      <c r="U358" s="80"/>
      <c r="V358" s="80"/>
      <c r="W358" s="80"/>
      <c r="X358" s="80"/>
      <c r="Y358" s="80"/>
      <c r="Z358" s="80"/>
      <c r="AA358" s="81"/>
      <c r="AB358" s="81"/>
      <c r="AC358" s="81"/>
      <c r="AD358" s="81"/>
      <c r="AE358" s="81"/>
    </row>
    <row r="359">
      <c r="A359" s="16"/>
      <c r="B359" s="127" t="s">
        <v>31</v>
      </c>
      <c r="C359" s="127">
        <v>75419.0</v>
      </c>
      <c r="D359" s="108" t="s">
        <v>400</v>
      </c>
      <c r="E359" s="109"/>
      <c r="F359" s="58"/>
      <c r="G359" s="128" t="s">
        <v>710</v>
      </c>
      <c r="H359" s="129">
        <v>8.75</v>
      </c>
      <c r="I359" s="129">
        <v>11.77</v>
      </c>
      <c r="J359" s="130" t="b">
        <v>0</v>
      </c>
      <c r="K359" s="58"/>
      <c r="L359" s="131">
        <f t="shared" si="8"/>
        <v>1</v>
      </c>
      <c r="M359" s="130"/>
      <c r="N359" s="109"/>
      <c r="O359" s="109"/>
      <c r="P359" s="109"/>
      <c r="Q359" s="58"/>
      <c r="R359" s="126"/>
      <c r="S359" s="126"/>
      <c r="T359" s="80"/>
      <c r="U359" s="80"/>
      <c r="V359" s="80"/>
      <c r="W359" s="80"/>
      <c r="X359" s="80"/>
      <c r="Y359" s="80"/>
      <c r="Z359" s="80"/>
      <c r="AA359" s="81"/>
      <c r="AB359" s="81"/>
      <c r="AC359" s="81"/>
      <c r="AD359" s="81"/>
      <c r="AE359" s="81"/>
    </row>
    <row r="360">
      <c r="A360" s="16"/>
      <c r="B360" s="127" t="s">
        <v>31</v>
      </c>
      <c r="C360" s="127">
        <v>75419.0</v>
      </c>
      <c r="D360" s="108" t="s">
        <v>414</v>
      </c>
      <c r="E360" s="109"/>
      <c r="F360" s="58"/>
      <c r="G360" s="128" t="s">
        <v>472</v>
      </c>
      <c r="H360" s="129">
        <v>3.27</v>
      </c>
      <c r="I360" s="129">
        <v>3.99</v>
      </c>
      <c r="J360" s="130" t="b">
        <v>0</v>
      </c>
      <c r="K360" s="58"/>
      <c r="L360" s="131">
        <f t="shared" si="8"/>
        <v>5</v>
      </c>
      <c r="M360" s="130"/>
      <c r="N360" s="109"/>
      <c r="O360" s="109"/>
      <c r="P360" s="109"/>
      <c r="Q360" s="58"/>
      <c r="R360" s="126"/>
      <c r="S360" s="126"/>
      <c r="T360" s="80"/>
      <c r="U360" s="80"/>
      <c r="V360" s="80"/>
      <c r="W360" s="80"/>
      <c r="X360" s="80"/>
      <c r="Y360" s="80"/>
      <c r="Z360" s="80"/>
      <c r="AA360" s="81"/>
      <c r="AB360" s="81"/>
      <c r="AC360" s="81"/>
      <c r="AD360" s="81"/>
      <c r="AE360" s="81"/>
    </row>
    <row r="361">
      <c r="A361" s="16"/>
      <c r="B361" s="127" t="s">
        <v>31</v>
      </c>
      <c r="C361" s="127">
        <v>75419.0</v>
      </c>
      <c r="D361" s="108" t="s">
        <v>711</v>
      </c>
      <c r="E361" s="109"/>
      <c r="F361" s="58"/>
      <c r="G361" s="128" t="s">
        <v>712</v>
      </c>
      <c r="H361" s="129">
        <v>22.8</v>
      </c>
      <c r="I361" s="129">
        <v>27.1</v>
      </c>
      <c r="J361" s="130" t="b">
        <v>0</v>
      </c>
      <c r="K361" s="58"/>
      <c r="L361" s="131">
        <f t="shared" si="8"/>
        <v>1</v>
      </c>
      <c r="M361" s="130"/>
      <c r="N361" s="109"/>
      <c r="O361" s="109"/>
      <c r="P361" s="109"/>
      <c r="Q361" s="58"/>
      <c r="R361" s="126"/>
      <c r="S361" s="126"/>
      <c r="T361" s="80"/>
      <c r="U361" s="80"/>
      <c r="V361" s="80"/>
      <c r="W361" s="80"/>
      <c r="X361" s="80"/>
      <c r="Y361" s="80"/>
      <c r="Z361" s="80"/>
      <c r="AA361" s="81"/>
      <c r="AB361" s="81"/>
      <c r="AC361" s="81"/>
      <c r="AD361" s="81"/>
      <c r="AE361" s="81"/>
    </row>
    <row r="362">
      <c r="A362" s="16"/>
      <c r="B362" s="127" t="s">
        <v>31</v>
      </c>
      <c r="C362" s="127">
        <v>75428.0</v>
      </c>
      <c r="D362" s="108" t="s">
        <v>713</v>
      </c>
      <c r="E362" s="109"/>
      <c r="F362" s="58"/>
      <c r="G362" s="128" t="s">
        <v>714</v>
      </c>
      <c r="H362" s="129">
        <v>1.81</v>
      </c>
      <c r="I362" s="129">
        <v>2.81</v>
      </c>
      <c r="J362" s="130" t="b">
        <v>0</v>
      </c>
      <c r="K362" s="58"/>
      <c r="L362" s="131">
        <f t="shared" si="8"/>
        <v>1</v>
      </c>
      <c r="M362" s="130"/>
      <c r="N362" s="109"/>
      <c r="O362" s="109"/>
      <c r="P362" s="109"/>
      <c r="Q362" s="58"/>
      <c r="R362" s="126"/>
      <c r="S362" s="126"/>
      <c r="T362" s="80"/>
      <c r="U362" s="80"/>
      <c r="V362" s="80"/>
      <c r="W362" s="80"/>
      <c r="X362" s="80"/>
      <c r="Y362" s="80"/>
      <c r="Z362" s="80"/>
      <c r="AA362" s="81"/>
      <c r="AB362" s="81"/>
      <c r="AC362" s="81"/>
      <c r="AD362" s="81"/>
      <c r="AE362" s="81"/>
    </row>
    <row r="363">
      <c r="A363" s="16"/>
      <c r="B363" s="127" t="s">
        <v>31</v>
      </c>
      <c r="C363" s="127">
        <v>75432.0</v>
      </c>
      <c r="D363" s="108" t="s">
        <v>715</v>
      </c>
      <c r="E363" s="109"/>
      <c r="F363" s="58"/>
      <c r="G363" s="128" t="s">
        <v>716</v>
      </c>
      <c r="H363" s="129">
        <v>9.93</v>
      </c>
      <c r="I363" s="129">
        <v>11.7</v>
      </c>
      <c r="J363" s="130" t="b">
        <v>0</v>
      </c>
      <c r="K363" s="58"/>
      <c r="L363" s="131">
        <f t="shared" si="8"/>
        <v>1</v>
      </c>
      <c r="M363" s="130"/>
      <c r="N363" s="109"/>
      <c r="O363" s="109"/>
      <c r="P363" s="109"/>
      <c r="Q363" s="58"/>
      <c r="R363" s="126"/>
      <c r="S363" s="126"/>
      <c r="T363" s="80"/>
      <c r="U363" s="80"/>
      <c r="V363" s="80"/>
      <c r="W363" s="80"/>
      <c r="X363" s="80"/>
      <c r="Y363" s="80"/>
      <c r="Z363" s="80"/>
      <c r="AA363" s="81"/>
      <c r="AB363" s="81"/>
      <c r="AC363" s="81"/>
      <c r="AD363" s="81"/>
      <c r="AE363" s="81"/>
    </row>
    <row r="364">
      <c r="A364" s="16"/>
      <c r="B364" s="127" t="s">
        <v>31</v>
      </c>
      <c r="C364" s="127">
        <v>75432.0</v>
      </c>
      <c r="D364" s="108" t="s">
        <v>717</v>
      </c>
      <c r="E364" s="109"/>
      <c r="F364" s="58"/>
      <c r="G364" s="128" t="s">
        <v>718</v>
      </c>
      <c r="H364" s="129">
        <v>10.6</v>
      </c>
      <c r="I364" s="129">
        <v>14.59</v>
      </c>
      <c r="J364" s="130" t="b">
        <v>0</v>
      </c>
      <c r="K364" s="58"/>
      <c r="L364" s="131">
        <f t="shared" si="8"/>
        <v>1</v>
      </c>
      <c r="M364" s="130"/>
      <c r="N364" s="109"/>
      <c r="O364" s="109"/>
      <c r="P364" s="109"/>
      <c r="Q364" s="58"/>
      <c r="R364" s="126"/>
      <c r="S364" s="126"/>
      <c r="T364" s="80"/>
      <c r="U364" s="80"/>
      <c r="V364" s="80"/>
      <c r="W364" s="80"/>
      <c r="X364" s="80"/>
      <c r="Y364" s="80"/>
      <c r="Z364" s="80"/>
      <c r="AA364" s="81"/>
      <c r="AB364" s="81"/>
      <c r="AC364" s="81"/>
      <c r="AD364" s="81"/>
      <c r="AE364" s="81"/>
    </row>
    <row r="365">
      <c r="A365" s="16"/>
      <c r="B365" s="127" t="s">
        <v>31</v>
      </c>
      <c r="C365" s="127">
        <v>75432.0</v>
      </c>
      <c r="D365" s="108" t="s">
        <v>719</v>
      </c>
      <c r="E365" s="109"/>
      <c r="F365" s="58"/>
      <c r="G365" s="128" t="s">
        <v>720</v>
      </c>
      <c r="H365" s="129">
        <v>11.72</v>
      </c>
      <c r="I365" s="129">
        <v>12.76</v>
      </c>
      <c r="J365" s="130" t="b">
        <v>0</v>
      </c>
      <c r="K365" s="58"/>
      <c r="L365" s="131">
        <f t="shared" si="8"/>
        <v>1</v>
      </c>
      <c r="M365" s="130"/>
      <c r="N365" s="109"/>
      <c r="O365" s="109"/>
      <c r="P365" s="109"/>
      <c r="Q365" s="58"/>
      <c r="R365" s="126"/>
      <c r="S365" s="126"/>
      <c r="T365" s="80"/>
      <c r="U365" s="80"/>
      <c r="V365" s="80"/>
      <c r="W365" s="80"/>
      <c r="X365" s="80"/>
      <c r="Y365" s="80"/>
      <c r="Z365" s="80"/>
      <c r="AA365" s="81"/>
      <c r="AB365" s="81"/>
      <c r="AC365" s="81"/>
      <c r="AD365" s="81"/>
      <c r="AE365" s="81"/>
    </row>
    <row r="366">
      <c r="A366" s="16"/>
      <c r="B366" s="127" t="s">
        <v>31</v>
      </c>
      <c r="C366" s="127">
        <v>75433.0</v>
      </c>
      <c r="D366" s="108" t="s">
        <v>721</v>
      </c>
      <c r="E366" s="109"/>
      <c r="F366" s="58"/>
      <c r="G366" s="128" t="s">
        <v>722</v>
      </c>
      <c r="H366" s="129">
        <v>12.42</v>
      </c>
      <c r="I366" s="129">
        <v>13.2</v>
      </c>
      <c r="J366" s="130" t="b">
        <v>0</v>
      </c>
      <c r="K366" s="58"/>
      <c r="L366" s="131">
        <f t="shared" si="8"/>
        <v>1</v>
      </c>
      <c r="M366" s="130"/>
      <c r="N366" s="109"/>
      <c r="O366" s="109"/>
      <c r="P366" s="109"/>
      <c r="Q366" s="58"/>
      <c r="R366" s="126"/>
      <c r="S366" s="126"/>
      <c r="T366" s="80"/>
      <c r="U366" s="80"/>
      <c r="V366" s="80"/>
      <c r="W366" s="80"/>
      <c r="X366" s="80"/>
      <c r="Y366" s="80"/>
      <c r="Z366" s="80"/>
      <c r="AA366" s="81"/>
      <c r="AB366" s="81"/>
      <c r="AC366" s="81"/>
      <c r="AD366" s="81"/>
      <c r="AE366" s="81"/>
    </row>
    <row r="367">
      <c r="A367" s="16"/>
      <c r="B367" s="127" t="s">
        <v>31</v>
      </c>
      <c r="C367" s="127">
        <v>75433.0</v>
      </c>
      <c r="D367" s="108" t="s">
        <v>723</v>
      </c>
      <c r="E367" s="109"/>
      <c r="F367" s="58"/>
      <c r="G367" s="128" t="s">
        <v>724</v>
      </c>
      <c r="H367" s="129">
        <v>21.5</v>
      </c>
      <c r="I367" s="129">
        <v>21.38</v>
      </c>
      <c r="J367" s="130" t="b">
        <v>0</v>
      </c>
      <c r="K367" s="58"/>
      <c r="L367" s="131">
        <f t="shared" si="8"/>
        <v>1</v>
      </c>
      <c r="M367" s="130"/>
      <c r="N367" s="109"/>
      <c r="O367" s="109"/>
      <c r="P367" s="109"/>
      <c r="Q367" s="58"/>
      <c r="R367" s="126"/>
      <c r="S367" s="126"/>
      <c r="T367" s="80"/>
      <c r="U367" s="80"/>
      <c r="V367" s="80"/>
      <c r="W367" s="80"/>
      <c r="X367" s="80"/>
      <c r="Y367" s="80"/>
      <c r="Z367" s="80"/>
      <c r="AA367" s="81"/>
      <c r="AB367" s="81"/>
      <c r="AC367" s="81"/>
      <c r="AD367" s="81"/>
      <c r="AE367" s="81"/>
    </row>
    <row r="368">
      <c r="A368" s="16"/>
      <c r="B368" s="127" t="s">
        <v>31</v>
      </c>
      <c r="C368" s="127">
        <v>75434.0</v>
      </c>
      <c r="D368" s="108" t="s">
        <v>634</v>
      </c>
      <c r="E368" s="109"/>
      <c r="F368" s="58"/>
      <c r="G368" s="128" t="s">
        <v>635</v>
      </c>
      <c r="H368" s="129">
        <v>10.63</v>
      </c>
      <c r="I368" s="129">
        <v>12.77</v>
      </c>
      <c r="J368" s="130" t="b">
        <v>0</v>
      </c>
      <c r="K368" s="58"/>
      <c r="L368" s="131">
        <f t="shared" si="8"/>
        <v>2</v>
      </c>
      <c r="M368" s="130"/>
      <c r="N368" s="109"/>
      <c r="O368" s="109"/>
      <c r="P368" s="109"/>
      <c r="Q368" s="58"/>
      <c r="R368" s="126"/>
      <c r="S368" s="126"/>
      <c r="T368" s="80"/>
      <c r="U368" s="80"/>
      <c r="V368" s="80"/>
      <c r="W368" s="80"/>
      <c r="X368" s="80"/>
      <c r="Y368" s="80"/>
      <c r="Z368" s="80"/>
      <c r="AA368" s="81"/>
      <c r="AB368" s="81"/>
      <c r="AC368" s="81"/>
      <c r="AD368" s="81"/>
      <c r="AE368" s="81"/>
    </row>
    <row r="369">
      <c r="A369" s="16"/>
      <c r="B369" s="127" t="s">
        <v>31</v>
      </c>
      <c r="C369" s="127">
        <v>75435.0</v>
      </c>
      <c r="D369" s="108" t="s">
        <v>725</v>
      </c>
      <c r="E369" s="109"/>
      <c r="F369" s="58"/>
      <c r="G369" s="128" t="s">
        <v>726</v>
      </c>
      <c r="H369" s="129">
        <v>17.88</v>
      </c>
      <c r="I369" s="129">
        <v>23.67</v>
      </c>
      <c r="J369" s="130" t="b">
        <v>0</v>
      </c>
      <c r="K369" s="58"/>
      <c r="L369" s="131">
        <f t="shared" si="8"/>
        <v>1</v>
      </c>
      <c r="M369" s="130"/>
      <c r="N369" s="109"/>
      <c r="O369" s="109"/>
      <c r="P369" s="109"/>
      <c r="Q369" s="58"/>
      <c r="R369" s="126"/>
      <c r="S369" s="126"/>
      <c r="T369" s="80"/>
      <c r="U369" s="80"/>
      <c r="V369" s="80"/>
      <c r="W369" s="80"/>
      <c r="X369" s="80"/>
      <c r="Y369" s="80"/>
      <c r="Z369" s="80"/>
      <c r="AA369" s="81"/>
      <c r="AB369" s="81"/>
      <c r="AC369" s="81"/>
      <c r="AD369" s="81"/>
      <c r="AE369" s="81"/>
    </row>
    <row r="370">
      <c r="A370" s="16"/>
      <c r="B370" s="127" t="s">
        <v>31</v>
      </c>
      <c r="C370" s="127">
        <v>75435.0</v>
      </c>
      <c r="D370" s="108" t="s">
        <v>727</v>
      </c>
      <c r="E370" s="109"/>
      <c r="F370" s="58"/>
      <c r="G370" s="128" t="s">
        <v>364</v>
      </c>
      <c r="H370" s="129">
        <v>1.28</v>
      </c>
      <c r="I370" s="129">
        <v>1.6</v>
      </c>
      <c r="J370" s="130" t="b">
        <v>0</v>
      </c>
      <c r="K370" s="58"/>
      <c r="L370" s="131">
        <f t="shared" si="8"/>
        <v>15</v>
      </c>
      <c r="M370" s="130"/>
      <c r="N370" s="109"/>
      <c r="O370" s="109"/>
      <c r="P370" s="109"/>
      <c r="Q370" s="58"/>
      <c r="R370" s="126"/>
      <c r="S370" s="126"/>
      <c r="T370" s="80"/>
      <c r="U370" s="80"/>
      <c r="V370" s="80"/>
      <c r="W370" s="80"/>
      <c r="X370" s="80"/>
      <c r="Y370" s="80"/>
      <c r="Z370" s="80"/>
      <c r="AA370" s="81"/>
      <c r="AB370" s="81"/>
      <c r="AC370" s="81"/>
      <c r="AD370" s="81"/>
      <c r="AE370" s="81"/>
    </row>
    <row r="371">
      <c r="A371" s="16"/>
      <c r="B371" s="127" t="s">
        <v>31</v>
      </c>
      <c r="C371" s="127">
        <v>75435.0</v>
      </c>
      <c r="D371" s="108" t="s">
        <v>727</v>
      </c>
      <c r="E371" s="109"/>
      <c r="F371" s="58"/>
      <c r="G371" s="128" t="s">
        <v>364</v>
      </c>
      <c r="H371" s="129">
        <v>1.28</v>
      </c>
      <c r="I371" s="129">
        <v>1.6</v>
      </c>
      <c r="J371" s="130" t="b">
        <v>0</v>
      </c>
      <c r="K371" s="58"/>
      <c r="L371" s="131">
        <f t="shared" si="8"/>
        <v>15</v>
      </c>
      <c r="M371" s="130"/>
      <c r="N371" s="109"/>
      <c r="O371" s="109"/>
      <c r="P371" s="109"/>
      <c r="Q371" s="58"/>
      <c r="R371" s="126"/>
      <c r="S371" s="126"/>
      <c r="T371" s="80"/>
      <c r="U371" s="80"/>
      <c r="V371" s="80"/>
      <c r="W371" s="80"/>
      <c r="X371" s="80"/>
      <c r="Y371" s="80"/>
      <c r="Z371" s="80"/>
      <c r="AA371" s="81"/>
      <c r="AB371" s="81"/>
      <c r="AC371" s="81"/>
      <c r="AD371" s="81"/>
      <c r="AE371" s="81"/>
    </row>
    <row r="372">
      <c r="A372" s="16"/>
      <c r="B372" s="127" t="s">
        <v>31</v>
      </c>
      <c r="C372" s="127">
        <v>75435.0</v>
      </c>
      <c r="D372" s="108" t="s">
        <v>727</v>
      </c>
      <c r="E372" s="109"/>
      <c r="F372" s="58"/>
      <c r="G372" s="128" t="s">
        <v>364</v>
      </c>
      <c r="H372" s="129">
        <v>1.28</v>
      </c>
      <c r="I372" s="129">
        <v>1.6</v>
      </c>
      <c r="J372" s="130" t="b">
        <v>0</v>
      </c>
      <c r="K372" s="58"/>
      <c r="L372" s="131">
        <f t="shared" si="8"/>
        <v>15</v>
      </c>
      <c r="M372" s="130"/>
      <c r="N372" s="109"/>
      <c r="O372" s="109"/>
      <c r="P372" s="109"/>
      <c r="Q372" s="58"/>
      <c r="R372" s="126"/>
      <c r="S372" s="126"/>
      <c r="T372" s="80"/>
      <c r="U372" s="80"/>
      <c r="V372" s="80"/>
      <c r="W372" s="80"/>
      <c r="X372" s="80"/>
      <c r="Y372" s="80"/>
      <c r="Z372" s="80"/>
      <c r="AA372" s="81"/>
      <c r="AB372" s="81"/>
      <c r="AC372" s="81"/>
      <c r="AD372" s="81"/>
      <c r="AE372" s="81"/>
    </row>
    <row r="373">
      <c r="A373" s="16"/>
      <c r="B373" s="127" t="s">
        <v>31</v>
      </c>
      <c r="C373" s="127">
        <v>75435.0</v>
      </c>
      <c r="D373" s="108" t="s">
        <v>727</v>
      </c>
      <c r="E373" s="109"/>
      <c r="F373" s="58"/>
      <c r="G373" s="128" t="s">
        <v>364</v>
      </c>
      <c r="H373" s="129">
        <v>1.28</v>
      </c>
      <c r="I373" s="129">
        <v>1.6</v>
      </c>
      <c r="J373" s="130" t="b">
        <v>0</v>
      </c>
      <c r="K373" s="58"/>
      <c r="L373" s="131">
        <f t="shared" si="8"/>
        <v>15</v>
      </c>
      <c r="M373" s="130"/>
      <c r="N373" s="109"/>
      <c r="O373" s="109"/>
      <c r="P373" s="109"/>
      <c r="Q373" s="58"/>
      <c r="R373" s="126"/>
      <c r="S373" s="126"/>
      <c r="T373" s="80"/>
      <c r="U373" s="80"/>
      <c r="V373" s="80"/>
      <c r="W373" s="80"/>
      <c r="X373" s="80"/>
      <c r="Y373" s="80"/>
      <c r="Z373" s="80"/>
      <c r="AA373" s="81"/>
      <c r="AB373" s="81"/>
      <c r="AC373" s="81"/>
      <c r="AD373" s="81"/>
      <c r="AE373" s="81"/>
    </row>
    <row r="374">
      <c r="A374" s="16"/>
      <c r="B374" s="127" t="s">
        <v>31</v>
      </c>
      <c r="C374" s="127">
        <v>75435.0</v>
      </c>
      <c r="D374" s="108" t="s">
        <v>727</v>
      </c>
      <c r="E374" s="109"/>
      <c r="F374" s="58"/>
      <c r="G374" s="128" t="s">
        <v>364</v>
      </c>
      <c r="H374" s="129">
        <v>1.28</v>
      </c>
      <c r="I374" s="129">
        <v>1.6</v>
      </c>
      <c r="J374" s="130" t="b">
        <v>0</v>
      </c>
      <c r="K374" s="58"/>
      <c r="L374" s="131">
        <f t="shared" si="8"/>
        <v>15</v>
      </c>
      <c r="M374" s="130"/>
      <c r="N374" s="109"/>
      <c r="O374" s="109"/>
      <c r="P374" s="109"/>
      <c r="Q374" s="58"/>
      <c r="R374" s="126"/>
      <c r="S374" s="126"/>
      <c r="T374" s="80"/>
      <c r="U374" s="80"/>
      <c r="V374" s="80"/>
      <c r="W374" s="80"/>
      <c r="X374" s="80"/>
      <c r="Y374" s="80"/>
      <c r="Z374" s="80"/>
      <c r="AA374" s="81"/>
      <c r="AB374" s="81"/>
      <c r="AC374" s="81"/>
      <c r="AD374" s="81"/>
      <c r="AE374" s="81"/>
    </row>
    <row r="375">
      <c r="A375" s="16"/>
      <c r="B375" s="127" t="s">
        <v>31</v>
      </c>
      <c r="C375" s="127">
        <v>75435.0</v>
      </c>
      <c r="D375" s="108" t="s">
        <v>727</v>
      </c>
      <c r="E375" s="109"/>
      <c r="F375" s="58"/>
      <c r="G375" s="128" t="s">
        <v>364</v>
      </c>
      <c r="H375" s="129">
        <v>1.28</v>
      </c>
      <c r="I375" s="129">
        <v>1.6</v>
      </c>
      <c r="J375" s="130" t="b">
        <v>0</v>
      </c>
      <c r="K375" s="58"/>
      <c r="L375" s="131">
        <f t="shared" si="8"/>
        <v>15</v>
      </c>
      <c r="M375" s="130"/>
      <c r="N375" s="109"/>
      <c r="O375" s="109"/>
      <c r="P375" s="109"/>
      <c r="Q375" s="58"/>
      <c r="R375" s="126"/>
      <c r="S375" s="126"/>
      <c r="T375" s="80"/>
      <c r="U375" s="80"/>
      <c r="V375" s="80"/>
      <c r="W375" s="80"/>
      <c r="X375" s="80"/>
      <c r="Y375" s="80"/>
      <c r="Z375" s="80"/>
      <c r="AA375" s="81"/>
      <c r="AB375" s="81"/>
      <c r="AC375" s="81"/>
      <c r="AD375" s="81"/>
      <c r="AE375" s="81"/>
    </row>
    <row r="376">
      <c r="A376" s="16"/>
      <c r="B376" s="127" t="s">
        <v>31</v>
      </c>
      <c r="C376" s="127">
        <v>75435.0</v>
      </c>
      <c r="D376" s="108" t="s">
        <v>728</v>
      </c>
      <c r="E376" s="109"/>
      <c r="F376" s="58"/>
      <c r="G376" s="128" t="s">
        <v>366</v>
      </c>
      <c r="H376" s="129">
        <v>4.81</v>
      </c>
      <c r="I376" s="129">
        <v>6.84</v>
      </c>
      <c r="J376" s="130" t="b">
        <v>0</v>
      </c>
      <c r="K376" s="58"/>
      <c r="L376" s="131">
        <f t="shared" si="8"/>
        <v>3</v>
      </c>
      <c r="M376" s="130"/>
      <c r="N376" s="109"/>
      <c r="O376" s="109"/>
      <c r="P376" s="109"/>
      <c r="Q376" s="58"/>
      <c r="R376" s="126"/>
      <c r="S376" s="126"/>
      <c r="T376" s="80"/>
      <c r="U376" s="80"/>
      <c r="V376" s="80"/>
      <c r="W376" s="80"/>
      <c r="X376" s="80"/>
      <c r="Y376" s="80"/>
      <c r="Z376" s="80"/>
      <c r="AA376" s="81"/>
      <c r="AB376" s="81"/>
      <c r="AC376" s="81"/>
      <c r="AD376" s="81"/>
      <c r="AE376" s="81"/>
    </row>
    <row r="377">
      <c r="A377" s="16"/>
      <c r="B377" s="127" t="s">
        <v>31</v>
      </c>
      <c r="C377" s="127">
        <v>75435.0</v>
      </c>
      <c r="D377" s="108" t="s">
        <v>729</v>
      </c>
      <c r="E377" s="109"/>
      <c r="F377" s="58"/>
      <c r="G377" s="128" t="s">
        <v>730</v>
      </c>
      <c r="H377" s="129">
        <v>35.69</v>
      </c>
      <c r="I377" s="129">
        <v>42.64</v>
      </c>
      <c r="J377" s="130" t="b">
        <v>0</v>
      </c>
      <c r="K377" s="58"/>
      <c r="L377" s="131">
        <f t="shared" si="8"/>
        <v>1</v>
      </c>
      <c r="M377" s="130"/>
      <c r="N377" s="109"/>
      <c r="O377" s="109"/>
      <c r="P377" s="109"/>
      <c r="Q377" s="58"/>
      <c r="R377" s="126"/>
      <c r="S377" s="126"/>
      <c r="T377" s="80"/>
      <c r="U377" s="80"/>
      <c r="V377" s="80"/>
      <c r="W377" s="80"/>
      <c r="X377" s="80"/>
      <c r="Y377" s="80"/>
      <c r="Z377" s="80"/>
      <c r="AA377" s="81"/>
      <c r="AB377" s="81"/>
      <c r="AC377" s="81"/>
      <c r="AD377" s="81"/>
      <c r="AE377" s="81"/>
    </row>
    <row r="378">
      <c r="A378" s="16"/>
      <c r="B378" s="127" t="s">
        <v>31</v>
      </c>
      <c r="C378" s="127">
        <v>75435.0</v>
      </c>
      <c r="D378" s="108" t="s">
        <v>731</v>
      </c>
      <c r="E378" s="109"/>
      <c r="F378" s="58"/>
      <c r="G378" s="128" t="s">
        <v>732</v>
      </c>
      <c r="H378" s="129">
        <v>5.72</v>
      </c>
      <c r="I378" s="129">
        <v>6.47</v>
      </c>
      <c r="J378" s="130" t="b">
        <v>0</v>
      </c>
      <c r="K378" s="58"/>
      <c r="L378" s="131">
        <f t="shared" si="8"/>
        <v>3</v>
      </c>
      <c r="M378" s="130"/>
      <c r="N378" s="109"/>
      <c r="O378" s="109"/>
      <c r="P378" s="109"/>
      <c r="Q378" s="58"/>
      <c r="R378" s="126"/>
      <c r="S378" s="126"/>
      <c r="T378" s="80"/>
      <c r="U378" s="80"/>
      <c r="V378" s="80"/>
      <c r="W378" s="80"/>
      <c r="X378" s="80"/>
      <c r="Y378" s="80"/>
      <c r="Z378" s="80"/>
      <c r="AA378" s="81"/>
      <c r="AB378" s="81"/>
      <c r="AC378" s="81"/>
      <c r="AD378" s="81"/>
      <c r="AE378" s="81"/>
    </row>
    <row r="379">
      <c r="A379" s="16"/>
      <c r="B379" s="127" t="s">
        <v>31</v>
      </c>
      <c r="C379" s="127">
        <v>75435.0</v>
      </c>
      <c r="D379" s="108" t="s">
        <v>731</v>
      </c>
      <c r="E379" s="109"/>
      <c r="F379" s="58"/>
      <c r="G379" s="128" t="s">
        <v>732</v>
      </c>
      <c r="H379" s="129">
        <v>5.72</v>
      </c>
      <c r="I379" s="129">
        <v>6.47</v>
      </c>
      <c r="J379" s="130" t="b">
        <v>0</v>
      </c>
      <c r="K379" s="58"/>
      <c r="L379" s="131">
        <f t="shared" si="8"/>
        <v>3</v>
      </c>
      <c r="M379" s="130"/>
      <c r="N379" s="109"/>
      <c r="O379" s="109"/>
      <c r="P379" s="109"/>
      <c r="Q379" s="58"/>
      <c r="R379" s="126"/>
      <c r="S379" s="126"/>
      <c r="T379" s="80"/>
      <c r="U379" s="80"/>
      <c r="V379" s="80"/>
      <c r="W379" s="80"/>
      <c r="X379" s="80"/>
      <c r="Y379" s="80"/>
      <c r="Z379" s="80"/>
      <c r="AA379" s="81"/>
      <c r="AB379" s="81"/>
      <c r="AC379" s="81"/>
      <c r="AD379" s="81"/>
      <c r="AE379" s="81"/>
    </row>
    <row r="380">
      <c r="A380" s="16"/>
      <c r="B380" s="127" t="s">
        <v>31</v>
      </c>
      <c r="C380" s="127">
        <v>75435.0</v>
      </c>
      <c r="D380" s="108" t="s">
        <v>731</v>
      </c>
      <c r="E380" s="109"/>
      <c r="F380" s="58"/>
      <c r="G380" s="128" t="s">
        <v>732</v>
      </c>
      <c r="H380" s="129">
        <v>5.72</v>
      </c>
      <c r="I380" s="129">
        <v>6.47</v>
      </c>
      <c r="J380" s="130" t="b">
        <v>0</v>
      </c>
      <c r="K380" s="58"/>
      <c r="L380" s="131">
        <f t="shared" si="8"/>
        <v>3</v>
      </c>
      <c r="M380" s="130"/>
      <c r="N380" s="109"/>
      <c r="O380" s="109"/>
      <c r="P380" s="109"/>
      <c r="Q380" s="58"/>
      <c r="R380" s="126"/>
      <c r="S380" s="126"/>
      <c r="T380" s="80"/>
      <c r="U380" s="80"/>
      <c r="V380" s="80"/>
      <c r="W380" s="80"/>
      <c r="X380" s="80"/>
      <c r="Y380" s="80"/>
      <c r="Z380" s="80"/>
      <c r="AA380" s="81"/>
      <c r="AB380" s="81"/>
      <c r="AC380" s="81"/>
      <c r="AD380" s="81"/>
      <c r="AE380" s="81"/>
    </row>
    <row r="381">
      <c r="A381" s="16"/>
      <c r="B381" s="127" t="s">
        <v>31</v>
      </c>
      <c r="C381" s="127">
        <v>75436.0</v>
      </c>
      <c r="D381" s="108" t="s">
        <v>733</v>
      </c>
      <c r="E381" s="109"/>
      <c r="F381" s="58"/>
      <c r="G381" s="128" t="s">
        <v>441</v>
      </c>
      <c r="H381" s="129">
        <v>2.34</v>
      </c>
      <c r="I381" s="129">
        <v>3.15</v>
      </c>
      <c r="J381" s="130" t="b">
        <v>0</v>
      </c>
      <c r="K381" s="58"/>
      <c r="L381" s="131">
        <f t="shared" si="8"/>
        <v>2</v>
      </c>
      <c r="M381" s="130"/>
      <c r="N381" s="109"/>
      <c r="O381" s="109"/>
      <c r="P381" s="109"/>
      <c r="Q381" s="58"/>
      <c r="R381" s="126"/>
      <c r="S381" s="126"/>
      <c r="T381" s="80"/>
      <c r="U381" s="80"/>
      <c r="V381" s="80"/>
      <c r="W381" s="80"/>
      <c r="X381" s="80"/>
      <c r="Y381" s="80"/>
      <c r="Z381" s="80"/>
      <c r="AA381" s="81"/>
      <c r="AB381" s="81"/>
      <c r="AC381" s="81"/>
      <c r="AD381" s="81"/>
      <c r="AE381" s="81"/>
    </row>
    <row r="382">
      <c r="A382" s="16"/>
      <c r="B382" s="127" t="s">
        <v>31</v>
      </c>
      <c r="C382" s="127">
        <v>75436.0</v>
      </c>
      <c r="D382" s="108" t="s">
        <v>734</v>
      </c>
      <c r="E382" s="109"/>
      <c r="F382" s="58"/>
      <c r="G382" s="128" t="s">
        <v>735</v>
      </c>
      <c r="H382" s="129">
        <v>6.02</v>
      </c>
      <c r="I382" s="129">
        <v>5.57</v>
      </c>
      <c r="J382" s="130" t="b">
        <v>0</v>
      </c>
      <c r="K382" s="58"/>
      <c r="L382" s="131">
        <f t="shared" si="8"/>
        <v>1</v>
      </c>
      <c r="M382" s="130"/>
      <c r="N382" s="109"/>
      <c r="O382" s="109"/>
      <c r="P382" s="109"/>
      <c r="Q382" s="58"/>
      <c r="R382" s="126"/>
      <c r="S382" s="126"/>
      <c r="T382" s="80"/>
      <c r="U382" s="80"/>
      <c r="V382" s="80"/>
      <c r="W382" s="80"/>
      <c r="X382" s="80"/>
      <c r="Y382" s="80"/>
      <c r="Z382" s="80"/>
      <c r="AA382" s="81"/>
      <c r="AB382" s="81"/>
      <c r="AC382" s="81"/>
      <c r="AD382" s="81"/>
      <c r="AE382" s="81"/>
    </row>
    <row r="383">
      <c r="A383" s="16"/>
      <c r="B383" s="127" t="s">
        <v>31</v>
      </c>
      <c r="C383" s="127">
        <v>75437.0</v>
      </c>
      <c r="D383" s="108" t="s">
        <v>736</v>
      </c>
      <c r="E383" s="109"/>
      <c r="F383" s="58"/>
      <c r="G383" s="128" t="s">
        <v>737</v>
      </c>
      <c r="H383" s="129">
        <v>9.95</v>
      </c>
      <c r="I383" s="129">
        <v>9.45</v>
      </c>
      <c r="J383" s="130" t="b">
        <v>0</v>
      </c>
      <c r="K383" s="58"/>
      <c r="L383" s="131">
        <f t="shared" si="8"/>
        <v>1</v>
      </c>
      <c r="M383" s="130"/>
      <c r="N383" s="109"/>
      <c r="O383" s="109"/>
      <c r="P383" s="109"/>
      <c r="Q383" s="58"/>
      <c r="R383" s="126"/>
      <c r="S383" s="126"/>
      <c r="T383" s="80"/>
      <c r="U383" s="80"/>
      <c r="V383" s="80"/>
      <c r="W383" s="80"/>
      <c r="X383" s="80"/>
      <c r="Y383" s="80"/>
      <c r="Z383" s="80"/>
      <c r="AA383" s="81"/>
      <c r="AB383" s="81"/>
      <c r="AC383" s="81"/>
      <c r="AD383" s="81"/>
      <c r="AE383" s="81"/>
    </row>
    <row r="384">
      <c r="A384" s="16"/>
      <c r="B384" s="127" t="s">
        <v>31</v>
      </c>
      <c r="C384" s="127">
        <v>75437.0</v>
      </c>
      <c r="D384" s="108" t="s">
        <v>738</v>
      </c>
      <c r="E384" s="109"/>
      <c r="F384" s="58"/>
      <c r="G384" s="128" t="s">
        <v>739</v>
      </c>
      <c r="H384" s="129">
        <v>15.42</v>
      </c>
      <c r="I384" s="129">
        <v>9.8</v>
      </c>
      <c r="J384" s="130" t="b">
        <v>0</v>
      </c>
      <c r="K384" s="58"/>
      <c r="L384" s="131">
        <f t="shared" si="8"/>
        <v>1</v>
      </c>
      <c r="M384" s="130"/>
      <c r="N384" s="109"/>
      <c r="O384" s="109"/>
      <c r="P384" s="109"/>
      <c r="Q384" s="58"/>
      <c r="R384" s="126"/>
      <c r="S384" s="126"/>
      <c r="T384" s="80"/>
      <c r="U384" s="80"/>
      <c r="V384" s="80"/>
      <c r="W384" s="80"/>
      <c r="X384" s="80"/>
      <c r="Y384" s="80"/>
      <c r="Z384" s="80"/>
      <c r="AA384" s="81"/>
      <c r="AB384" s="81"/>
      <c r="AC384" s="81"/>
      <c r="AD384" s="81"/>
      <c r="AE384" s="81"/>
    </row>
    <row r="385">
      <c r="A385" s="16"/>
      <c r="B385" s="127" t="s">
        <v>31</v>
      </c>
      <c r="C385" s="127">
        <v>75449.0</v>
      </c>
      <c r="D385" s="108" t="s">
        <v>740</v>
      </c>
      <c r="E385" s="109"/>
      <c r="F385" s="58"/>
      <c r="G385" s="128" t="s">
        <v>741</v>
      </c>
      <c r="H385" s="129">
        <v>2.82</v>
      </c>
      <c r="I385" s="129">
        <v>3.19</v>
      </c>
      <c r="J385" s="130" t="b">
        <v>0</v>
      </c>
      <c r="K385" s="58"/>
      <c r="L385" s="131">
        <f t="shared" si="8"/>
        <v>2</v>
      </c>
      <c r="M385" s="130"/>
      <c r="N385" s="109"/>
      <c r="O385" s="109"/>
      <c r="P385" s="109"/>
      <c r="Q385" s="58"/>
      <c r="R385" s="126"/>
      <c r="S385" s="126"/>
      <c r="T385" s="80"/>
      <c r="U385" s="80"/>
      <c r="V385" s="80"/>
      <c r="W385" s="80"/>
      <c r="X385" s="80"/>
      <c r="Y385" s="80"/>
      <c r="Z385" s="80"/>
      <c r="AA385" s="81"/>
      <c r="AB385" s="81"/>
      <c r="AC385" s="81"/>
      <c r="AD385" s="81"/>
      <c r="AE385" s="81"/>
    </row>
    <row r="386">
      <c r="A386" s="16"/>
      <c r="B386" s="127" t="s">
        <v>31</v>
      </c>
      <c r="C386" s="127">
        <v>75449.0</v>
      </c>
      <c r="D386" s="108" t="s">
        <v>740</v>
      </c>
      <c r="E386" s="109"/>
      <c r="F386" s="58"/>
      <c r="G386" s="128" t="s">
        <v>741</v>
      </c>
      <c r="H386" s="129">
        <v>2.82</v>
      </c>
      <c r="I386" s="129">
        <v>3.19</v>
      </c>
      <c r="J386" s="130" t="b">
        <v>0</v>
      </c>
      <c r="K386" s="58"/>
      <c r="L386" s="131">
        <f t="shared" si="8"/>
        <v>2</v>
      </c>
      <c r="M386" s="130"/>
      <c r="N386" s="109"/>
      <c r="O386" s="109"/>
      <c r="P386" s="109"/>
      <c r="Q386" s="58"/>
      <c r="R386" s="126"/>
      <c r="S386" s="126"/>
      <c r="T386" s="80"/>
      <c r="U386" s="80"/>
      <c r="V386" s="80"/>
      <c r="W386" s="80"/>
      <c r="X386" s="80"/>
      <c r="Y386" s="80"/>
      <c r="Z386" s="80"/>
      <c r="AA386" s="81"/>
      <c r="AB386" s="81"/>
      <c r="AC386" s="81"/>
      <c r="AD386" s="81"/>
      <c r="AE386" s="81"/>
    </row>
    <row r="387">
      <c r="A387" s="16"/>
      <c r="B387" s="127" t="s">
        <v>31</v>
      </c>
      <c r="C387" s="127">
        <v>75449.0</v>
      </c>
      <c r="D387" s="108" t="s">
        <v>742</v>
      </c>
      <c r="E387" s="109"/>
      <c r="F387" s="58"/>
      <c r="G387" s="128" t="s">
        <v>743</v>
      </c>
      <c r="H387" s="129">
        <v>4.27</v>
      </c>
      <c r="I387" s="129">
        <v>4.52</v>
      </c>
      <c r="J387" s="130" t="b">
        <v>0</v>
      </c>
      <c r="K387" s="58"/>
      <c r="L387" s="131">
        <f t="shared" si="8"/>
        <v>1</v>
      </c>
      <c r="M387" s="130"/>
      <c r="N387" s="109"/>
      <c r="O387" s="109"/>
      <c r="P387" s="109"/>
      <c r="Q387" s="58"/>
      <c r="R387" s="126"/>
      <c r="S387" s="126"/>
      <c r="T387" s="80"/>
      <c r="U387" s="80"/>
      <c r="V387" s="80"/>
      <c r="W387" s="80"/>
      <c r="X387" s="80"/>
      <c r="Y387" s="80"/>
      <c r="Z387" s="80"/>
      <c r="AA387" s="81"/>
      <c r="AB387" s="81"/>
      <c r="AC387" s="81"/>
      <c r="AD387" s="81"/>
      <c r="AE387" s="81"/>
    </row>
    <row r="388">
      <c r="A388" s="16"/>
      <c r="B388" s="127" t="s">
        <v>31</v>
      </c>
      <c r="C388" s="127">
        <v>75449.0</v>
      </c>
      <c r="D388" s="108" t="s">
        <v>744</v>
      </c>
      <c r="E388" s="109"/>
      <c r="F388" s="58"/>
      <c r="G388" s="128" t="s">
        <v>745</v>
      </c>
      <c r="H388" s="129">
        <v>4.68</v>
      </c>
      <c r="I388" s="129">
        <v>4.57</v>
      </c>
      <c r="J388" s="130" t="b">
        <v>0</v>
      </c>
      <c r="K388" s="58"/>
      <c r="L388" s="131">
        <f t="shared" si="8"/>
        <v>1</v>
      </c>
      <c r="M388" s="130"/>
      <c r="N388" s="109"/>
      <c r="O388" s="109"/>
      <c r="P388" s="109"/>
      <c r="Q388" s="58"/>
      <c r="R388" s="126"/>
      <c r="S388" s="126"/>
      <c r="T388" s="80"/>
      <c r="U388" s="80"/>
      <c r="V388" s="80"/>
      <c r="W388" s="80"/>
      <c r="X388" s="80"/>
      <c r="Y388" s="80"/>
      <c r="Z388" s="80"/>
      <c r="AA388" s="81"/>
      <c r="AB388" s="81"/>
      <c r="AC388" s="81"/>
      <c r="AD388" s="81"/>
      <c r="AE388" s="81"/>
    </row>
    <row r="389">
      <c r="A389" s="16"/>
      <c r="B389" s="127" t="s">
        <v>31</v>
      </c>
      <c r="C389" s="127">
        <v>75452.0</v>
      </c>
      <c r="D389" s="108" t="s">
        <v>74</v>
      </c>
      <c r="E389" s="109"/>
      <c r="F389" s="58"/>
      <c r="G389" s="128" t="s">
        <v>389</v>
      </c>
      <c r="H389" s="129">
        <v>2.51</v>
      </c>
      <c r="I389" s="129">
        <v>3.77</v>
      </c>
      <c r="J389" s="130" t="b">
        <v>0</v>
      </c>
      <c r="K389" s="58"/>
      <c r="L389" s="131">
        <f t="shared" si="8"/>
        <v>3</v>
      </c>
      <c r="M389" s="130"/>
      <c r="N389" s="109"/>
      <c r="O389" s="109"/>
      <c r="P389" s="109"/>
      <c r="Q389" s="58"/>
      <c r="R389" s="126"/>
      <c r="S389" s="126"/>
      <c r="T389" s="80"/>
      <c r="U389" s="80"/>
      <c r="V389" s="80"/>
      <c r="W389" s="80"/>
      <c r="X389" s="80"/>
      <c r="Y389" s="80"/>
      <c r="Z389" s="80"/>
      <c r="AA389" s="81"/>
      <c r="AB389" s="81"/>
      <c r="AC389" s="81"/>
      <c r="AD389" s="81"/>
      <c r="AE389" s="81"/>
    </row>
    <row r="390">
      <c r="A390" s="16"/>
      <c r="B390" s="127"/>
      <c r="C390" s="127"/>
      <c r="D390" s="108"/>
      <c r="E390" s="109"/>
      <c r="F390" s="58"/>
      <c r="G390" s="135"/>
      <c r="H390" s="129"/>
      <c r="I390" s="129"/>
      <c r="J390" s="130" t="b">
        <v>0</v>
      </c>
      <c r="K390" s="58"/>
      <c r="L390" s="131" t="str">
        <f t="shared" si="8"/>
        <v/>
      </c>
      <c r="M390" s="130"/>
      <c r="N390" s="109"/>
      <c r="O390" s="109"/>
      <c r="P390" s="109"/>
      <c r="Q390" s="58"/>
      <c r="R390" s="126"/>
      <c r="S390" s="126"/>
      <c r="T390" s="80"/>
      <c r="U390" s="80"/>
      <c r="V390" s="80"/>
      <c r="W390" s="80"/>
      <c r="X390" s="80"/>
      <c r="Y390" s="80"/>
      <c r="Z390" s="80"/>
      <c r="AA390" s="81"/>
      <c r="AB390" s="81"/>
      <c r="AC390" s="81"/>
      <c r="AD390" s="81"/>
      <c r="AE390" s="81"/>
    </row>
    <row r="391">
      <c r="A391" s="16"/>
      <c r="B391" s="127"/>
      <c r="C391" s="127"/>
      <c r="D391" s="108"/>
      <c r="E391" s="109"/>
      <c r="F391" s="58"/>
      <c r="G391" s="135"/>
      <c r="H391" s="129"/>
      <c r="I391" s="129"/>
      <c r="J391" s="130" t="b">
        <v>0</v>
      </c>
      <c r="K391" s="58"/>
      <c r="L391" s="131" t="str">
        <f t="shared" si="8"/>
        <v/>
      </c>
      <c r="M391" s="130"/>
      <c r="N391" s="109"/>
      <c r="O391" s="109"/>
      <c r="P391" s="109"/>
      <c r="Q391" s="58"/>
      <c r="R391" s="126"/>
      <c r="S391" s="126"/>
      <c r="T391" s="80"/>
      <c r="U391" s="80"/>
      <c r="V391" s="80"/>
      <c r="W391" s="80"/>
      <c r="X391" s="80"/>
      <c r="Y391" s="80"/>
      <c r="Z391" s="80"/>
      <c r="AA391" s="81"/>
      <c r="AB391" s="81"/>
      <c r="AC391" s="81"/>
      <c r="AD391" s="81"/>
      <c r="AE391" s="81"/>
    </row>
    <row r="392">
      <c r="A392" s="16"/>
      <c r="B392" s="127"/>
      <c r="C392" s="127"/>
      <c r="D392" s="108"/>
      <c r="E392" s="109"/>
      <c r="F392" s="58"/>
      <c r="G392" s="135"/>
      <c r="H392" s="129"/>
      <c r="I392" s="129"/>
      <c r="J392" s="130" t="b">
        <v>0</v>
      </c>
      <c r="K392" s="58"/>
      <c r="L392" s="131" t="str">
        <f t="shared" si="8"/>
        <v/>
      </c>
      <c r="M392" s="130"/>
      <c r="N392" s="109"/>
      <c r="O392" s="109"/>
      <c r="P392" s="109"/>
      <c r="Q392" s="58"/>
      <c r="R392" s="126"/>
      <c r="S392" s="126"/>
      <c r="T392" s="80"/>
      <c r="U392" s="80"/>
      <c r="V392" s="80"/>
      <c r="W392" s="80"/>
      <c r="X392" s="80"/>
      <c r="Y392" s="80"/>
      <c r="Z392" s="80"/>
      <c r="AA392" s="81"/>
      <c r="AB392" s="81"/>
      <c r="AC392" s="81"/>
      <c r="AD392" s="81"/>
      <c r="AE392" s="81"/>
    </row>
    <row r="393">
      <c r="A393" s="16"/>
      <c r="B393" s="127"/>
      <c r="C393" s="127"/>
      <c r="D393" s="108"/>
      <c r="E393" s="109"/>
      <c r="F393" s="58"/>
      <c r="G393" s="135"/>
      <c r="H393" s="129"/>
      <c r="I393" s="129"/>
      <c r="J393" s="130" t="b">
        <v>0</v>
      </c>
      <c r="K393" s="58"/>
      <c r="L393" s="131" t="str">
        <f t="shared" si="8"/>
        <v/>
      </c>
      <c r="M393" s="130"/>
      <c r="N393" s="109"/>
      <c r="O393" s="109"/>
      <c r="P393" s="109"/>
      <c r="Q393" s="58"/>
      <c r="R393" s="126"/>
      <c r="S393" s="126"/>
      <c r="T393" s="80"/>
      <c r="U393" s="80"/>
      <c r="V393" s="80"/>
      <c r="W393" s="80"/>
      <c r="X393" s="80"/>
      <c r="Y393" s="80"/>
      <c r="Z393" s="80"/>
      <c r="AA393" s="81"/>
      <c r="AB393" s="81"/>
      <c r="AC393" s="81"/>
      <c r="AD393" s="81"/>
      <c r="AE393" s="81"/>
    </row>
    <row r="394">
      <c r="A394" s="16"/>
      <c r="B394" s="127"/>
      <c r="C394" s="127"/>
      <c r="D394" s="108"/>
      <c r="E394" s="109"/>
      <c r="F394" s="58"/>
      <c r="G394" s="135"/>
      <c r="H394" s="129"/>
      <c r="I394" s="129"/>
      <c r="J394" s="130" t="b">
        <v>0</v>
      </c>
      <c r="K394" s="58"/>
      <c r="L394" s="131" t="str">
        <f t="shared" si="8"/>
        <v/>
      </c>
      <c r="M394" s="130"/>
      <c r="N394" s="109"/>
      <c r="O394" s="109"/>
      <c r="P394" s="109"/>
      <c r="Q394" s="58"/>
      <c r="R394" s="126"/>
      <c r="S394" s="126"/>
      <c r="T394" s="80"/>
      <c r="U394" s="80"/>
      <c r="V394" s="80"/>
      <c r="W394" s="80"/>
      <c r="X394" s="80"/>
      <c r="Y394" s="80"/>
      <c r="Z394" s="80"/>
      <c r="AA394" s="81"/>
      <c r="AB394" s="81"/>
      <c r="AC394" s="81"/>
      <c r="AD394" s="81"/>
      <c r="AE394" s="81"/>
    </row>
    <row r="395">
      <c r="A395" s="16"/>
      <c r="B395" s="127"/>
      <c r="C395" s="127"/>
      <c r="D395" s="108"/>
      <c r="E395" s="109"/>
      <c r="F395" s="58"/>
      <c r="G395" s="135"/>
      <c r="H395" s="129"/>
      <c r="I395" s="129"/>
      <c r="J395" s="130" t="b">
        <v>0</v>
      </c>
      <c r="K395" s="58"/>
      <c r="L395" s="131" t="str">
        <f t="shared" si="8"/>
        <v/>
      </c>
      <c r="M395" s="130"/>
      <c r="N395" s="109"/>
      <c r="O395" s="109"/>
      <c r="P395" s="109"/>
      <c r="Q395" s="58"/>
      <c r="R395" s="126"/>
      <c r="S395" s="126"/>
      <c r="T395" s="80"/>
      <c r="U395" s="80"/>
      <c r="V395" s="80"/>
      <c r="W395" s="80"/>
      <c r="X395" s="80"/>
      <c r="Y395" s="80"/>
      <c r="Z395" s="80"/>
      <c r="AA395" s="81"/>
      <c r="AB395" s="81"/>
      <c r="AC395" s="81"/>
      <c r="AD395" s="81"/>
      <c r="AE395" s="81"/>
    </row>
    <row r="396">
      <c r="A396" s="16"/>
      <c r="B396" s="127"/>
      <c r="C396" s="127"/>
      <c r="D396" s="108"/>
      <c r="E396" s="109"/>
      <c r="F396" s="58"/>
      <c r="G396" s="135"/>
      <c r="H396" s="129"/>
      <c r="I396" s="129"/>
      <c r="J396" s="130" t="b">
        <v>0</v>
      </c>
      <c r="K396" s="58"/>
      <c r="L396" s="131" t="str">
        <f t="shared" si="8"/>
        <v/>
      </c>
      <c r="M396" s="130"/>
      <c r="N396" s="109"/>
      <c r="O396" s="109"/>
      <c r="P396" s="109"/>
      <c r="Q396" s="58"/>
      <c r="R396" s="126"/>
      <c r="S396" s="126"/>
      <c r="T396" s="80"/>
      <c r="U396" s="80"/>
      <c r="V396" s="80"/>
      <c r="W396" s="80"/>
      <c r="X396" s="80"/>
      <c r="Y396" s="80"/>
      <c r="Z396" s="80"/>
      <c r="AA396" s="81"/>
      <c r="AB396" s="81"/>
      <c r="AC396" s="81"/>
      <c r="AD396" s="81"/>
      <c r="AE396" s="81"/>
    </row>
    <row r="397">
      <c r="A397" s="16"/>
      <c r="B397" s="127"/>
      <c r="C397" s="127"/>
      <c r="D397" s="108"/>
      <c r="E397" s="109"/>
      <c r="F397" s="58"/>
      <c r="G397" s="135"/>
      <c r="H397" s="129"/>
      <c r="I397" s="129"/>
      <c r="J397" s="130" t="b">
        <v>0</v>
      </c>
      <c r="K397" s="58"/>
      <c r="L397" s="131" t="str">
        <f t="shared" si="8"/>
        <v/>
      </c>
      <c r="M397" s="130"/>
      <c r="N397" s="109"/>
      <c r="O397" s="109"/>
      <c r="P397" s="109"/>
      <c r="Q397" s="58"/>
      <c r="R397" s="126"/>
      <c r="S397" s="126"/>
      <c r="T397" s="80"/>
      <c r="U397" s="80"/>
      <c r="V397" s="80"/>
      <c r="W397" s="80"/>
      <c r="X397" s="80"/>
      <c r="Y397" s="80"/>
      <c r="Z397" s="80"/>
      <c r="AA397" s="81"/>
      <c r="AB397" s="81"/>
      <c r="AC397" s="81"/>
      <c r="AD397" s="81"/>
      <c r="AE397" s="81"/>
    </row>
    <row r="398">
      <c r="A398" s="16"/>
      <c r="B398" s="127"/>
      <c r="C398" s="127"/>
      <c r="D398" s="108"/>
      <c r="E398" s="109"/>
      <c r="F398" s="58"/>
      <c r="G398" s="135"/>
      <c r="H398" s="129"/>
      <c r="I398" s="129"/>
      <c r="J398" s="130" t="b">
        <v>0</v>
      </c>
      <c r="K398" s="58"/>
      <c r="L398" s="131" t="str">
        <f t="shared" si="8"/>
        <v/>
      </c>
      <c r="M398" s="130"/>
      <c r="N398" s="109"/>
      <c r="O398" s="109"/>
      <c r="P398" s="109"/>
      <c r="Q398" s="58"/>
      <c r="R398" s="126"/>
      <c r="S398" s="126"/>
      <c r="T398" s="80"/>
      <c r="U398" s="80"/>
      <c r="V398" s="80"/>
      <c r="W398" s="80"/>
      <c r="X398" s="80"/>
      <c r="Y398" s="80"/>
      <c r="Z398" s="80"/>
      <c r="AA398" s="81"/>
      <c r="AB398" s="81"/>
      <c r="AC398" s="81"/>
      <c r="AD398" s="81"/>
      <c r="AE398" s="81"/>
    </row>
    <row r="399">
      <c r="A399" s="16"/>
      <c r="B399" s="127"/>
      <c r="C399" s="127"/>
      <c r="D399" s="108"/>
      <c r="E399" s="109"/>
      <c r="F399" s="58"/>
      <c r="G399" s="135"/>
      <c r="H399" s="129"/>
      <c r="I399" s="129"/>
      <c r="J399" s="130" t="b">
        <v>0</v>
      </c>
      <c r="K399" s="58"/>
      <c r="L399" s="131" t="str">
        <f t="shared" si="8"/>
        <v/>
      </c>
      <c r="M399" s="130"/>
      <c r="N399" s="109"/>
      <c r="O399" s="109"/>
      <c r="P399" s="109"/>
      <c r="Q399" s="58"/>
      <c r="R399" s="126"/>
      <c r="S399" s="126"/>
      <c r="T399" s="80"/>
      <c r="U399" s="80"/>
      <c r="V399" s="80"/>
      <c r="W399" s="80"/>
      <c r="X399" s="80"/>
      <c r="Y399" s="80"/>
      <c r="Z399" s="80"/>
      <c r="AA399" s="81"/>
      <c r="AB399" s="81"/>
      <c r="AC399" s="81"/>
      <c r="AD399" s="81"/>
      <c r="AE399" s="81"/>
    </row>
    <row r="400">
      <c r="A400" s="16"/>
      <c r="B400" s="127"/>
      <c r="C400" s="127"/>
      <c r="D400" s="108"/>
      <c r="E400" s="109"/>
      <c r="F400" s="58"/>
      <c r="G400" s="135"/>
      <c r="H400" s="129"/>
      <c r="I400" s="129"/>
      <c r="J400" s="130" t="b">
        <v>0</v>
      </c>
      <c r="K400" s="58"/>
      <c r="L400" s="131" t="str">
        <f t="shared" si="8"/>
        <v/>
      </c>
      <c r="M400" s="130"/>
      <c r="N400" s="109"/>
      <c r="O400" s="109"/>
      <c r="P400" s="109"/>
      <c r="Q400" s="58"/>
      <c r="R400" s="126"/>
      <c r="S400" s="126"/>
      <c r="T400" s="80"/>
      <c r="U400" s="80"/>
      <c r="V400" s="80"/>
      <c r="W400" s="80"/>
      <c r="X400" s="80"/>
      <c r="Y400" s="80"/>
      <c r="Z400" s="80"/>
      <c r="AA400" s="81"/>
      <c r="AB400" s="81"/>
      <c r="AC400" s="81"/>
      <c r="AD400" s="81"/>
      <c r="AE400" s="81"/>
    </row>
    <row r="401">
      <c r="A401" s="16"/>
      <c r="B401" s="127"/>
      <c r="C401" s="127"/>
      <c r="D401" s="108"/>
      <c r="E401" s="109"/>
      <c r="F401" s="58"/>
      <c r="G401" s="135"/>
      <c r="H401" s="129"/>
      <c r="I401" s="129"/>
      <c r="J401" s="130" t="b">
        <v>0</v>
      </c>
      <c r="K401" s="58"/>
      <c r="L401" s="131" t="str">
        <f t="shared" si="8"/>
        <v/>
      </c>
      <c r="M401" s="130"/>
      <c r="N401" s="109"/>
      <c r="O401" s="109"/>
      <c r="P401" s="109"/>
      <c r="Q401" s="58"/>
      <c r="R401" s="126"/>
      <c r="S401" s="126"/>
      <c r="T401" s="80"/>
      <c r="U401" s="80"/>
      <c r="V401" s="80"/>
      <c r="W401" s="80"/>
      <c r="X401" s="80"/>
      <c r="Y401" s="80"/>
      <c r="Z401" s="80"/>
      <c r="AA401" s="81"/>
      <c r="AB401" s="81"/>
      <c r="AC401" s="81"/>
      <c r="AD401" s="81"/>
      <c r="AE401" s="81"/>
    </row>
    <row r="402">
      <c r="A402" s="16"/>
      <c r="B402" s="127"/>
      <c r="C402" s="127"/>
      <c r="D402" s="108"/>
      <c r="E402" s="109"/>
      <c r="F402" s="58"/>
      <c r="G402" s="135"/>
      <c r="H402" s="129"/>
      <c r="I402" s="129"/>
      <c r="J402" s="130" t="b">
        <v>0</v>
      </c>
      <c r="K402" s="58"/>
      <c r="L402" s="131" t="str">
        <f t="shared" si="8"/>
        <v/>
      </c>
      <c r="M402" s="130"/>
      <c r="N402" s="109"/>
      <c r="O402" s="109"/>
      <c r="P402" s="109"/>
      <c r="Q402" s="58"/>
      <c r="R402" s="126"/>
      <c r="S402" s="126"/>
      <c r="T402" s="80"/>
      <c r="U402" s="80"/>
      <c r="V402" s="80"/>
      <c r="W402" s="80"/>
      <c r="X402" s="80"/>
      <c r="Y402" s="80"/>
      <c r="Z402" s="80"/>
      <c r="AA402" s="81"/>
      <c r="AB402" s="81"/>
      <c r="AC402" s="81"/>
      <c r="AD402" s="81"/>
      <c r="AE402" s="81"/>
    </row>
    <row r="403">
      <c r="A403" s="16"/>
      <c r="B403" s="127"/>
      <c r="C403" s="127"/>
      <c r="D403" s="108"/>
      <c r="E403" s="109"/>
      <c r="F403" s="58"/>
      <c r="G403" s="135"/>
      <c r="H403" s="129"/>
      <c r="I403" s="129"/>
      <c r="J403" s="130" t="b">
        <v>0</v>
      </c>
      <c r="K403" s="58"/>
      <c r="L403" s="131" t="str">
        <f t="shared" si="8"/>
        <v/>
      </c>
      <c r="M403" s="130"/>
      <c r="N403" s="109"/>
      <c r="O403" s="109"/>
      <c r="P403" s="109"/>
      <c r="Q403" s="58"/>
      <c r="R403" s="126"/>
      <c r="S403" s="126"/>
      <c r="T403" s="80"/>
      <c r="U403" s="80"/>
      <c r="V403" s="80"/>
      <c r="W403" s="80"/>
      <c r="X403" s="80"/>
      <c r="Y403" s="80"/>
      <c r="Z403" s="80"/>
      <c r="AA403" s="81"/>
      <c r="AB403" s="81"/>
      <c r="AC403" s="81"/>
      <c r="AD403" s="81"/>
      <c r="AE403" s="81"/>
    </row>
    <row r="404">
      <c r="A404" s="16"/>
      <c r="B404" s="127"/>
      <c r="C404" s="127"/>
      <c r="D404" s="108"/>
      <c r="E404" s="109"/>
      <c r="F404" s="58"/>
      <c r="G404" s="135"/>
      <c r="H404" s="129"/>
      <c r="I404" s="129"/>
      <c r="J404" s="130" t="b">
        <v>0</v>
      </c>
      <c r="K404" s="58"/>
      <c r="L404" s="131" t="str">
        <f t="shared" si="8"/>
        <v/>
      </c>
      <c r="M404" s="130"/>
      <c r="N404" s="109"/>
      <c r="O404" s="109"/>
      <c r="P404" s="109"/>
      <c r="Q404" s="58"/>
      <c r="R404" s="126"/>
      <c r="S404" s="126"/>
      <c r="T404" s="80"/>
      <c r="U404" s="80"/>
      <c r="V404" s="80"/>
      <c r="W404" s="80"/>
      <c r="X404" s="80"/>
      <c r="Y404" s="80"/>
      <c r="Z404" s="80"/>
      <c r="AA404" s="81"/>
      <c r="AB404" s="81"/>
      <c r="AC404" s="81"/>
      <c r="AD404" s="81"/>
      <c r="AE404" s="81"/>
    </row>
    <row r="405">
      <c r="A405" s="16"/>
      <c r="B405" s="127"/>
      <c r="C405" s="127"/>
      <c r="D405" s="108"/>
      <c r="E405" s="109"/>
      <c r="F405" s="58"/>
      <c r="G405" s="135"/>
      <c r="H405" s="129"/>
      <c r="I405" s="129"/>
      <c r="J405" s="130" t="b">
        <v>0</v>
      </c>
      <c r="K405" s="58"/>
      <c r="L405" s="131" t="str">
        <f t="shared" si="8"/>
        <v/>
      </c>
      <c r="M405" s="130"/>
      <c r="N405" s="109"/>
      <c r="O405" s="109"/>
      <c r="P405" s="109"/>
      <c r="Q405" s="58"/>
      <c r="R405" s="126"/>
      <c r="S405" s="126"/>
      <c r="T405" s="80"/>
      <c r="U405" s="80"/>
      <c r="V405" s="80"/>
      <c r="W405" s="80"/>
      <c r="X405" s="80"/>
      <c r="Y405" s="80"/>
      <c r="Z405" s="80"/>
      <c r="AA405" s="81"/>
      <c r="AB405" s="81"/>
      <c r="AC405" s="81"/>
      <c r="AD405" s="81"/>
      <c r="AE405" s="81"/>
    </row>
    <row r="406">
      <c r="A406" s="16"/>
      <c r="B406" s="127"/>
      <c r="C406" s="127"/>
      <c r="D406" s="108"/>
      <c r="E406" s="109"/>
      <c r="F406" s="58"/>
      <c r="G406" s="135"/>
      <c r="H406" s="129"/>
      <c r="I406" s="129"/>
      <c r="J406" s="130" t="b">
        <v>0</v>
      </c>
      <c r="K406" s="58"/>
      <c r="L406" s="131" t="str">
        <f t="shared" si="8"/>
        <v/>
      </c>
      <c r="M406" s="130"/>
      <c r="N406" s="109"/>
      <c r="O406" s="109"/>
      <c r="P406" s="109"/>
      <c r="Q406" s="58"/>
      <c r="R406" s="126"/>
      <c r="S406" s="126"/>
      <c r="T406" s="80"/>
      <c r="U406" s="80"/>
      <c r="V406" s="80"/>
      <c r="W406" s="80"/>
      <c r="X406" s="80"/>
      <c r="Y406" s="80"/>
      <c r="Z406" s="80"/>
      <c r="AA406" s="81"/>
      <c r="AB406" s="81"/>
      <c r="AC406" s="81"/>
      <c r="AD406" s="81"/>
      <c r="AE406" s="81"/>
    </row>
    <row r="407">
      <c r="A407" s="16"/>
      <c r="B407" s="127"/>
      <c r="C407" s="127"/>
      <c r="D407" s="108"/>
      <c r="E407" s="109"/>
      <c r="F407" s="58"/>
      <c r="G407" s="135"/>
      <c r="H407" s="129"/>
      <c r="I407" s="129"/>
      <c r="J407" s="130" t="b">
        <v>0</v>
      </c>
      <c r="K407" s="58"/>
      <c r="L407" s="131" t="str">
        <f t="shared" si="8"/>
        <v/>
      </c>
      <c r="M407" s="130"/>
      <c r="N407" s="109"/>
      <c r="O407" s="109"/>
      <c r="P407" s="109"/>
      <c r="Q407" s="58"/>
      <c r="R407" s="126"/>
      <c r="S407" s="126"/>
      <c r="T407" s="80"/>
      <c r="U407" s="80"/>
      <c r="V407" s="80"/>
      <c r="W407" s="80"/>
      <c r="X407" s="80"/>
      <c r="Y407" s="80"/>
      <c r="Z407" s="80"/>
      <c r="AA407" s="81"/>
      <c r="AB407" s="81"/>
      <c r="AC407" s="81"/>
      <c r="AD407" s="81"/>
      <c r="AE407" s="81"/>
    </row>
    <row r="408">
      <c r="A408" s="16"/>
      <c r="B408" s="127"/>
      <c r="C408" s="127"/>
      <c r="D408" s="108"/>
      <c r="E408" s="109"/>
      <c r="F408" s="58"/>
      <c r="G408" s="135"/>
      <c r="H408" s="129"/>
      <c r="I408" s="129"/>
      <c r="J408" s="130" t="b">
        <v>0</v>
      </c>
      <c r="K408" s="58"/>
      <c r="L408" s="131" t="str">
        <f t="shared" si="8"/>
        <v/>
      </c>
      <c r="M408" s="130"/>
      <c r="N408" s="109"/>
      <c r="O408" s="109"/>
      <c r="P408" s="109"/>
      <c r="Q408" s="58"/>
      <c r="R408" s="126"/>
      <c r="S408" s="126"/>
      <c r="T408" s="80"/>
      <c r="U408" s="80"/>
      <c r="V408" s="80"/>
      <c r="W408" s="80"/>
      <c r="X408" s="80"/>
      <c r="Y408" s="80"/>
      <c r="Z408" s="80"/>
      <c r="AA408" s="81"/>
      <c r="AB408" s="81"/>
      <c r="AC408" s="81"/>
      <c r="AD408" s="81"/>
      <c r="AE408" s="81"/>
    </row>
    <row r="409">
      <c r="A409" s="16"/>
      <c r="B409" s="127"/>
      <c r="C409" s="127"/>
      <c r="D409" s="108"/>
      <c r="E409" s="109"/>
      <c r="F409" s="58"/>
      <c r="G409" s="135"/>
      <c r="H409" s="129"/>
      <c r="I409" s="129"/>
      <c r="J409" s="130" t="b">
        <v>0</v>
      </c>
      <c r="K409" s="58"/>
      <c r="L409" s="131" t="str">
        <f t="shared" si="8"/>
        <v/>
      </c>
      <c r="M409" s="130"/>
      <c r="N409" s="109"/>
      <c r="O409" s="109"/>
      <c r="P409" s="109"/>
      <c r="Q409" s="58"/>
      <c r="R409" s="126"/>
      <c r="S409" s="126"/>
      <c r="T409" s="80"/>
      <c r="U409" s="80"/>
      <c r="V409" s="80"/>
      <c r="W409" s="80"/>
      <c r="X409" s="80"/>
      <c r="Y409" s="80"/>
      <c r="Z409" s="80"/>
      <c r="AA409" s="81"/>
      <c r="AB409" s="81"/>
      <c r="AC409" s="81"/>
      <c r="AD409" s="81"/>
      <c r="AE409" s="81"/>
    </row>
    <row r="410">
      <c r="A410" s="16"/>
      <c r="B410" s="127"/>
      <c r="C410" s="127"/>
      <c r="D410" s="108"/>
      <c r="E410" s="109"/>
      <c r="F410" s="58"/>
      <c r="G410" s="135"/>
      <c r="H410" s="129"/>
      <c r="I410" s="129"/>
      <c r="J410" s="130" t="b">
        <v>0</v>
      </c>
      <c r="K410" s="58"/>
      <c r="L410" s="131" t="str">
        <f t="shared" si="8"/>
        <v/>
      </c>
      <c r="M410" s="130"/>
      <c r="N410" s="109"/>
      <c r="O410" s="109"/>
      <c r="P410" s="109"/>
      <c r="Q410" s="58"/>
      <c r="R410" s="126"/>
      <c r="S410" s="126"/>
      <c r="T410" s="80"/>
      <c r="U410" s="80"/>
      <c r="V410" s="80"/>
      <c r="W410" s="80"/>
      <c r="X410" s="80"/>
      <c r="Y410" s="80"/>
      <c r="Z410" s="80"/>
      <c r="AA410" s="81"/>
      <c r="AB410" s="81"/>
      <c r="AC410" s="81"/>
      <c r="AD410" s="81"/>
      <c r="AE410" s="81"/>
    </row>
    <row r="411">
      <c r="A411" s="16"/>
      <c r="B411" s="127"/>
      <c r="C411" s="127"/>
      <c r="D411" s="108"/>
      <c r="E411" s="109"/>
      <c r="F411" s="58"/>
      <c r="G411" s="135"/>
      <c r="H411" s="129"/>
      <c r="I411" s="129"/>
      <c r="J411" s="130" t="b">
        <v>0</v>
      </c>
      <c r="K411" s="58"/>
      <c r="L411" s="131" t="str">
        <f t="shared" si="8"/>
        <v/>
      </c>
      <c r="M411" s="130"/>
      <c r="N411" s="109"/>
      <c r="O411" s="109"/>
      <c r="P411" s="109"/>
      <c r="Q411" s="58"/>
      <c r="R411" s="126"/>
      <c r="S411" s="126"/>
      <c r="T411" s="80"/>
      <c r="U411" s="80"/>
      <c r="V411" s="80"/>
      <c r="W411" s="80"/>
      <c r="X411" s="80"/>
      <c r="Y411" s="80"/>
      <c r="Z411" s="80"/>
      <c r="AA411" s="81"/>
      <c r="AB411" s="81"/>
      <c r="AC411" s="81"/>
      <c r="AD411" s="81"/>
      <c r="AE411" s="81"/>
    </row>
    <row r="412">
      <c r="A412" s="16"/>
      <c r="B412" s="127"/>
      <c r="C412" s="127"/>
      <c r="D412" s="108"/>
      <c r="E412" s="109"/>
      <c r="F412" s="58"/>
      <c r="G412" s="135"/>
      <c r="H412" s="129"/>
      <c r="I412" s="129"/>
      <c r="J412" s="130" t="b">
        <v>0</v>
      </c>
      <c r="K412" s="58"/>
      <c r="L412" s="131" t="str">
        <f t="shared" si="8"/>
        <v/>
      </c>
      <c r="M412" s="130"/>
      <c r="N412" s="109"/>
      <c r="O412" s="109"/>
      <c r="P412" s="109"/>
      <c r="Q412" s="58"/>
      <c r="R412" s="126"/>
      <c r="S412" s="126"/>
      <c r="T412" s="80"/>
      <c r="U412" s="80"/>
      <c r="V412" s="80"/>
      <c r="W412" s="80"/>
      <c r="X412" s="80"/>
      <c r="Y412" s="80"/>
      <c r="Z412" s="80"/>
      <c r="AA412" s="81"/>
      <c r="AB412" s="81"/>
      <c r="AC412" s="81"/>
      <c r="AD412" s="81"/>
      <c r="AE412" s="81"/>
    </row>
    <row r="413">
      <c r="A413" s="16"/>
      <c r="B413" s="127"/>
      <c r="C413" s="127"/>
      <c r="D413" s="108"/>
      <c r="E413" s="109"/>
      <c r="F413" s="58"/>
      <c r="G413" s="135"/>
      <c r="H413" s="129"/>
      <c r="I413" s="129"/>
      <c r="J413" s="130" t="b">
        <v>0</v>
      </c>
      <c r="K413" s="58"/>
      <c r="L413" s="131" t="str">
        <f t="shared" si="8"/>
        <v/>
      </c>
      <c r="M413" s="130"/>
      <c r="N413" s="109"/>
      <c r="O413" s="109"/>
      <c r="P413" s="109"/>
      <c r="Q413" s="58"/>
      <c r="R413" s="126"/>
      <c r="S413" s="126"/>
      <c r="T413" s="80"/>
      <c r="U413" s="80"/>
      <c r="V413" s="80"/>
      <c r="W413" s="80"/>
      <c r="X413" s="80"/>
      <c r="Y413" s="80"/>
      <c r="Z413" s="80"/>
      <c r="AA413" s="81"/>
      <c r="AB413" s="81"/>
      <c r="AC413" s="81"/>
      <c r="AD413" s="81"/>
      <c r="AE413" s="81"/>
    </row>
    <row r="414">
      <c r="A414" s="16"/>
      <c r="B414" s="127"/>
      <c r="C414" s="127"/>
      <c r="D414" s="108"/>
      <c r="E414" s="109"/>
      <c r="F414" s="58"/>
      <c r="G414" s="135"/>
      <c r="H414" s="129"/>
      <c r="I414" s="129"/>
      <c r="J414" s="130" t="b">
        <v>0</v>
      </c>
      <c r="K414" s="58"/>
      <c r="L414" s="131" t="str">
        <f t="shared" si="8"/>
        <v/>
      </c>
      <c r="M414" s="130"/>
      <c r="N414" s="109"/>
      <c r="O414" s="109"/>
      <c r="P414" s="109"/>
      <c r="Q414" s="58"/>
      <c r="R414" s="126"/>
      <c r="S414" s="126"/>
      <c r="T414" s="80"/>
      <c r="U414" s="80"/>
      <c r="V414" s="80"/>
      <c r="W414" s="80"/>
      <c r="X414" s="80"/>
      <c r="Y414" s="80"/>
      <c r="Z414" s="80"/>
      <c r="AA414" s="81"/>
      <c r="AB414" s="81"/>
      <c r="AC414" s="81"/>
      <c r="AD414" s="81"/>
      <c r="AE414" s="81"/>
    </row>
    <row r="415">
      <c r="A415" s="16"/>
      <c r="B415" s="127"/>
      <c r="C415" s="127"/>
      <c r="D415" s="108"/>
      <c r="E415" s="109"/>
      <c r="F415" s="58"/>
      <c r="G415" s="135"/>
      <c r="H415" s="129"/>
      <c r="I415" s="129"/>
      <c r="J415" s="130" t="b">
        <v>0</v>
      </c>
      <c r="K415" s="58"/>
      <c r="L415" s="131" t="str">
        <f t="shared" si="8"/>
        <v/>
      </c>
      <c r="M415" s="130"/>
      <c r="N415" s="109"/>
      <c r="O415" s="109"/>
      <c r="P415" s="109"/>
      <c r="Q415" s="58"/>
      <c r="R415" s="126"/>
      <c r="S415" s="126"/>
      <c r="T415" s="80"/>
      <c r="U415" s="80"/>
      <c r="V415" s="80"/>
      <c r="W415" s="80"/>
      <c r="X415" s="80"/>
      <c r="Y415" s="80"/>
      <c r="Z415" s="80"/>
      <c r="AA415" s="81"/>
      <c r="AB415" s="81"/>
      <c r="AC415" s="81"/>
      <c r="AD415" s="81"/>
      <c r="AE415" s="81"/>
    </row>
    <row r="416">
      <c r="A416" s="16"/>
      <c r="B416" s="127"/>
      <c r="C416" s="127"/>
      <c r="D416" s="108"/>
      <c r="E416" s="109"/>
      <c r="F416" s="58"/>
      <c r="G416" s="135"/>
      <c r="H416" s="129"/>
      <c r="I416" s="129"/>
      <c r="J416" s="130" t="b">
        <v>0</v>
      </c>
      <c r="K416" s="58"/>
      <c r="L416" s="131" t="str">
        <f t="shared" si="8"/>
        <v/>
      </c>
      <c r="M416" s="130"/>
      <c r="N416" s="109"/>
      <c r="O416" s="109"/>
      <c r="P416" s="109"/>
      <c r="Q416" s="58"/>
      <c r="R416" s="126"/>
      <c r="S416" s="126"/>
      <c r="T416" s="80"/>
      <c r="U416" s="80"/>
      <c r="V416" s="80"/>
      <c r="W416" s="80"/>
      <c r="X416" s="80"/>
      <c r="Y416" s="80"/>
      <c r="Z416" s="80"/>
      <c r="AA416" s="81"/>
      <c r="AB416" s="81"/>
      <c r="AC416" s="81"/>
      <c r="AD416" s="81"/>
      <c r="AE416" s="81"/>
    </row>
    <row r="417">
      <c r="A417" s="16"/>
      <c r="B417" s="127"/>
      <c r="C417" s="127"/>
      <c r="D417" s="108"/>
      <c r="E417" s="109"/>
      <c r="F417" s="58"/>
      <c r="G417" s="135"/>
      <c r="H417" s="129"/>
      <c r="I417" s="129"/>
      <c r="J417" s="130" t="b">
        <v>0</v>
      </c>
      <c r="K417" s="58"/>
      <c r="L417" s="131" t="str">
        <f t="shared" si="8"/>
        <v/>
      </c>
      <c r="M417" s="130"/>
      <c r="N417" s="109"/>
      <c r="O417" s="109"/>
      <c r="P417" s="109"/>
      <c r="Q417" s="58"/>
      <c r="R417" s="126"/>
      <c r="S417" s="126"/>
      <c r="T417" s="80"/>
      <c r="U417" s="80"/>
      <c r="V417" s="80"/>
      <c r="W417" s="80"/>
      <c r="X417" s="80"/>
      <c r="Y417" s="80"/>
      <c r="Z417" s="80"/>
      <c r="AA417" s="81"/>
      <c r="AB417" s="81"/>
      <c r="AC417" s="81"/>
      <c r="AD417" s="81"/>
      <c r="AE417" s="81"/>
    </row>
    <row r="418">
      <c r="A418" s="16"/>
      <c r="B418" s="127"/>
      <c r="C418" s="127"/>
      <c r="D418" s="108"/>
      <c r="E418" s="109"/>
      <c r="F418" s="58"/>
      <c r="G418" s="135"/>
      <c r="H418" s="129"/>
      <c r="I418" s="129"/>
      <c r="J418" s="130" t="b">
        <v>0</v>
      </c>
      <c r="K418" s="58"/>
      <c r="L418" s="131" t="str">
        <f t="shared" si="8"/>
        <v/>
      </c>
      <c r="M418" s="130"/>
      <c r="N418" s="109"/>
      <c r="O418" s="109"/>
      <c r="P418" s="109"/>
      <c r="Q418" s="58"/>
      <c r="R418" s="126"/>
      <c r="S418" s="126"/>
      <c r="T418" s="80"/>
      <c r="U418" s="80"/>
      <c r="V418" s="80"/>
      <c r="W418" s="80"/>
      <c r="X418" s="80"/>
      <c r="Y418" s="80"/>
      <c r="Z418" s="80"/>
      <c r="AA418" s="81"/>
      <c r="AB418" s="81"/>
      <c r="AC418" s="81"/>
      <c r="AD418" s="81"/>
      <c r="AE418" s="81"/>
    </row>
    <row r="419">
      <c r="A419" s="16"/>
      <c r="B419" s="127"/>
      <c r="C419" s="127"/>
      <c r="D419" s="108"/>
      <c r="E419" s="109"/>
      <c r="F419" s="58"/>
      <c r="G419" s="135"/>
      <c r="H419" s="129"/>
      <c r="I419" s="129"/>
      <c r="J419" s="130" t="b">
        <v>0</v>
      </c>
      <c r="K419" s="58"/>
      <c r="L419" s="131" t="str">
        <f t="shared" si="8"/>
        <v/>
      </c>
      <c r="M419" s="130"/>
      <c r="N419" s="109"/>
      <c r="O419" s="109"/>
      <c r="P419" s="109"/>
      <c r="Q419" s="58"/>
      <c r="R419" s="126"/>
      <c r="S419" s="126"/>
      <c r="T419" s="80"/>
      <c r="U419" s="80"/>
      <c r="V419" s="80"/>
      <c r="W419" s="80"/>
      <c r="X419" s="80"/>
      <c r="Y419" s="80"/>
      <c r="Z419" s="80"/>
      <c r="AA419" s="81"/>
      <c r="AB419" s="81"/>
      <c r="AC419" s="81"/>
      <c r="AD419" s="81"/>
      <c r="AE419" s="81"/>
    </row>
    <row r="420">
      <c r="A420" s="16"/>
      <c r="B420" s="127"/>
      <c r="C420" s="127"/>
      <c r="D420" s="108"/>
      <c r="E420" s="109"/>
      <c r="F420" s="58"/>
      <c r="G420" s="135"/>
      <c r="H420" s="129"/>
      <c r="I420" s="129"/>
      <c r="J420" s="130" t="b">
        <v>0</v>
      </c>
      <c r="K420" s="58"/>
      <c r="L420" s="131" t="str">
        <f t="shared" si="8"/>
        <v/>
      </c>
      <c r="M420" s="130"/>
      <c r="N420" s="109"/>
      <c r="O420" s="109"/>
      <c r="P420" s="109"/>
      <c r="Q420" s="58"/>
      <c r="R420" s="126"/>
      <c r="S420" s="126"/>
      <c r="T420" s="80"/>
      <c r="U420" s="80"/>
      <c r="V420" s="80"/>
      <c r="W420" s="80"/>
      <c r="X420" s="80"/>
      <c r="Y420" s="80"/>
      <c r="Z420" s="80"/>
      <c r="AA420" s="81"/>
      <c r="AB420" s="81"/>
      <c r="AC420" s="81"/>
      <c r="AD420" s="81"/>
      <c r="AE420" s="81"/>
    </row>
    <row r="421">
      <c r="A421" s="16"/>
      <c r="B421" s="127"/>
      <c r="C421" s="127"/>
      <c r="D421" s="108"/>
      <c r="E421" s="109"/>
      <c r="F421" s="58"/>
      <c r="G421" s="135"/>
      <c r="H421" s="129"/>
      <c r="I421" s="129"/>
      <c r="J421" s="130" t="b">
        <v>0</v>
      </c>
      <c r="K421" s="58"/>
      <c r="L421" s="131" t="str">
        <f t="shared" si="8"/>
        <v/>
      </c>
      <c r="M421" s="130"/>
      <c r="N421" s="109"/>
      <c r="O421" s="109"/>
      <c r="P421" s="109"/>
      <c r="Q421" s="58"/>
      <c r="R421" s="126"/>
      <c r="S421" s="126"/>
      <c r="T421" s="80"/>
      <c r="U421" s="80"/>
      <c r="V421" s="80"/>
      <c r="W421" s="80"/>
      <c r="X421" s="80"/>
      <c r="Y421" s="80"/>
      <c r="Z421" s="80"/>
      <c r="AA421" s="81"/>
      <c r="AB421" s="81"/>
      <c r="AC421" s="81"/>
      <c r="AD421" s="81"/>
      <c r="AE421" s="81"/>
    </row>
    <row r="422">
      <c r="A422" s="16"/>
      <c r="B422" s="127"/>
      <c r="C422" s="127"/>
      <c r="D422" s="108"/>
      <c r="E422" s="109"/>
      <c r="F422" s="58"/>
      <c r="G422" s="135"/>
      <c r="H422" s="129"/>
      <c r="I422" s="129"/>
      <c r="J422" s="130" t="b">
        <v>0</v>
      </c>
      <c r="K422" s="58"/>
      <c r="L422" s="131" t="str">
        <f t="shared" si="8"/>
        <v/>
      </c>
      <c r="M422" s="130"/>
      <c r="N422" s="109"/>
      <c r="O422" s="109"/>
      <c r="P422" s="109"/>
      <c r="Q422" s="58"/>
      <c r="R422" s="126"/>
      <c r="S422" s="126"/>
      <c r="T422" s="80"/>
      <c r="U422" s="80"/>
      <c r="V422" s="80"/>
      <c r="W422" s="80"/>
      <c r="X422" s="80"/>
      <c r="Y422" s="80"/>
      <c r="Z422" s="80"/>
      <c r="AA422" s="81"/>
      <c r="AB422" s="81"/>
      <c r="AC422" s="81"/>
      <c r="AD422" s="81"/>
      <c r="AE422" s="81"/>
    </row>
    <row r="423">
      <c r="A423" s="16"/>
      <c r="B423" s="127"/>
      <c r="C423" s="127"/>
      <c r="D423" s="108"/>
      <c r="E423" s="109"/>
      <c r="F423" s="58"/>
      <c r="G423" s="135"/>
      <c r="H423" s="129"/>
      <c r="I423" s="129"/>
      <c r="J423" s="130" t="b">
        <v>0</v>
      </c>
      <c r="K423" s="58"/>
      <c r="L423" s="131" t="str">
        <f t="shared" si="8"/>
        <v/>
      </c>
      <c r="M423" s="130"/>
      <c r="N423" s="109"/>
      <c r="O423" s="109"/>
      <c r="P423" s="109"/>
      <c r="Q423" s="58"/>
      <c r="R423" s="126"/>
      <c r="S423" s="126"/>
      <c r="T423" s="80"/>
      <c r="U423" s="80"/>
      <c r="V423" s="80"/>
      <c r="W423" s="80"/>
      <c r="X423" s="80"/>
      <c r="Y423" s="80"/>
      <c r="Z423" s="80"/>
      <c r="AA423" s="81"/>
      <c r="AB423" s="81"/>
      <c r="AC423" s="81"/>
      <c r="AD423" s="81"/>
      <c r="AE423" s="81"/>
    </row>
    <row r="424">
      <c r="A424" s="16"/>
      <c r="B424" s="127"/>
      <c r="C424" s="127"/>
      <c r="D424" s="108"/>
      <c r="E424" s="109"/>
      <c r="F424" s="58"/>
      <c r="G424" s="135"/>
      <c r="H424" s="129"/>
      <c r="I424" s="129"/>
      <c r="J424" s="130" t="b">
        <v>0</v>
      </c>
      <c r="K424" s="58"/>
      <c r="L424" s="131" t="str">
        <f t="shared" si="8"/>
        <v/>
      </c>
      <c r="M424" s="130"/>
      <c r="N424" s="109"/>
      <c r="O424" s="109"/>
      <c r="P424" s="109"/>
      <c r="Q424" s="58"/>
      <c r="R424" s="126"/>
      <c r="S424" s="126"/>
      <c r="T424" s="80"/>
      <c r="U424" s="80"/>
      <c r="V424" s="80"/>
      <c r="W424" s="80"/>
      <c r="X424" s="80"/>
      <c r="Y424" s="80"/>
      <c r="Z424" s="80"/>
      <c r="AA424" s="81"/>
      <c r="AB424" s="81"/>
      <c r="AC424" s="81"/>
      <c r="AD424" s="81"/>
      <c r="AE424" s="81"/>
    </row>
    <row r="425">
      <c r="A425" s="16"/>
      <c r="B425" s="127"/>
      <c r="C425" s="127"/>
      <c r="D425" s="108"/>
      <c r="E425" s="109"/>
      <c r="F425" s="58"/>
      <c r="G425" s="135"/>
      <c r="H425" s="129"/>
      <c r="I425" s="129"/>
      <c r="J425" s="130" t="b">
        <v>0</v>
      </c>
      <c r="K425" s="58"/>
      <c r="L425" s="131" t="str">
        <f t="shared" si="8"/>
        <v/>
      </c>
      <c r="M425" s="130"/>
      <c r="N425" s="109"/>
      <c r="O425" s="109"/>
      <c r="P425" s="109"/>
      <c r="Q425" s="58"/>
      <c r="R425" s="126"/>
      <c r="S425" s="126"/>
      <c r="T425" s="80"/>
      <c r="U425" s="80"/>
      <c r="V425" s="80"/>
      <c r="W425" s="80"/>
      <c r="X425" s="80"/>
      <c r="Y425" s="80"/>
      <c r="Z425" s="80"/>
      <c r="AA425" s="81"/>
      <c r="AB425" s="81"/>
      <c r="AC425" s="81"/>
      <c r="AD425" s="81"/>
      <c r="AE425" s="81"/>
    </row>
    <row r="426">
      <c r="A426" s="16"/>
      <c r="B426" s="127"/>
      <c r="C426" s="127"/>
      <c r="D426" s="108"/>
      <c r="E426" s="109"/>
      <c r="F426" s="58"/>
      <c r="G426" s="135"/>
      <c r="H426" s="129"/>
      <c r="I426" s="129"/>
      <c r="J426" s="130" t="b">
        <v>0</v>
      </c>
      <c r="K426" s="58"/>
      <c r="L426" s="131" t="str">
        <f t="shared" si="8"/>
        <v/>
      </c>
      <c r="M426" s="130"/>
      <c r="N426" s="109"/>
      <c r="O426" s="109"/>
      <c r="P426" s="109"/>
      <c r="Q426" s="58"/>
      <c r="R426" s="126"/>
      <c r="S426" s="126"/>
      <c r="T426" s="80"/>
      <c r="U426" s="80"/>
      <c r="V426" s="80"/>
      <c r="W426" s="80"/>
      <c r="X426" s="80"/>
      <c r="Y426" s="80"/>
      <c r="Z426" s="80"/>
      <c r="AA426" s="81"/>
      <c r="AB426" s="81"/>
      <c r="AC426" s="81"/>
      <c r="AD426" s="81"/>
      <c r="AE426" s="81"/>
    </row>
    <row r="427">
      <c r="A427" s="16"/>
      <c r="B427" s="127"/>
      <c r="C427" s="127"/>
      <c r="D427" s="108"/>
      <c r="E427" s="109"/>
      <c r="F427" s="58"/>
      <c r="G427" s="135"/>
      <c r="H427" s="129"/>
      <c r="I427" s="129"/>
      <c r="J427" s="130" t="b">
        <v>0</v>
      </c>
      <c r="K427" s="58"/>
      <c r="L427" s="131" t="str">
        <f t="shared" si="8"/>
        <v/>
      </c>
      <c r="M427" s="130"/>
      <c r="N427" s="109"/>
      <c r="O427" s="109"/>
      <c r="P427" s="109"/>
      <c r="Q427" s="58"/>
      <c r="R427" s="126"/>
      <c r="S427" s="126"/>
      <c r="T427" s="80"/>
      <c r="U427" s="80"/>
      <c r="V427" s="80"/>
      <c r="W427" s="80"/>
      <c r="X427" s="80"/>
      <c r="Y427" s="80"/>
      <c r="Z427" s="80"/>
      <c r="AA427" s="81"/>
      <c r="AB427" s="81"/>
      <c r="AC427" s="81"/>
      <c r="AD427" s="81"/>
      <c r="AE427" s="81"/>
    </row>
    <row r="428">
      <c r="A428" s="16"/>
      <c r="B428" s="127"/>
      <c r="C428" s="127"/>
      <c r="D428" s="108"/>
      <c r="E428" s="109"/>
      <c r="F428" s="58"/>
      <c r="G428" s="135"/>
      <c r="H428" s="129"/>
      <c r="I428" s="129"/>
      <c r="J428" s="130" t="b">
        <v>0</v>
      </c>
      <c r="K428" s="58"/>
      <c r="L428" s="131" t="str">
        <f t="shared" si="8"/>
        <v/>
      </c>
      <c r="M428" s="130"/>
      <c r="N428" s="109"/>
      <c r="O428" s="109"/>
      <c r="P428" s="109"/>
      <c r="Q428" s="58"/>
      <c r="R428" s="126"/>
      <c r="S428" s="126"/>
      <c r="T428" s="80"/>
      <c r="U428" s="80"/>
      <c r="V428" s="80"/>
      <c r="W428" s="80"/>
      <c r="X428" s="80"/>
      <c r="Y428" s="80"/>
      <c r="Z428" s="80"/>
      <c r="AA428" s="81"/>
      <c r="AB428" s="81"/>
      <c r="AC428" s="81"/>
      <c r="AD428" s="81"/>
      <c r="AE428" s="81"/>
    </row>
    <row r="429">
      <c r="A429" s="16"/>
      <c r="B429" s="127"/>
      <c r="C429" s="127"/>
      <c r="D429" s="108"/>
      <c r="E429" s="109"/>
      <c r="F429" s="58"/>
      <c r="G429" s="135"/>
      <c r="H429" s="129"/>
      <c r="I429" s="129"/>
      <c r="J429" s="130" t="b">
        <v>0</v>
      </c>
      <c r="K429" s="58"/>
      <c r="L429" s="131" t="str">
        <f t="shared" si="8"/>
        <v/>
      </c>
      <c r="M429" s="130"/>
      <c r="N429" s="109"/>
      <c r="O429" s="109"/>
      <c r="P429" s="109"/>
      <c r="Q429" s="58"/>
      <c r="R429" s="126"/>
      <c r="S429" s="126"/>
      <c r="T429" s="80"/>
      <c r="U429" s="80"/>
      <c r="V429" s="80"/>
      <c r="W429" s="80"/>
      <c r="X429" s="80"/>
      <c r="Y429" s="80"/>
      <c r="Z429" s="80"/>
      <c r="AA429" s="81"/>
      <c r="AB429" s="81"/>
      <c r="AC429" s="81"/>
      <c r="AD429" s="81"/>
      <c r="AE429" s="81"/>
    </row>
    <row r="430">
      <c r="A430" s="16"/>
      <c r="B430" s="127"/>
      <c r="C430" s="127"/>
      <c r="D430" s="108"/>
      <c r="E430" s="109"/>
      <c r="F430" s="58"/>
      <c r="G430" s="135"/>
      <c r="H430" s="129"/>
      <c r="I430" s="129"/>
      <c r="J430" s="130" t="b">
        <v>0</v>
      </c>
      <c r="K430" s="58"/>
      <c r="L430" s="131" t="str">
        <f t="shared" si="8"/>
        <v/>
      </c>
      <c r="M430" s="130"/>
      <c r="N430" s="109"/>
      <c r="O430" s="109"/>
      <c r="P430" s="109"/>
      <c r="Q430" s="58"/>
      <c r="R430" s="126"/>
      <c r="S430" s="126"/>
      <c r="T430" s="80"/>
      <c r="U430" s="80"/>
      <c r="V430" s="80"/>
      <c r="W430" s="80"/>
      <c r="X430" s="80"/>
      <c r="Y430" s="80"/>
      <c r="Z430" s="80"/>
      <c r="AA430" s="81"/>
      <c r="AB430" s="81"/>
      <c r="AC430" s="81"/>
      <c r="AD430" s="81"/>
      <c r="AE430" s="81"/>
    </row>
    <row r="431">
      <c r="A431" s="16"/>
      <c r="B431" s="127"/>
      <c r="C431" s="127"/>
      <c r="D431" s="108"/>
      <c r="E431" s="109"/>
      <c r="F431" s="58"/>
      <c r="G431" s="135"/>
      <c r="H431" s="129"/>
      <c r="I431" s="129"/>
      <c r="J431" s="130" t="b">
        <v>0</v>
      </c>
      <c r="K431" s="58"/>
      <c r="L431" s="131" t="str">
        <f t="shared" si="8"/>
        <v/>
      </c>
      <c r="M431" s="130"/>
      <c r="N431" s="109"/>
      <c r="O431" s="109"/>
      <c r="P431" s="109"/>
      <c r="Q431" s="58"/>
      <c r="R431" s="126"/>
      <c r="S431" s="126"/>
      <c r="T431" s="80"/>
      <c r="U431" s="80"/>
      <c r="V431" s="80"/>
      <c r="W431" s="80"/>
      <c r="X431" s="80"/>
      <c r="Y431" s="80"/>
      <c r="Z431" s="80"/>
      <c r="AA431" s="81"/>
      <c r="AB431" s="81"/>
      <c r="AC431" s="81"/>
      <c r="AD431" s="81"/>
      <c r="AE431" s="81"/>
    </row>
    <row r="432">
      <c r="A432" s="16"/>
      <c r="B432" s="127"/>
      <c r="C432" s="127"/>
      <c r="D432" s="108"/>
      <c r="E432" s="109"/>
      <c r="F432" s="58"/>
      <c r="G432" s="135"/>
      <c r="H432" s="129"/>
      <c r="I432" s="129"/>
      <c r="J432" s="130" t="b">
        <v>0</v>
      </c>
      <c r="K432" s="58"/>
      <c r="L432" s="131" t="str">
        <f t="shared" si="8"/>
        <v/>
      </c>
      <c r="M432" s="130"/>
      <c r="N432" s="109"/>
      <c r="O432" s="109"/>
      <c r="P432" s="109"/>
      <c r="Q432" s="58"/>
      <c r="R432" s="126"/>
      <c r="S432" s="126"/>
      <c r="T432" s="80"/>
      <c r="U432" s="80"/>
      <c r="V432" s="80"/>
      <c r="W432" s="80"/>
      <c r="X432" s="80"/>
      <c r="Y432" s="80"/>
      <c r="Z432" s="80"/>
      <c r="AA432" s="81"/>
      <c r="AB432" s="81"/>
      <c r="AC432" s="81"/>
      <c r="AD432" s="81"/>
      <c r="AE432" s="81"/>
    </row>
    <row r="433">
      <c r="A433" s="16"/>
      <c r="B433" s="127"/>
      <c r="C433" s="127"/>
      <c r="D433" s="108"/>
      <c r="E433" s="109"/>
      <c r="F433" s="58"/>
      <c r="G433" s="135"/>
      <c r="H433" s="129"/>
      <c r="I433" s="129"/>
      <c r="J433" s="130" t="b">
        <v>0</v>
      </c>
      <c r="K433" s="58"/>
      <c r="L433" s="131" t="str">
        <f t="shared" si="8"/>
        <v/>
      </c>
      <c r="M433" s="130"/>
      <c r="N433" s="109"/>
      <c r="O433" s="109"/>
      <c r="P433" s="109"/>
      <c r="Q433" s="58"/>
      <c r="R433" s="126"/>
      <c r="S433" s="126"/>
      <c r="T433" s="80"/>
      <c r="U433" s="80"/>
      <c r="V433" s="80"/>
      <c r="W433" s="80"/>
      <c r="X433" s="80"/>
      <c r="Y433" s="80"/>
      <c r="Z433" s="80"/>
      <c r="AA433" s="81"/>
      <c r="AB433" s="81"/>
      <c r="AC433" s="81"/>
      <c r="AD433" s="81"/>
      <c r="AE433" s="81"/>
    </row>
    <row r="434">
      <c r="A434" s="16"/>
      <c r="B434" s="127"/>
      <c r="C434" s="127"/>
      <c r="D434" s="108"/>
      <c r="E434" s="109"/>
      <c r="F434" s="58"/>
      <c r="G434" s="135"/>
      <c r="H434" s="129"/>
      <c r="I434" s="129"/>
      <c r="J434" s="130" t="b">
        <v>0</v>
      </c>
      <c r="K434" s="58"/>
      <c r="L434" s="131" t="str">
        <f t="shared" si="8"/>
        <v/>
      </c>
      <c r="M434" s="130"/>
      <c r="N434" s="109"/>
      <c r="O434" s="109"/>
      <c r="P434" s="109"/>
      <c r="Q434" s="58"/>
      <c r="R434" s="126"/>
      <c r="S434" s="126"/>
      <c r="T434" s="80"/>
      <c r="U434" s="80"/>
      <c r="V434" s="80"/>
      <c r="W434" s="80"/>
      <c r="X434" s="80"/>
      <c r="Y434" s="80"/>
      <c r="Z434" s="80"/>
      <c r="AA434" s="81"/>
      <c r="AB434" s="81"/>
      <c r="AC434" s="81"/>
      <c r="AD434" s="81"/>
      <c r="AE434" s="81"/>
    </row>
    <row r="435">
      <c r="A435" s="16"/>
      <c r="B435" s="127"/>
      <c r="C435" s="127"/>
      <c r="D435" s="108"/>
      <c r="E435" s="109"/>
      <c r="F435" s="58"/>
      <c r="G435" s="135"/>
      <c r="H435" s="129"/>
      <c r="I435" s="129"/>
      <c r="J435" s="130" t="b">
        <v>0</v>
      </c>
      <c r="K435" s="58"/>
      <c r="L435" s="131" t="str">
        <f t="shared" si="8"/>
        <v/>
      </c>
      <c r="M435" s="130"/>
      <c r="N435" s="109"/>
      <c r="O435" s="109"/>
      <c r="P435" s="109"/>
      <c r="Q435" s="58"/>
      <c r="R435" s="126"/>
      <c r="S435" s="126"/>
      <c r="T435" s="80"/>
      <c r="U435" s="80"/>
      <c r="V435" s="80"/>
      <c r="W435" s="80"/>
      <c r="X435" s="80"/>
      <c r="Y435" s="80"/>
      <c r="Z435" s="80"/>
      <c r="AA435" s="81"/>
      <c r="AB435" s="81"/>
      <c r="AC435" s="81"/>
      <c r="AD435" s="81"/>
      <c r="AE435" s="81"/>
    </row>
    <row r="436">
      <c r="A436" s="16"/>
      <c r="B436" s="127"/>
      <c r="C436" s="127"/>
      <c r="D436" s="108"/>
      <c r="E436" s="109"/>
      <c r="F436" s="58"/>
      <c r="G436" s="135"/>
      <c r="H436" s="129"/>
      <c r="I436" s="129"/>
      <c r="J436" s="130" t="b">
        <v>0</v>
      </c>
      <c r="K436" s="58"/>
      <c r="L436" s="131" t="str">
        <f t="shared" si="8"/>
        <v/>
      </c>
      <c r="M436" s="130"/>
      <c r="N436" s="109"/>
      <c r="O436" s="109"/>
      <c r="P436" s="109"/>
      <c r="Q436" s="58"/>
      <c r="R436" s="126"/>
      <c r="S436" s="126"/>
      <c r="T436" s="80"/>
      <c r="U436" s="80"/>
      <c r="V436" s="80"/>
      <c r="W436" s="80"/>
      <c r="X436" s="80"/>
      <c r="Y436" s="80"/>
      <c r="Z436" s="80"/>
      <c r="AA436" s="81"/>
      <c r="AB436" s="81"/>
      <c r="AC436" s="81"/>
      <c r="AD436" s="81"/>
      <c r="AE436" s="81"/>
    </row>
    <row r="437">
      <c r="A437" s="16"/>
      <c r="B437" s="127"/>
      <c r="C437" s="127"/>
      <c r="D437" s="108"/>
      <c r="E437" s="109"/>
      <c r="F437" s="58"/>
      <c r="G437" s="135"/>
      <c r="H437" s="129"/>
      <c r="I437" s="129"/>
      <c r="J437" s="130" t="b">
        <v>0</v>
      </c>
      <c r="K437" s="58"/>
      <c r="L437" s="131" t="str">
        <f t="shared" si="8"/>
        <v/>
      </c>
      <c r="M437" s="130"/>
      <c r="N437" s="109"/>
      <c r="O437" s="109"/>
      <c r="P437" s="109"/>
      <c r="Q437" s="58"/>
      <c r="R437" s="126"/>
      <c r="S437" s="126"/>
      <c r="T437" s="80"/>
      <c r="U437" s="80"/>
      <c r="V437" s="80"/>
      <c r="W437" s="80"/>
      <c r="X437" s="80"/>
      <c r="Y437" s="80"/>
      <c r="Z437" s="80"/>
      <c r="AA437" s="81"/>
      <c r="AB437" s="81"/>
      <c r="AC437" s="81"/>
      <c r="AD437" s="81"/>
      <c r="AE437" s="81"/>
    </row>
    <row r="438">
      <c r="A438" s="16"/>
      <c r="B438" s="127"/>
      <c r="C438" s="127"/>
      <c r="D438" s="108"/>
      <c r="E438" s="109"/>
      <c r="F438" s="58"/>
      <c r="G438" s="135"/>
      <c r="H438" s="129"/>
      <c r="I438" s="129"/>
      <c r="J438" s="130" t="b">
        <v>0</v>
      </c>
      <c r="K438" s="58"/>
      <c r="L438" s="131" t="str">
        <f t="shared" si="8"/>
        <v/>
      </c>
      <c r="M438" s="130"/>
      <c r="N438" s="109"/>
      <c r="O438" s="109"/>
      <c r="P438" s="109"/>
      <c r="Q438" s="58"/>
      <c r="R438" s="126"/>
      <c r="S438" s="126"/>
      <c r="T438" s="80"/>
      <c r="U438" s="80"/>
      <c r="V438" s="80"/>
      <c r="W438" s="80"/>
      <c r="X438" s="80"/>
      <c r="Y438" s="80"/>
      <c r="Z438" s="80"/>
      <c r="AA438" s="81"/>
      <c r="AB438" s="81"/>
      <c r="AC438" s="81"/>
      <c r="AD438" s="81"/>
      <c r="AE438" s="81"/>
    </row>
    <row r="439">
      <c r="A439" s="16"/>
      <c r="B439" s="127"/>
      <c r="C439" s="127"/>
      <c r="D439" s="108"/>
      <c r="E439" s="109"/>
      <c r="F439" s="58"/>
      <c r="G439" s="135"/>
      <c r="H439" s="129"/>
      <c r="I439" s="129"/>
      <c r="J439" s="130" t="b">
        <v>0</v>
      </c>
      <c r="K439" s="58"/>
      <c r="L439" s="131" t="str">
        <f t="shared" si="8"/>
        <v/>
      </c>
      <c r="M439" s="130"/>
      <c r="N439" s="109"/>
      <c r="O439" s="109"/>
      <c r="P439" s="109"/>
      <c r="Q439" s="58"/>
      <c r="R439" s="126"/>
      <c r="S439" s="126"/>
      <c r="T439" s="80"/>
      <c r="U439" s="80"/>
      <c r="V439" s="80"/>
      <c r="W439" s="80"/>
      <c r="X439" s="80"/>
      <c r="Y439" s="80"/>
      <c r="Z439" s="80"/>
      <c r="AA439" s="81"/>
      <c r="AB439" s="81"/>
      <c r="AC439" s="81"/>
      <c r="AD439" s="81"/>
      <c r="AE439" s="81"/>
    </row>
    <row r="440">
      <c r="A440" s="16"/>
      <c r="B440" s="127"/>
      <c r="C440" s="127"/>
      <c r="D440" s="108"/>
      <c r="E440" s="109"/>
      <c r="F440" s="58"/>
      <c r="G440" s="135"/>
      <c r="H440" s="129"/>
      <c r="I440" s="129"/>
      <c r="J440" s="130" t="b">
        <v>0</v>
      </c>
      <c r="K440" s="58"/>
      <c r="L440" s="131" t="str">
        <f t="shared" si="8"/>
        <v/>
      </c>
      <c r="M440" s="130"/>
      <c r="N440" s="109"/>
      <c r="O440" s="109"/>
      <c r="P440" s="109"/>
      <c r="Q440" s="58"/>
      <c r="R440" s="126"/>
      <c r="S440" s="126"/>
      <c r="T440" s="80"/>
      <c r="U440" s="80"/>
      <c r="V440" s="80"/>
      <c r="W440" s="80"/>
      <c r="X440" s="80"/>
      <c r="Y440" s="80"/>
      <c r="Z440" s="80"/>
      <c r="AA440" s="81"/>
      <c r="AB440" s="81"/>
      <c r="AC440" s="81"/>
      <c r="AD440" s="81"/>
      <c r="AE440" s="81"/>
    </row>
    <row r="441">
      <c r="A441" s="16"/>
      <c r="B441" s="127"/>
      <c r="C441" s="127"/>
      <c r="D441" s="108"/>
      <c r="E441" s="109"/>
      <c r="F441" s="58"/>
      <c r="G441" s="135"/>
      <c r="H441" s="129"/>
      <c r="I441" s="129"/>
      <c r="J441" s="130" t="b">
        <v>0</v>
      </c>
      <c r="K441" s="58"/>
      <c r="L441" s="131" t="str">
        <f t="shared" si="8"/>
        <v/>
      </c>
      <c r="M441" s="130"/>
      <c r="N441" s="109"/>
      <c r="O441" s="109"/>
      <c r="P441" s="109"/>
      <c r="Q441" s="58"/>
      <c r="R441" s="126"/>
      <c r="S441" s="126"/>
      <c r="T441" s="80"/>
      <c r="U441" s="80"/>
      <c r="V441" s="80"/>
      <c r="W441" s="80"/>
      <c r="X441" s="80"/>
      <c r="Y441" s="80"/>
      <c r="Z441" s="80"/>
      <c r="AA441" s="81"/>
      <c r="AB441" s="81"/>
      <c r="AC441" s="81"/>
      <c r="AD441" s="81"/>
      <c r="AE441" s="81"/>
    </row>
    <row r="442">
      <c r="A442" s="16"/>
      <c r="B442" s="127"/>
      <c r="C442" s="127"/>
      <c r="D442" s="108"/>
      <c r="E442" s="109"/>
      <c r="F442" s="58"/>
      <c r="G442" s="135"/>
      <c r="H442" s="129"/>
      <c r="I442" s="129"/>
      <c r="J442" s="130" t="b">
        <v>0</v>
      </c>
      <c r="K442" s="58"/>
      <c r="L442" s="131" t="str">
        <f t="shared" si="8"/>
        <v/>
      </c>
      <c r="M442" s="130"/>
      <c r="N442" s="109"/>
      <c r="O442" s="109"/>
      <c r="P442" s="109"/>
      <c r="Q442" s="58"/>
      <c r="R442" s="126"/>
      <c r="S442" s="126"/>
      <c r="T442" s="80"/>
      <c r="U442" s="80"/>
      <c r="V442" s="80"/>
      <c r="W442" s="80"/>
      <c r="X442" s="80"/>
      <c r="Y442" s="80"/>
      <c r="Z442" s="80"/>
      <c r="AA442" s="81"/>
      <c r="AB442" s="81"/>
      <c r="AC442" s="81"/>
      <c r="AD442" s="81"/>
      <c r="AE442" s="81"/>
    </row>
    <row r="443">
      <c r="A443" s="16"/>
      <c r="B443" s="127"/>
      <c r="C443" s="127"/>
      <c r="D443" s="108"/>
      <c r="E443" s="109"/>
      <c r="F443" s="58"/>
      <c r="G443" s="135"/>
      <c r="H443" s="129"/>
      <c r="I443" s="129"/>
      <c r="J443" s="130" t="b">
        <v>0</v>
      </c>
      <c r="K443" s="58"/>
      <c r="L443" s="131" t="str">
        <f t="shared" si="8"/>
        <v/>
      </c>
      <c r="M443" s="130"/>
      <c r="N443" s="109"/>
      <c r="O443" s="109"/>
      <c r="P443" s="109"/>
      <c r="Q443" s="58"/>
      <c r="R443" s="126"/>
      <c r="S443" s="126"/>
      <c r="T443" s="80"/>
      <c r="U443" s="80"/>
      <c r="V443" s="80"/>
      <c r="W443" s="80"/>
      <c r="X443" s="80"/>
      <c r="Y443" s="80"/>
      <c r="Z443" s="80"/>
      <c r="AA443" s="81"/>
      <c r="AB443" s="81"/>
      <c r="AC443" s="81"/>
      <c r="AD443" s="81"/>
      <c r="AE443" s="81"/>
    </row>
    <row r="444">
      <c r="A444" s="16"/>
      <c r="B444" s="127"/>
      <c r="C444" s="127"/>
      <c r="D444" s="108"/>
      <c r="E444" s="109"/>
      <c r="F444" s="58"/>
      <c r="G444" s="135"/>
      <c r="H444" s="129"/>
      <c r="I444" s="129"/>
      <c r="J444" s="130" t="b">
        <v>0</v>
      </c>
      <c r="K444" s="58"/>
      <c r="L444" s="131" t="str">
        <f t="shared" si="8"/>
        <v/>
      </c>
      <c r="M444" s="130"/>
      <c r="N444" s="109"/>
      <c r="O444" s="109"/>
      <c r="P444" s="109"/>
      <c r="Q444" s="58"/>
      <c r="R444" s="126"/>
      <c r="S444" s="126"/>
      <c r="T444" s="80"/>
      <c r="U444" s="80"/>
      <c r="V444" s="80"/>
      <c r="W444" s="80"/>
      <c r="X444" s="80"/>
      <c r="Y444" s="80"/>
      <c r="Z444" s="80"/>
      <c r="AA444" s="81"/>
      <c r="AB444" s="81"/>
      <c r="AC444" s="81"/>
      <c r="AD444" s="81"/>
      <c r="AE444" s="81"/>
    </row>
    <row r="445">
      <c r="A445" s="16"/>
      <c r="B445" s="127"/>
      <c r="C445" s="127"/>
      <c r="D445" s="108"/>
      <c r="E445" s="109"/>
      <c r="F445" s="58"/>
      <c r="G445" s="135"/>
      <c r="H445" s="129"/>
      <c r="I445" s="129"/>
      <c r="J445" s="130" t="b">
        <v>0</v>
      </c>
      <c r="K445" s="58"/>
      <c r="L445" s="131" t="str">
        <f t="shared" si="8"/>
        <v/>
      </c>
      <c r="M445" s="130"/>
      <c r="N445" s="109"/>
      <c r="O445" s="109"/>
      <c r="P445" s="109"/>
      <c r="Q445" s="58"/>
      <c r="R445" s="126"/>
      <c r="S445" s="126"/>
      <c r="T445" s="80"/>
      <c r="U445" s="80"/>
      <c r="V445" s="80"/>
      <c r="W445" s="80"/>
      <c r="X445" s="80"/>
      <c r="Y445" s="80"/>
      <c r="Z445" s="80"/>
      <c r="AA445" s="81"/>
      <c r="AB445" s="81"/>
      <c r="AC445" s="81"/>
      <c r="AD445" s="81"/>
      <c r="AE445" s="81"/>
    </row>
    <row r="446">
      <c r="A446" s="16"/>
      <c r="B446" s="127"/>
      <c r="C446" s="127"/>
      <c r="D446" s="108"/>
      <c r="E446" s="109"/>
      <c r="F446" s="58"/>
      <c r="G446" s="135"/>
      <c r="H446" s="129"/>
      <c r="I446" s="129"/>
      <c r="J446" s="130" t="b">
        <v>0</v>
      </c>
      <c r="K446" s="58"/>
      <c r="L446" s="131" t="str">
        <f t="shared" si="8"/>
        <v/>
      </c>
      <c r="M446" s="130"/>
      <c r="N446" s="109"/>
      <c r="O446" s="109"/>
      <c r="P446" s="109"/>
      <c r="Q446" s="58"/>
      <c r="R446" s="126"/>
      <c r="S446" s="126"/>
      <c r="T446" s="80"/>
      <c r="U446" s="80"/>
      <c r="V446" s="80"/>
      <c r="W446" s="80"/>
      <c r="X446" s="80"/>
      <c r="Y446" s="80"/>
      <c r="Z446" s="80"/>
      <c r="AA446" s="81"/>
      <c r="AB446" s="81"/>
      <c r="AC446" s="81"/>
      <c r="AD446" s="81"/>
      <c r="AE446" s="81"/>
    </row>
    <row r="447">
      <c r="A447" s="16"/>
      <c r="B447" s="127"/>
      <c r="C447" s="127"/>
      <c r="D447" s="108"/>
      <c r="E447" s="109"/>
      <c r="F447" s="58"/>
      <c r="G447" s="135"/>
      <c r="H447" s="129"/>
      <c r="I447" s="129"/>
      <c r="J447" s="130" t="b">
        <v>0</v>
      </c>
      <c r="K447" s="58"/>
      <c r="L447" s="131" t="str">
        <f t="shared" si="8"/>
        <v/>
      </c>
      <c r="M447" s="130"/>
      <c r="N447" s="109"/>
      <c r="O447" s="109"/>
      <c r="P447" s="109"/>
      <c r="Q447" s="58"/>
      <c r="R447" s="126"/>
      <c r="S447" s="126"/>
      <c r="T447" s="80"/>
      <c r="U447" s="80"/>
      <c r="V447" s="80"/>
      <c r="W447" s="80"/>
      <c r="X447" s="80"/>
      <c r="Y447" s="80"/>
      <c r="Z447" s="80"/>
      <c r="AA447" s="81"/>
      <c r="AB447" s="81"/>
      <c r="AC447" s="81"/>
      <c r="AD447" s="81"/>
      <c r="AE447" s="81"/>
    </row>
    <row r="448">
      <c r="A448" s="16"/>
      <c r="B448" s="127"/>
      <c r="C448" s="127"/>
      <c r="D448" s="108"/>
      <c r="E448" s="109"/>
      <c r="F448" s="58"/>
      <c r="G448" s="135"/>
      <c r="H448" s="129"/>
      <c r="I448" s="129"/>
      <c r="J448" s="130" t="b">
        <v>0</v>
      </c>
      <c r="K448" s="58"/>
      <c r="L448" s="131" t="str">
        <f t="shared" si="8"/>
        <v/>
      </c>
      <c r="M448" s="130"/>
      <c r="N448" s="109"/>
      <c r="O448" s="109"/>
      <c r="P448" s="109"/>
      <c r="Q448" s="58"/>
      <c r="R448" s="126"/>
      <c r="S448" s="126"/>
      <c r="T448" s="80"/>
      <c r="U448" s="80"/>
      <c r="V448" s="80"/>
      <c r="W448" s="80"/>
      <c r="X448" s="80"/>
      <c r="Y448" s="80"/>
      <c r="Z448" s="80"/>
      <c r="AA448" s="81"/>
      <c r="AB448" s="81"/>
      <c r="AC448" s="81"/>
      <c r="AD448" s="81"/>
      <c r="AE448" s="81"/>
    </row>
    <row r="449">
      <c r="A449" s="16"/>
      <c r="B449" s="127"/>
      <c r="C449" s="127"/>
      <c r="D449" s="108"/>
      <c r="E449" s="109"/>
      <c r="F449" s="58"/>
      <c r="G449" s="135"/>
      <c r="H449" s="129"/>
      <c r="I449" s="129"/>
      <c r="J449" s="130" t="b">
        <v>0</v>
      </c>
      <c r="K449" s="58"/>
      <c r="L449" s="131" t="str">
        <f t="shared" si="8"/>
        <v/>
      </c>
      <c r="M449" s="130"/>
      <c r="N449" s="109"/>
      <c r="O449" s="109"/>
      <c r="P449" s="109"/>
      <c r="Q449" s="58"/>
      <c r="R449" s="126"/>
      <c r="S449" s="126"/>
      <c r="T449" s="80"/>
      <c r="U449" s="80"/>
      <c r="V449" s="80"/>
      <c r="W449" s="80"/>
      <c r="X449" s="80"/>
      <c r="Y449" s="80"/>
      <c r="Z449" s="80"/>
      <c r="AA449" s="81"/>
      <c r="AB449" s="81"/>
      <c r="AC449" s="81"/>
      <c r="AD449" s="81"/>
      <c r="AE449" s="81"/>
    </row>
    <row r="450">
      <c r="A450" s="16"/>
      <c r="B450" s="127"/>
      <c r="C450" s="127"/>
      <c r="D450" s="108"/>
      <c r="E450" s="109"/>
      <c r="F450" s="58"/>
      <c r="G450" s="135"/>
      <c r="H450" s="129"/>
      <c r="I450" s="129"/>
      <c r="J450" s="130" t="b">
        <v>0</v>
      </c>
      <c r="K450" s="58"/>
      <c r="L450" s="131" t="str">
        <f t="shared" si="8"/>
        <v/>
      </c>
      <c r="M450" s="130"/>
      <c r="N450" s="109"/>
      <c r="O450" s="109"/>
      <c r="P450" s="109"/>
      <c r="Q450" s="58"/>
      <c r="R450" s="126"/>
      <c r="S450" s="126"/>
      <c r="T450" s="80"/>
      <c r="U450" s="80"/>
      <c r="V450" s="80"/>
      <c r="W450" s="80"/>
      <c r="X450" s="80"/>
      <c r="Y450" s="80"/>
      <c r="Z450" s="80"/>
      <c r="AA450" s="81"/>
      <c r="AB450" s="81"/>
      <c r="AC450" s="81"/>
      <c r="AD450" s="81"/>
      <c r="AE450" s="81"/>
    </row>
    <row r="451">
      <c r="A451" s="16"/>
      <c r="B451" s="127"/>
      <c r="C451" s="127"/>
      <c r="D451" s="108"/>
      <c r="E451" s="109"/>
      <c r="F451" s="58"/>
      <c r="G451" s="135"/>
      <c r="H451" s="129"/>
      <c r="I451" s="129"/>
      <c r="J451" s="130" t="b">
        <v>0</v>
      </c>
      <c r="K451" s="58"/>
      <c r="L451" s="131" t="str">
        <f t="shared" si="8"/>
        <v/>
      </c>
      <c r="M451" s="130"/>
      <c r="N451" s="109"/>
      <c r="O451" s="109"/>
      <c r="P451" s="109"/>
      <c r="Q451" s="58"/>
      <c r="R451" s="126"/>
      <c r="S451" s="126"/>
      <c r="T451" s="80"/>
      <c r="U451" s="80"/>
      <c r="V451" s="80"/>
      <c r="W451" s="80"/>
      <c r="X451" s="80"/>
      <c r="Y451" s="80"/>
      <c r="Z451" s="80"/>
      <c r="AA451" s="81"/>
      <c r="AB451" s="81"/>
      <c r="AC451" s="81"/>
      <c r="AD451" s="81"/>
      <c r="AE451" s="81"/>
    </row>
    <row r="452">
      <c r="A452" s="16"/>
      <c r="B452" s="127"/>
      <c r="C452" s="127"/>
      <c r="D452" s="108"/>
      <c r="E452" s="109"/>
      <c r="F452" s="58"/>
      <c r="G452" s="135"/>
      <c r="H452" s="129"/>
      <c r="I452" s="129"/>
      <c r="J452" s="130" t="b">
        <v>0</v>
      </c>
      <c r="K452" s="58"/>
      <c r="L452" s="131" t="str">
        <f t="shared" si="8"/>
        <v/>
      </c>
      <c r="M452" s="130"/>
      <c r="N452" s="109"/>
      <c r="O452" s="109"/>
      <c r="P452" s="109"/>
      <c r="Q452" s="58"/>
      <c r="R452" s="126"/>
      <c r="S452" s="126"/>
      <c r="T452" s="80"/>
      <c r="U452" s="80"/>
      <c r="V452" s="80"/>
      <c r="W452" s="80"/>
      <c r="X452" s="80"/>
      <c r="Y452" s="80"/>
      <c r="Z452" s="80"/>
      <c r="AA452" s="81"/>
      <c r="AB452" s="81"/>
      <c r="AC452" s="81"/>
      <c r="AD452" s="81"/>
      <c r="AE452" s="81"/>
    </row>
    <row r="453">
      <c r="A453" s="16"/>
      <c r="B453" s="127"/>
      <c r="C453" s="127"/>
      <c r="D453" s="108"/>
      <c r="E453" s="109"/>
      <c r="F453" s="58"/>
      <c r="G453" s="135"/>
      <c r="H453" s="129"/>
      <c r="I453" s="129"/>
      <c r="J453" s="130" t="b">
        <v>0</v>
      </c>
      <c r="K453" s="58"/>
      <c r="L453" s="131" t="str">
        <f t="shared" si="8"/>
        <v/>
      </c>
      <c r="M453" s="130"/>
      <c r="N453" s="109"/>
      <c r="O453" s="109"/>
      <c r="P453" s="109"/>
      <c r="Q453" s="58"/>
      <c r="R453" s="126"/>
      <c r="S453" s="126"/>
      <c r="T453" s="80"/>
      <c r="U453" s="80"/>
      <c r="V453" s="80"/>
      <c r="W453" s="80"/>
      <c r="X453" s="80"/>
      <c r="Y453" s="80"/>
      <c r="Z453" s="80"/>
      <c r="AA453" s="81"/>
      <c r="AB453" s="81"/>
      <c r="AC453" s="81"/>
      <c r="AD453" s="81"/>
      <c r="AE453" s="81"/>
    </row>
    <row r="454">
      <c r="A454" s="16"/>
      <c r="B454" s="127"/>
      <c r="C454" s="127"/>
      <c r="D454" s="108"/>
      <c r="E454" s="109"/>
      <c r="F454" s="58"/>
      <c r="G454" s="135"/>
      <c r="H454" s="129"/>
      <c r="I454" s="129"/>
      <c r="J454" s="130" t="b">
        <v>0</v>
      </c>
      <c r="K454" s="58"/>
      <c r="L454" s="131" t="str">
        <f t="shared" si="8"/>
        <v/>
      </c>
      <c r="M454" s="130"/>
      <c r="N454" s="109"/>
      <c r="O454" s="109"/>
      <c r="P454" s="109"/>
      <c r="Q454" s="58"/>
      <c r="R454" s="126"/>
      <c r="S454" s="126"/>
      <c r="T454" s="80"/>
      <c r="U454" s="80"/>
      <c r="V454" s="80"/>
      <c r="W454" s="80"/>
      <c r="X454" s="80"/>
      <c r="Y454" s="80"/>
      <c r="Z454" s="80"/>
      <c r="AA454" s="81"/>
      <c r="AB454" s="81"/>
      <c r="AC454" s="81"/>
      <c r="AD454" s="81"/>
      <c r="AE454" s="81"/>
    </row>
    <row r="455">
      <c r="A455" s="16"/>
      <c r="B455" s="127"/>
      <c r="C455" s="127"/>
      <c r="D455" s="108"/>
      <c r="E455" s="109"/>
      <c r="F455" s="58"/>
      <c r="G455" s="135"/>
      <c r="H455" s="129"/>
      <c r="I455" s="129"/>
      <c r="J455" s="130" t="b">
        <v>0</v>
      </c>
      <c r="K455" s="58"/>
      <c r="L455" s="131" t="str">
        <f t="shared" si="8"/>
        <v/>
      </c>
      <c r="M455" s="130"/>
      <c r="N455" s="109"/>
      <c r="O455" s="109"/>
      <c r="P455" s="109"/>
      <c r="Q455" s="58"/>
      <c r="R455" s="126"/>
      <c r="S455" s="126"/>
      <c r="T455" s="80"/>
      <c r="U455" s="80"/>
      <c r="V455" s="80"/>
      <c r="W455" s="80"/>
      <c r="X455" s="80"/>
      <c r="Y455" s="80"/>
      <c r="Z455" s="80"/>
      <c r="AA455" s="81"/>
      <c r="AB455" s="81"/>
      <c r="AC455" s="81"/>
      <c r="AD455" s="81"/>
      <c r="AE455" s="81"/>
    </row>
    <row r="456">
      <c r="A456" s="16"/>
      <c r="B456" s="127"/>
      <c r="C456" s="127"/>
      <c r="D456" s="108"/>
      <c r="E456" s="109"/>
      <c r="F456" s="58"/>
      <c r="G456" s="135"/>
      <c r="H456" s="129"/>
      <c r="I456" s="129"/>
      <c r="J456" s="130" t="b">
        <v>0</v>
      </c>
      <c r="K456" s="58"/>
      <c r="L456" s="131" t="str">
        <f t="shared" si="8"/>
        <v/>
      </c>
      <c r="M456" s="130"/>
      <c r="N456" s="109"/>
      <c r="O456" s="109"/>
      <c r="P456" s="109"/>
      <c r="Q456" s="58"/>
      <c r="R456" s="126"/>
      <c r="S456" s="126"/>
      <c r="T456" s="80"/>
      <c r="U456" s="80"/>
      <c r="V456" s="80"/>
      <c r="W456" s="80"/>
      <c r="X456" s="80"/>
      <c r="Y456" s="80"/>
      <c r="Z456" s="80"/>
      <c r="AA456" s="81"/>
      <c r="AB456" s="81"/>
      <c r="AC456" s="81"/>
      <c r="AD456" s="81"/>
      <c r="AE456" s="81"/>
    </row>
    <row r="457">
      <c r="A457" s="16"/>
      <c r="B457" s="127"/>
      <c r="C457" s="127"/>
      <c r="D457" s="108"/>
      <c r="E457" s="109"/>
      <c r="F457" s="58"/>
      <c r="G457" s="135"/>
      <c r="H457" s="129"/>
      <c r="I457" s="129"/>
      <c r="J457" s="130" t="b">
        <v>0</v>
      </c>
      <c r="K457" s="58"/>
      <c r="L457" s="131" t="str">
        <f t="shared" si="8"/>
        <v/>
      </c>
      <c r="M457" s="130"/>
      <c r="N457" s="109"/>
      <c r="O457" s="109"/>
      <c r="P457" s="109"/>
      <c r="Q457" s="58"/>
      <c r="R457" s="126"/>
      <c r="S457" s="126"/>
      <c r="T457" s="80"/>
      <c r="U457" s="80"/>
      <c r="V457" s="80"/>
      <c r="W457" s="80"/>
      <c r="X457" s="80"/>
      <c r="Y457" s="80"/>
      <c r="Z457" s="80"/>
      <c r="AA457" s="81"/>
      <c r="AB457" s="81"/>
      <c r="AC457" s="81"/>
      <c r="AD457" s="81"/>
      <c r="AE457" s="81"/>
    </row>
    <row r="458">
      <c r="A458" s="16"/>
      <c r="B458" s="127"/>
      <c r="C458" s="127"/>
      <c r="D458" s="108"/>
      <c r="E458" s="109"/>
      <c r="F458" s="58"/>
      <c r="G458" s="135"/>
      <c r="H458" s="129"/>
      <c r="I458" s="129"/>
      <c r="J458" s="130" t="b">
        <v>0</v>
      </c>
      <c r="K458" s="58"/>
      <c r="L458" s="131" t="str">
        <f t="shared" si="8"/>
        <v/>
      </c>
      <c r="M458" s="130"/>
      <c r="N458" s="109"/>
      <c r="O458" s="109"/>
      <c r="P458" s="109"/>
      <c r="Q458" s="58"/>
      <c r="R458" s="126"/>
      <c r="S458" s="126"/>
      <c r="T458" s="80"/>
      <c r="U458" s="80"/>
      <c r="V458" s="80"/>
      <c r="W458" s="80"/>
      <c r="X458" s="80"/>
      <c r="Y458" s="80"/>
      <c r="Z458" s="80"/>
      <c r="AA458" s="81"/>
      <c r="AB458" s="81"/>
      <c r="AC458" s="81"/>
      <c r="AD458" s="81"/>
      <c r="AE458" s="81"/>
    </row>
    <row r="459">
      <c r="A459" s="16"/>
      <c r="B459" s="127"/>
      <c r="C459" s="127"/>
      <c r="D459" s="108"/>
      <c r="E459" s="109"/>
      <c r="F459" s="58"/>
      <c r="G459" s="135"/>
      <c r="H459" s="129"/>
      <c r="I459" s="129"/>
      <c r="J459" s="130" t="b">
        <v>0</v>
      </c>
      <c r="K459" s="58"/>
      <c r="L459" s="131" t="str">
        <f t="shared" si="8"/>
        <v/>
      </c>
      <c r="M459" s="130"/>
      <c r="N459" s="109"/>
      <c r="O459" s="109"/>
      <c r="P459" s="109"/>
      <c r="Q459" s="58"/>
      <c r="R459" s="126"/>
      <c r="S459" s="126"/>
      <c r="T459" s="80"/>
      <c r="U459" s="80"/>
      <c r="V459" s="80"/>
      <c r="W459" s="80"/>
      <c r="X459" s="80"/>
      <c r="Y459" s="80"/>
      <c r="Z459" s="80"/>
      <c r="AA459" s="81"/>
      <c r="AB459" s="81"/>
      <c r="AC459" s="81"/>
      <c r="AD459" s="81"/>
      <c r="AE459" s="81"/>
    </row>
    <row r="460">
      <c r="A460" s="16"/>
      <c r="B460" s="127"/>
      <c r="C460" s="127"/>
      <c r="D460" s="108"/>
      <c r="E460" s="109"/>
      <c r="F460" s="58"/>
      <c r="G460" s="135"/>
      <c r="H460" s="129"/>
      <c r="I460" s="129"/>
      <c r="J460" s="130" t="b">
        <v>0</v>
      </c>
      <c r="K460" s="58"/>
      <c r="L460" s="131" t="str">
        <f t="shared" si="8"/>
        <v/>
      </c>
      <c r="M460" s="130"/>
      <c r="N460" s="109"/>
      <c r="O460" s="109"/>
      <c r="P460" s="109"/>
      <c r="Q460" s="58"/>
      <c r="R460" s="126"/>
      <c r="S460" s="126"/>
      <c r="T460" s="80"/>
      <c r="U460" s="80"/>
      <c r="V460" s="80"/>
      <c r="W460" s="80"/>
      <c r="X460" s="80"/>
      <c r="Y460" s="80"/>
      <c r="Z460" s="80"/>
      <c r="AA460" s="81"/>
      <c r="AB460" s="81"/>
      <c r="AC460" s="81"/>
      <c r="AD460" s="81"/>
      <c r="AE460" s="81"/>
    </row>
    <row r="461">
      <c r="A461" s="16"/>
      <c r="B461" s="127"/>
      <c r="C461" s="127"/>
      <c r="D461" s="108"/>
      <c r="E461" s="109"/>
      <c r="F461" s="58"/>
      <c r="G461" s="135"/>
      <c r="H461" s="129"/>
      <c r="I461" s="129"/>
      <c r="J461" s="130" t="b">
        <v>0</v>
      </c>
      <c r="K461" s="58"/>
      <c r="L461" s="131" t="str">
        <f t="shared" si="8"/>
        <v/>
      </c>
      <c r="M461" s="130"/>
      <c r="N461" s="109"/>
      <c r="O461" s="109"/>
      <c r="P461" s="109"/>
      <c r="Q461" s="58"/>
      <c r="R461" s="126"/>
      <c r="S461" s="126"/>
      <c r="T461" s="80"/>
      <c r="U461" s="80"/>
      <c r="V461" s="80"/>
      <c r="W461" s="80"/>
      <c r="X461" s="80"/>
      <c r="Y461" s="80"/>
      <c r="Z461" s="80"/>
      <c r="AA461" s="81"/>
      <c r="AB461" s="81"/>
      <c r="AC461" s="81"/>
      <c r="AD461" s="81"/>
      <c r="AE461" s="81"/>
    </row>
    <row r="462">
      <c r="A462" s="16"/>
      <c r="B462" s="127"/>
      <c r="C462" s="127"/>
      <c r="D462" s="108"/>
      <c r="E462" s="109"/>
      <c r="F462" s="58"/>
      <c r="G462" s="135"/>
      <c r="H462" s="129"/>
      <c r="I462" s="129"/>
      <c r="J462" s="130" t="b">
        <v>0</v>
      </c>
      <c r="K462" s="58"/>
      <c r="L462" s="131" t="str">
        <f t="shared" si="8"/>
        <v/>
      </c>
      <c r="M462" s="130"/>
      <c r="N462" s="109"/>
      <c r="O462" s="109"/>
      <c r="P462" s="109"/>
      <c r="Q462" s="58"/>
      <c r="R462" s="126"/>
      <c r="S462" s="126"/>
      <c r="T462" s="80"/>
      <c r="U462" s="80"/>
      <c r="V462" s="80"/>
      <c r="W462" s="80"/>
      <c r="X462" s="80"/>
      <c r="Y462" s="80"/>
      <c r="Z462" s="80"/>
      <c r="AA462" s="81"/>
      <c r="AB462" s="81"/>
      <c r="AC462" s="81"/>
      <c r="AD462" s="81"/>
      <c r="AE462" s="81"/>
    </row>
    <row r="463">
      <c r="A463" s="16"/>
      <c r="B463" s="127"/>
      <c r="C463" s="127"/>
      <c r="D463" s="108"/>
      <c r="E463" s="109"/>
      <c r="F463" s="58"/>
      <c r="G463" s="135"/>
      <c r="H463" s="129"/>
      <c r="I463" s="129"/>
      <c r="J463" s="130" t="b">
        <v>0</v>
      </c>
      <c r="K463" s="58"/>
      <c r="L463" s="131" t="str">
        <f t="shared" si="8"/>
        <v/>
      </c>
      <c r="M463" s="130"/>
      <c r="N463" s="109"/>
      <c r="O463" s="109"/>
      <c r="P463" s="109"/>
      <c r="Q463" s="58"/>
      <c r="R463" s="126"/>
      <c r="S463" s="126"/>
      <c r="T463" s="80"/>
      <c r="U463" s="80"/>
      <c r="V463" s="80"/>
      <c r="W463" s="80"/>
      <c r="X463" s="80"/>
      <c r="Y463" s="80"/>
      <c r="Z463" s="80"/>
      <c r="AA463" s="81"/>
      <c r="AB463" s="81"/>
      <c r="AC463" s="81"/>
      <c r="AD463" s="81"/>
      <c r="AE463" s="81"/>
    </row>
    <row r="464">
      <c r="A464" s="16"/>
      <c r="B464" s="127"/>
      <c r="C464" s="127"/>
      <c r="D464" s="108"/>
      <c r="E464" s="109"/>
      <c r="F464" s="58"/>
      <c r="G464" s="135"/>
      <c r="H464" s="129"/>
      <c r="I464" s="129"/>
      <c r="J464" s="130" t="b">
        <v>0</v>
      </c>
      <c r="K464" s="58"/>
      <c r="L464" s="131" t="str">
        <f t="shared" si="8"/>
        <v/>
      </c>
      <c r="M464" s="130"/>
      <c r="N464" s="109"/>
      <c r="O464" s="109"/>
      <c r="P464" s="109"/>
      <c r="Q464" s="58"/>
      <c r="R464" s="126"/>
      <c r="S464" s="126"/>
      <c r="T464" s="80"/>
      <c r="U464" s="80"/>
      <c r="V464" s="80"/>
      <c r="W464" s="80"/>
      <c r="X464" s="80"/>
      <c r="Y464" s="80"/>
      <c r="Z464" s="80"/>
      <c r="AA464" s="81"/>
      <c r="AB464" s="81"/>
      <c r="AC464" s="81"/>
      <c r="AD464" s="81"/>
      <c r="AE464" s="81"/>
    </row>
    <row r="465">
      <c r="A465" s="16"/>
      <c r="B465" s="127"/>
      <c r="C465" s="127"/>
      <c r="D465" s="108"/>
      <c r="E465" s="109"/>
      <c r="F465" s="58"/>
      <c r="G465" s="135"/>
      <c r="H465" s="129"/>
      <c r="I465" s="129"/>
      <c r="J465" s="130" t="b">
        <v>0</v>
      </c>
      <c r="K465" s="58"/>
      <c r="L465" s="131" t="str">
        <f t="shared" si="8"/>
        <v/>
      </c>
      <c r="M465" s="130"/>
      <c r="N465" s="109"/>
      <c r="O465" s="109"/>
      <c r="P465" s="109"/>
      <c r="Q465" s="58"/>
      <c r="R465" s="126"/>
      <c r="S465" s="126"/>
      <c r="T465" s="80"/>
      <c r="U465" s="80"/>
      <c r="V465" s="80"/>
      <c r="W465" s="80"/>
      <c r="X465" s="80"/>
      <c r="Y465" s="80"/>
      <c r="Z465" s="80"/>
      <c r="AA465" s="81"/>
      <c r="AB465" s="81"/>
      <c r="AC465" s="81"/>
      <c r="AD465" s="81"/>
      <c r="AE465" s="81"/>
    </row>
    <row r="466">
      <c r="A466" s="16"/>
      <c r="B466" s="127"/>
      <c r="C466" s="127"/>
      <c r="D466" s="108"/>
      <c r="E466" s="109"/>
      <c r="F466" s="58"/>
      <c r="G466" s="135"/>
      <c r="H466" s="129"/>
      <c r="I466" s="129"/>
      <c r="J466" s="130" t="b">
        <v>0</v>
      </c>
      <c r="K466" s="58"/>
      <c r="L466" s="131" t="str">
        <f t="shared" si="8"/>
        <v/>
      </c>
      <c r="M466" s="130"/>
      <c r="N466" s="109"/>
      <c r="O466" s="109"/>
      <c r="P466" s="109"/>
      <c r="Q466" s="58"/>
      <c r="R466" s="126"/>
      <c r="S466" s="126"/>
      <c r="T466" s="80"/>
      <c r="U466" s="80"/>
      <c r="V466" s="80"/>
      <c r="W466" s="80"/>
      <c r="X466" s="80"/>
      <c r="Y466" s="80"/>
      <c r="Z466" s="80"/>
      <c r="AA466" s="81"/>
      <c r="AB466" s="81"/>
      <c r="AC466" s="81"/>
      <c r="AD466" s="81"/>
      <c r="AE466" s="81"/>
    </row>
    <row r="467">
      <c r="A467" s="16"/>
      <c r="B467" s="127"/>
      <c r="C467" s="127"/>
      <c r="D467" s="108"/>
      <c r="E467" s="109"/>
      <c r="F467" s="58"/>
      <c r="G467" s="135"/>
      <c r="H467" s="129"/>
      <c r="I467" s="129"/>
      <c r="J467" s="130" t="b">
        <v>0</v>
      </c>
      <c r="K467" s="58"/>
      <c r="L467" s="131" t="str">
        <f t="shared" si="8"/>
        <v/>
      </c>
      <c r="M467" s="130"/>
      <c r="N467" s="109"/>
      <c r="O467" s="109"/>
      <c r="P467" s="109"/>
      <c r="Q467" s="58"/>
      <c r="R467" s="126"/>
      <c r="S467" s="126"/>
      <c r="T467" s="80"/>
      <c r="U467" s="80"/>
      <c r="V467" s="80"/>
      <c r="W467" s="80"/>
      <c r="X467" s="80"/>
      <c r="Y467" s="80"/>
      <c r="Z467" s="80"/>
      <c r="AA467" s="81"/>
      <c r="AB467" s="81"/>
      <c r="AC467" s="81"/>
      <c r="AD467" s="81"/>
      <c r="AE467" s="81"/>
    </row>
    <row r="468">
      <c r="A468" s="16"/>
      <c r="B468" s="127"/>
      <c r="C468" s="127"/>
      <c r="D468" s="108"/>
      <c r="E468" s="109"/>
      <c r="F468" s="58"/>
      <c r="G468" s="135"/>
      <c r="H468" s="129"/>
      <c r="I468" s="129"/>
      <c r="J468" s="130" t="b">
        <v>0</v>
      </c>
      <c r="K468" s="58"/>
      <c r="L468" s="131" t="str">
        <f t="shared" si="8"/>
        <v/>
      </c>
      <c r="M468" s="130"/>
      <c r="N468" s="109"/>
      <c r="O468" s="109"/>
      <c r="P468" s="109"/>
      <c r="Q468" s="58"/>
      <c r="R468" s="126"/>
      <c r="S468" s="126"/>
      <c r="T468" s="80"/>
      <c r="U468" s="80"/>
      <c r="V468" s="80"/>
      <c r="W468" s="80"/>
      <c r="X468" s="80"/>
      <c r="Y468" s="80"/>
      <c r="Z468" s="80"/>
      <c r="AA468" s="81"/>
      <c r="AB468" s="81"/>
      <c r="AC468" s="81"/>
      <c r="AD468" s="81"/>
      <c r="AE468" s="81"/>
    </row>
    <row r="469">
      <c r="A469" s="16"/>
      <c r="B469" s="127"/>
      <c r="C469" s="127"/>
      <c r="D469" s="108"/>
      <c r="E469" s="109"/>
      <c r="F469" s="58"/>
      <c r="G469" s="135"/>
      <c r="H469" s="129"/>
      <c r="I469" s="129"/>
      <c r="J469" s="130" t="b">
        <v>0</v>
      </c>
      <c r="K469" s="58"/>
      <c r="L469" s="131" t="str">
        <f t="shared" si="8"/>
        <v/>
      </c>
      <c r="M469" s="130"/>
      <c r="N469" s="109"/>
      <c r="O469" s="109"/>
      <c r="P469" s="109"/>
      <c r="Q469" s="58"/>
      <c r="R469" s="136" t="b">
        <v>0</v>
      </c>
      <c r="S469" s="58"/>
      <c r="T469" s="80"/>
      <c r="U469" s="80"/>
      <c r="V469" s="80"/>
      <c r="W469" s="80"/>
      <c r="X469" s="80"/>
      <c r="Y469" s="80"/>
      <c r="Z469" s="80"/>
      <c r="AA469" s="81"/>
      <c r="AB469" s="81"/>
      <c r="AC469" s="81"/>
      <c r="AD469" s="81"/>
      <c r="AE469" s="81"/>
    </row>
    <row r="470">
      <c r="A470" s="16"/>
      <c r="B470" s="127"/>
      <c r="C470" s="127"/>
      <c r="D470" s="108"/>
      <c r="E470" s="109"/>
      <c r="F470" s="58"/>
      <c r="G470" s="135"/>
      <c r="H470" s="129"/>
      <c r="I470" s="129"/>
      <c r="J470" s="130" t="b">
        <v>0</v>
      </c>
      <c r="K470" s="58"/>
      <c r="L470" s="131" t="str">
        <f t="shared" si="8"/>
        <v/>
      </c>
      <c r="M470" s="130"/>
      <c r="N470" s="109"/>
      <c r="O470" s="109"/>
      <c r="P470" s="109"/>
      <c r="Q470" s="58"/>
      <c r="R470" s="136" t="b">
        <v>0</v>
      </c>
      <c r="S470" s="58"/>
      <c r="T470" s="80"/>
      <c r="U470" s="80"/>
      <c r="V470" s="80"/>
      <c r="W470" s="80"/>
      <c r="X470" s="80"/>
      <c r="Y470" s="80"/>
      <c r="Z470" s="80"/>
      <c r="AA470" s="81"/>
      <c r="AB470" s="81"/>
      <c r="AC470" s="81"/>
      <c r="AD470" s="81"/>
      <c r="AE470" s="81"/>
    </row>
    <row r="471">
      <c r="A471" s="16"/>
      <c r="B471" s="127"/>
      <c r="C471" s="127"/>
      <c r="D471" s="108"/>
      <c r="E471" s="109"/>
      <c r="F471" s="58"/>
      <c r="G471" s="135"/>
      <c r="H471" s="129"/>
      <c r="I471" s="129"/>
      <c r="J471" s="130" t="b">
        <v>0</v>
      </c>
      <c r="K471" s="58"/>
      <c r="L471" s="131" t="str">
        <f t="shared" si="8"/>
        <v/>
      </c>
      <c r="M471" s="130"/>
      <c r="N471" s="109"/>
      <c r="O471" s="109"/>
      <c r="P471" s="109"/>
      <c r="Q471" s="58"/>
      <c r="R471" s="136" t="b">
        <v>0</v>
      </c>
      <c r="S471" s="58"/>
      <c r="T471" s="80"/>
      <c r="U471" s="80"/>
      <c r="V471" s="80"/>
      <c r="W471" s="80"/>
      <c r="X471" s="80"/>
      <c r="Y471" s="80"/>
      <c r="Z471" s="80"/>
      <c r="AA471" s="81"/>
      <c r="AB471" s="81"/>
      <c r="AC471" s="81"/>
      <c r="AD471" s="81"/>
      <c r="AE471" s="81"/>
    </row>
    <row r="472">
      <c r="A472" s="16"/>
      <c r="B472" s="127"/>
      <c r="C472" s="127"/>
      <c r="D472" s="108"/>
      <c r="E472" s="109"/>
      <c r="F472" s="58"/>
      <c r="G472" s="135"/>
      <c r="H472" s="129"/>
      <c r="I472" s="129"/>
      <c r="J472" s="130" t="b">
        <v>0</v>
      </c>
      <c r="K472" s="58"/>
      <c r="L472" s="131" t="str">
        <f t="shared" si="8"/>
        <v/>
      </c>
      <c r="M472" s="130"/>
      <c r="N472" s="109"/>
      <c r="O472" s="109"/>
      <c r="P472" s="109"/>
      <c r="Q472" s="58"/>
      <c r="R472" s="136" t="b">
        <v>0</v>
      </c>
      <c r="S472" s="58"/>
      <c r="T472" s="80"/>
      <c r="U472" s="80"/>
      <c r="V472" s="80"/>
      <c r="W472" s="80"/>
      <c r="X472" s="80"/>
      <c r="Y472" s="80"/>
      <c r="Z472" s="80"/>
      <c r="AA472" s="81"/>
      <c r="AB472" s="81"/>
      <c r="AC472" s="81"/>
      <c r="AD472" s="81"/>
      <c r="AE472" s="81"/>
    </row>
    <row r="473">
      <c r="A473" s="16"/>
      <c r="B473" s="127"/>
      <c r="C473" s="127"/>
      <c r="D473" s="108"/>
      <c r="E473" s="109"/>
      <c r="F473" s="58"/>
      <c r="G473" s="135"/>
      <c r="H473" s="129"/>
      <c r="I473" s="129"/>
      <c r="J473" s="130" t="b">
        <v>0</v>
      </c>
      <c r="K473" s="58"/>
      <c r="L473" s="131" t="str">
        <f t="shared" si="8"/>
        <v/>
      </c>
      <c r="M473" s="130"/>
      <c r="N473" s="109"/>
      <c r="O473" s="109"/>
      <c r="P473" s="109"/>
      <c r="Q473" s="58"/>
      <c r="R473" s="136" t="b">
        <v>0</v>
      </c>
      <c r="S473" s="58"/>
      <c r="T473" s="80"/>
      <c r="U473" s="80"/>
      <c r="V473" s="80"/>
      <c r="W473" s="80"/>
      <c r="X473" s="80"/>
      <c r="Y473" s="80"/>
      <c r="Z473" s="80"/>
      <c r="AA473" s="81"/>
      <c r="AB473" s="81"/>
      <c r="AC473" s="81"/>
      <c r="AD473" s="81"/>
      <c r="AE473" s="81"/>
    </row>
    <row r="474">
      <c r="A474" s="16"/>
      <c r="B474" s="127"/>
      <c r="C474" s="127"/>
      <c r="D474" s="108"/>
      <c r="E474" s="109"/>
      <c r="F474" s="58"/>
      <c r="G474" s="135"/>
      <c r="H474" s="129"/>
      <c r="I474" s="129"/>
      <c r="J474" s="130" t="b">
        <v>0</v>
      </c>
      <c r="K474" s="58"/>
      <c r="L474" s="131" t="str">
        <f t="shared" si="8"/>
        <v/>
      </c>
      <c r="M474" s="130"/>
      <c r="N474" s="109"/>
      <c r="O474" s="109"/>
      <c r="P474" s="109"/>
      <c r="Q474" s="58"/>
      <c r="R474" s="136" t="b">
        <v>0</v>
      </c>
      <c r="S474" s="58"/>
      <c r="T474" s="80"/>
      <c r="U474" s="80"/>
      <c r="V474" s="80"/>
      <c r="W474" s="80"/>
      <c r="X474" s="80"/>
      <c r="Y474" s="80"/>
      <c r="Z474" s="80"/>
      <c r="AA474" s="81"/>
      <c r="AB474" s="81"/>
      <c r="AC474" s="81"/>
      <c r="AD474" s="81"/>
      <c r="AE474" s="81"/>
    </row>
    <row r="475">
      <c r="A475" s="16"/>
      <c r="B475" s="127"/>
      <c r="C475" s="127"/>
      <c r="D475" s="108"/>
      <c r="E475" s="109"/>
      <c r="F475" s="58"/>
      <c r="G475" s="135"/>
      <c r="H475" s="129"/>
      <c r="I475" s="129"/>
      <c r="J475" s="130" t="b">
        <v>0</v>
      </c>
      <c r="K475" s="58"/>
      <c r="L475" s="131" t="str">
        <f t="shared" si="8"/>
        <v/>
      </c>
      <c r="M475" s="130"/>
      <c r="N475" s="109"/>
      <c r="O475" s="109"/>
      <c r="P475" s="109"/>
      <c r="Q475" s="58"/>
      <c r="R475" s="136" t="b">
        <v>0</v>
      </c>
      <c r="S475" s="58"/>
      <c r="T475" s="80"/>
      <c r="U475" s="80"/>
      <c r="V475" s="80"/>
      <c r="W475" s="80"/>
      <c r="X475" s="80"/>
      <c r="Y475" s="80"/>
      <c r="Z475" s="80"/>
      <c r="AA475" s="81"/>
      <c r="AB475" s="81"/>
      <c r="AC475" s="81"/>
      <c r="AD475" s="81"/>
      <c r="AE475" s="81"/>
    </row>
    <row r="476">
      <c r="A476" s="16"/>
      <c r="B476" s="127"/>
      <c r="C476" s="127"/>
      <c r="D476" s="108"/>
      <c r="E476" s="109"/>
      <c r="F476" s="58"/>
      <c r="G476" s="135"/>
      <c r="H476" s="129"/>
      <c r="I476" s="129"/>
      <c r="J476" s="130" t="b">
        <v>0</v>
      </c>
      <c r="K476" s="58"/>
      <c r="L476" s="131" t="str">
        <f t="shared" si="8"/>
        <v/>
      </c>
      <c r="M476" s="130"/>
      <c r="N476" s="109"/>
      <c r="O476" s="109"/>
      <c r="P476" s="109"/>
      <c r="Q476" s="58"/>
      <c r="R476" s="136" t="b">
        <v>0</v>
      </c>
      <c r="S476" s="58"/>
      <c r="T476" s="80"/>
      <c r="U476" s="80"/>
      <c r="V476" s="80"/>
      <c r="W476" s="80"/>
      <c r="X476" s="80"/>
      <c r="Y476" s="80"/>
      <c r="Z476" s="80"/>
      <c r="AA476" s="81"/>
      <c r="AB476" s="81"/>
      <c r="AC476" s="81"/>
      <c r="AD476" s="81"/>
      <c r="AE476" s="81"/>
    </row>
    <row r="477">
      <c r="A477" s="16"/>
      <c r="B477" s="127"/>
      <c r="C477" s="127"/>
      <c r="D477" s="108"/>
      <c r="E477" s="109"/>
      <c r="F477" s="58"/>
      <c r="G477" s="135"/>
      <c r="H477" s="129"/>
      <c r="I477" s="129"/>
      <c r="J477" s="130" t="b">
        <v>0</v>
      </c>
      <c r="K477" s="58"/>
      <c r="L477" s="131" t="str">
        <f t="shared" si="8"/>
        <v/>
      </c>
      <c r="M477" s="130"/>
      <c r="N477" s="109"/>
      <c r="O477" s="109"/>
      <c r="P477" s="109"/>
      <c r="Q477" s="58"/>
      <c r="R477" s="136" t="b">
        <v>0</v>
      </c>
      <c r="S477" s="58"/>
      <c r="T477" s="80"/>
      <c r="U477" s="80"/>
      <c r="V477" s="80"/>
      <c r="W477" s="80"/>
      <c r="X477" s="80"/>
      <c r="Y477" s="80"/>
      <c r="Z477" s="80"/>
      <c r="AA477" s="81"/>
      <c r="AB477" s="81"/>
      <c r="AC477" s="81"/>
      <c r="AD477" s="81"/>
      <c r="AE477" s="81"/>
    </row>
    <row r="478">
      <c r="A478" s="16"/>
      <c r="B478" s="127"/>
      <c r="C478" s="127"/>
      <c r="D478" s="108"/>
      <c r="E478" s="109"/>
      <c r="F478" s="58"/>
      <c r="G478" s="135"/>
      <c r="H478" s="129"/>
      <c r="I478" s="129"/>
      <c r="J478" s="130" t="b">
        <v>0</v>
      </c>
      <c r="K478" s="58"/>
      <c r="L478" s="131" t="str">
        <f t="shared" si="8"/>
        <v/>
      </c>
      <c r="M478" s="130"/>
      <c r="N478" s="109"/>
      <c r="O478" s="109"/>
      <c r="P478" s="109"/>
      <c r="Q478" s="58"/>
      <c r="R478" s="136" t="b">
        <v>0</v>
      </c>
      <c r="S478" s="58"/>
      <c r="T478" s="80"/>
      <c r="U478" s="80"/>
      <c r="V478" s="80"/>
      <c r="W478" s="80"/>
      <c r="X478" s="80"/>
      <c r="Y478" s="80"/>
      <c r="Z478" s="80"/>
      <c r="AA478" s="81"/>
      <c r="AB478" s="81"/>
      <c r="AC478" s="81"/>
      <c r="AD478" s="81"/>
      <c r="AE478" s="81"/>
    </row>
    <row r="479">
      <c r="A479" s="16"/>
      <c r="B479" s="127"/>
      <c r="C479" s="127"/>
      <c r="D479" s="108"/>
      <c r="E479" s="109"/>
      <c r="F479" s="58"/>
      <c r="G479" s="135"/>
      <c r="H479" s="129"/>
      <c r="I479" s="129"/>
      <c r="J479" s="130" t="b">
        <v>0</v>
      </c>
      <c r="K479" s="58"/>
      <c r="L479" s="131" t="str">
        <f t="shared" si="8"/>
        <v/>
      </c>
      <c r="M479" s="130"/>
      <c r="N479" s="109"/>
      <c r="O479" s="109"/>
      <c r="P479" s="109"/>
      <c r="Q479" s="58"/>
      <c r="R479" s="136" t="b">
        <v>0</v>
      </c>
      <c r="S479" s="58"/>
      <c r="T479" s="80"/>
      <c r="U479" s="80"/>
      <c r="V479" s="80"/>
      <c r="W479" s="80"/>
      <c r="X479" s="80"/>
      <c r="Y479" s="80"/>
      <c r="Z479" s="80"/>
      <c r="AA479" s="81"/>
      <c r="AB479" s="81"/>
      <c r="AC479" s="81"/>
      <c r="AD479" s="81"/>
      <c r="AE479" s="81"/>
    </row>
    <row r="480">
      <c r="A480" s="16"/>
      <c r="B480" s="127"/>
      <c r="C480" s="127"/>
      <c r="D480" s="108"/>
      <c r="E480" s="109"/>
      <c r="F480" s="58"/>
      <c r="G480" s="135"/>
      <c r="H480" s="129"/>
      <c r="I480" s="129"/>
      <c r="J480" s="130" t="b">
        <v>0</v>
      </c>
      <c r="K480" s="58"/>
      <c r="L480" s="131" t="str">
        <f t="shared" si="8"/>
        <v/>
      </c>
      <c r="M480" s="130"/>
      <c r="N480" s="109"/>
      <c r="O480" s="109"/>
      <c r="P480" s="109"/>
      <c r="Q480" s="58"/>
      <c r="R480" s="136" t="b">
        <v>0</v>
      </c>
      <c r="S480" s="58"/>
      <c r="T480" s="80"/>
      <c r="U480" s="80"/>
      <c r="V480" s="80"/>
      <c r="W480" s="80"/>
      <c r="X480" s="80"/>
      <c r="Y480" s="80"/>
      <c r="Z480" s="80"/>
      <c r="AA480" s="81"/>
      <c r="AB480" s="81"/>
      <c r="AC480" s="81"/>
      <c r="AD480" s="81"/>
      <c r="AE480" s="81"/>
    </row>
    <row r="481">
      <c r="A481" s="16"/>
      <c r="B481" s="127"/>
      <c r="C481" s="127"/>
      <c r="D481" s="108"/>
      <c r="E481" s="109"/>
      <c r="F481" s="58"/>
      <c r="G481" s="135"/>
      <c r="H481" s="129"/>
      <c r="I481" s="129"/>
      <c r="J481" s="130" t="b">
        <v>0</v>
      </c>
      <c r="K481" s="58"/>
      <c r="L481" s="131" t="str">
        <f t="shared" si="8"/>
        <v/>
      </c>
      <c r="M481" s="130"/>
      <c r="N481" s="109"/>
      <c r="O481" s="109"/>
      <c r="P481" s="109"/>
      <c r="Q481" s="58"/>
      <c r="R481" s="136" t="b">
        <v>0</v>
      </c>
      <c r="S481" s="58"/>
      <c r="T481" s="80"/>
      <c r="U481" s="80"/>
      <c r="V481" s="80"/>
      <c r="W481" s="80"/>
      <c r="X481" s="80"/>
      <c r="Y481" s="80"/>
      <c r="Z481" s="80"/>
      <c r="AA481" s="81"/>
      <c r="AB481" s="81"/>
      <c r="AC481" s="81"/>
      <c r="AD481" s="81"/>
      <c r="AE481" s="81"/>
    </row>
    <row r="482">
      <c r="A482" s="16"/>
      <c r="B482" s="127"/>
      <c r="C482" s="127"/>
      <c r="D482" s="108"/>
      <c r="E482" s="109"/>
      <c r="F482" s="58"/>
      <c r="G482" s="135"/>
      <c r="H482" s="129"/>
      <c r="I482" s="129"/>
      <c r="J482" s="130" t="b">
        <v>0</v>
      </c>
      <c r="K482" s="58"/>
      <c r="L482" s="131" t="str">
        <f t="shared" si="8"/>
        <v/>
      </c>
      <c r="M482" s="130"/>
      <c r="N482" s="109"/>
      <c r="O482" s="109"/>
      <c r="P482" s="109"/>
      <c r="Q482" s="58"/>
      <c r="R482" s="136" t="b">
        <v>0</v>
      </c>
      <c r="S482" s="58"/>
      <c r="T482" s="80"/>
      <c r="U482" s="80"/>
      <c r="V482" s="80"/>
      <c r="W482" s="80"/>
      <c r="X482" s="80"/>
      <c r="Y482" s="80"/>
      <c r="Z482" s="80"/>
      <c r="AA482" s="81"/>
      <c r="AB482" s="81"/>
      <c r="AC482" s="81"/>
      <c r="AD482" s="81"/>
      <c r="AE482" s="81"/>
    </row>
    <row r="483">
      <c r="A483" s="16"/>
      <c r="B483" s="127"/>
      <c r="C483" s="127"/>
      <c r="D483" s="108"/>
      <c r="E483" s="109"/>
      <c r="F483" s="58"/>
      <c r="G483" s="135"/>
      <c r="H483" s="129"/>
      <c r="I483" s="129"/>
      <c r="J483" s="130" t="b">
        <v>0</v>
      </c>
      <c r="K483" s="58"/>
      <c r="L483" s="131" t="str">
        <f t="shared" si="8"/>
        <v/>
      </c>
      <c r="M483" s="130"/>
      <c r="N483" s="109"/>
      <c r="O483" s="109"/>
      <c r="P483" s="109"/>
      <c r="Q483" s="58"/>
      <c r="R483" s="136" t="b">
        <v>0</v>
      </c>
      <c r="S483" s="58"/>
      <c r="T483" s="80"/>
      <c r="U483" s="80"/>
      <c r="V483" s="80"/>
      <c r="W483" s="80"/>
      <c r="X483" s="80"/>
      <c r="Y483" s="80"/>
      <c r="Z483" s="80"/>
      <c r="AA483" s="81"/>
      <c r="AB483" s="81"/>
      <c r="AC483" s="81"/>
      <c r="AD483" s="81"/>
      <c r="AE483" s="81"/>
    </row>
    <row r="484">
      <c r="A484" s="16"/>
      <c r="B484" s="127"/>
      <c r="C484" s="127"/>
      <c r="D484" s="108"/>
      <c r="E484" s="109"/>
      <c r="F484" s="58"/>
      <c r="G484" s="135"/>
      <c r="H484" s="129"/>
      <c r="I484" s="129"/>
      <c r="J484" s="130" t="b">
        <v>0</v>
      </c>
      <c r="K484" s="58"/>
      <c r="L484" s="131" t="str">
        <f t="shared" si="8"/>
        <v/>
      </c>
      <c r="M484" s="130"/>
      <c r="N484" s="109"/>
      <c r="O484" s="109"/>
      <c r="P484" s="109"/>
      <c r="Q484" s="58"/>
      <c r="R484" s="136" t="b">
        <v>0</v>
      </c>
      <c r="S484" s="58"/>
      <c r="T484" s="80"/>
      <c r="U484" s="80"/>
      <c r="V484" s="80"/>
      <c r="W484" s="80"/>
      <c r="X484" s="80"/>
      <c r="Y484" s="80"/>
      <c r="Z484" s="80"/>
      <c r="AA484" s="81"/>
      <c r="AB484" s="81"/>
      <c r="AC484" s="81"/>
      <c r="AD484" s="81"/>
      <c r="AE484" s="81"/>
    </row>
    <row r="485">
      <c r="A485" s="16"/>
      <c r="B485" s="127"/>
      <c r="C485" s="127"/>
      <c r="D485" s="108"/>
      <c r="E485" s="109"/>
      <c r="F485" s="58"/>
      <c r="G485" s="135"/>
      <c r="H485" s="129"/>
      <c r="I485" s="129"/>
      <c r="J485" s="130" t="b">
        <v>0</v>
      </c>
      <c r="K485" s="58"/>
      <c r="L485" s="131" t="str">
        <f t="shared" si="8"/>
        <v/>
      </c>
      <c r="M485" s="130"/>
      <c r="N485" s="109"/>
      <c r="O485" s="109"/>
      <c r="P485" s="109"/>
      <c r="Q485" s="58"/>
      <c r="R485" s="136" t="b">
        <v>0</v>
      </c>
      <c r="S485" s="58"/>
      <c r="T485" s="80"/>
      <c r="U485" s="80"/>
      <c r="V485" s="80"/>
      <c r="W485" s="80"/>
      <c r="X485" s="80"/>
      <c r="Y485" s="80"/>
      <c r="Z485" s="80"/>
      <c r="AA485" s="81"/>
      <c r="AB485" s="81"/>
      <c r="AC485" s="81"/>
      <c r="AD485" s="81"/>
      <c r="AE485" s="81"/>
    </row>
    <row r="486">
      <c r="A486" s="16"/>
      <c r="B486" s="127"/>
      <c r="C486" s="127"/>
      <c r="D486" s="108"/>
      <c r="E486" s="109"/>
      <c r="F486" s="58"/>
      <c r="G486" s="135"/>
      <c r="H486" s="129"/>
      <c r="I486" s="129"/>
      <c r="J486" s="130" t="b">
        <v>0</v>
      </c>
      <c r="K486" s="58"/>
      <c r="L486" s="131" t="str">
        <f t="shared" si="8"/>
        <v/>
      </c>
      <c r="M486" s="130"/>
      <c r="N486" s="109"/>
      <c r="O486" s="109"/>
      <c r="P486" s="109"/>
      <c r="Q486" s="58"/>
      <c r="R486" s="136" t="b">
        <v>0</v>
      </c>
      <c r="S486" s="58"/>
      <c r="T486" s="80"/>
      <c r="U486" s="80"/>
      <c r="V486" s="80"/>
      <c r="W486" s="80"/>
      <c r="X486" s="80"/>
      <c r="Y486" s="80"/>
      <c r="Z486" s="80"/>
      <c r="AA486" s="81"/>
      <c r="AB486" s="81"/>
      <c r="AC486" s="81"/>
      <c r="AD486" s="81"/>
      <c r="AE486" s="81"/>
    </row>
    <row r="487">
      <c r="A487" s="16"/>
      <c r="B487" s="127"/>
      <c r="C487" s="127"/>
      <c r="D487" s="108"/>
      <c r="E487" s="109"/>
      <c r="F487" s="58"/>
      <c r="G487" s="135"/>
      <c r="H487" s="129"/>
      <c r="I487" s="129"/>
      <c r="J487" s="130" t="b">
        <v>0</v>
      </c>
      <c r="K487" s="58"/>
      <c r="L487" s="131" t="str">
        <f t="shared" si="8"/>
        <v/>
      </c>
      <c r="M487" s="130"/>
      <c r="N487" s="109"/>
      <c r="O487" s="109"/>
      <c r="P487" s="109"/>
      <c r="Q487" s="58"/>
      <c r="R487" s="136" t="b">
        <v>0</v>
      </c>
      <c r="S487" s="58"/>
      <c r="T487" s="80"/>
      <c r="U487" s="80"/>
      <c r="V487" s="80"/>
      <c r="W487" s="80"/>
      <c r="X487" s="80"/>
      <c r="Y487" s="80"/>
      <c r="Z487" s="80"/>
      <c r="AA487" s="81"/>
      <c r="AB487" s="81"/>
      <c r="AC487" s="81"/>
      <c r="AD487" s="81"/>
      <c r="AE487" s="81"/>
    </row>
    <row r="488">
      <c r="A488" s="16"/>
      <c r="B488" s="127"/>
      <c r="C488" s="127"/>
      <c r="D488" s="108"/>
      <c r="E488" s="109"/>
      <c r="F488" s="58"/>
      <c r="G488" s="135"/>
      <c r="H488" s="129"/>
      <c r="I488" s="129"/>
      <c r="J488" s="130" t="b">
        <v>0</v>
      </c>
      <c r="K488" s="58"/>
      <c r="L488" s="131" t="str">
        <f t="shared" si="8"/>
        <v/>
      </c>
      <c r="M488" s="130"/>
      <c r="N488" s="109"/>
      <c r="O488" s="109"/>
      <c r="P488" s="109"/>
      <c r="Q488" s="58"/>
      <c r="R488" s="136" t="b">
        <v>0</v>
      </c>
      <c r="S488" s="58"/>
      <c r="T488" s="80"/>
      <c r="U488" s="80"/>
      <c r="V488" s="80"/>
      <c r="W488" s="80"/>
      <c r="X488" s="80"/>
      <c r="Y488" s="80"/>
      <c r="Z488" s="80"/>
      <c r="AA488" s="81"/>
      <c r="AB488" s="81"/>
      <c r="AC488" s="81"/>
      <c r="AD488" s="81"/>
      <c r="AE488" s="81"/>
    </row>
    <row r="489">
      <c r="A489" s="16"/>
      <c r="B489" s="127"/>
      <c r="C489" s="127"/>
      <c r="D489" s="108"/>
      <c r="E489" s="109"/>
      <c r="F489" s="58"/>
      <c r="G489" s="135"/>
      <c r="H489" s="129"/>
      <c r="I489" s="129"/>
      <c r="J489" s="130" t="b">
        <v>0</v>
      </c>
      <c r="K489" s="58"/>
      <c r="L489" s="131" t="str">
        <f t="shared" si="8"/>
        <v/>
      </c>
      <c r="M489" s="130"/>
      <c r="N489" s="109"/>
      <c r="O489" s="109"/>
      <c r="P489" s="109"/>
      <c r="Q489" s="58"/>
      <c r="R489" s="136" t="b">
        <v>0</v>
      </c>
      <c r="S489" s="58"/>
      <c r="T489" s="80"/>
      <c r="U489" s="80"/>
      <c r="V489" s="80"/>
      <c r="W489" s="80"/>
      <c r="X489" s="80"/>
      <c r="Y489" s="80"/>
      <c r="Z489" s="80"/>
      <c r="AA489" s="81"/>
      <c r="AB489" s="81"/>
      <c r="AC489" s="81"/>
      <c r="AD489" s="81"/>
      <c r="AE489" s="81"/>
    </row>
    <row r="490">
      <c r="A490" s="16"/>
      <c r="B490" s="127"/>
      <c r="C490" s="127"/>
      <c r="D490" s="108"/>
      <c r="E490" s="109"/>
      <c r="F490" s="58"/>
      <c r="G490" s="135"/>
      <c r="H490" s="129"/>
      <c r="I490" s="129"/>
      <c r="J490" s="130" t="b">
        <v>0</v>
      </c>
      <c r="K490" s="58"/>
      <c r="L490" s="131" t="str">
        <f t="shared" si="8"/>
        <v/>
      </c>
      <c r="M490" s="130"/>
      <c r="N490" s="109"/>
      <c r="O490" s="109"/>
      <c r="P490" s="109"/>
      <c r="Q490" s="58"/>
      <c r="R490" s="136" t="b">
        <v>0</v>
      </c>
      <c r="S490" s="58"/>
      <c r="T490" s="80"/>
      <c r="U490" s="80"/>
      <c r="V490" s="80"/>
      <c r="W490" s="80"/>
      <c r="X490" s="80"/>
      <c r="Y490" s="80"/>
      <c r="Z490" s="80"/>
      <c r="AA490" s="81"/>
      <c r="AB490" s="81"/>
      <c r="AC490" s="81"/>
      <c r="AD490" s="81"/>
      <c r="AE490" s="81"/>
    </row>
    <row r="491">
      <c r="A491" s="16"/>
      <c r="B491" s="127"/>
      <c r="C491" s="127"/>
      <c r="D491" s="108"/>
      <c r="E491" s="109"/>
      <c r="F491" s="58"/>
      <c r="G491" s="135"/>
      <c r="H491" s="129"/>
      <c r="I491" s="129"/>
      <c r="J491" s="130" t="b">
        <v>0</v>
      </c>
      <c r="K491" s="58"/>
      <c r="L491" s="131" t="str">
        <f t="shared" si="8"/>
        <v/>
      </c>
      <c r="M491" s="130"/>
      <c r="N491" s="109"/>
      <c r="O491" s="109"/>
      <c r="P491" s="109"/>
      <c r="Q491" s="58"/>
      <c r="R491" s="136" t="b">
        <v>0</v>
      </c>
      <c r="S491" s="58"/>
      <c r="T491" s="80"/>
      <c r="U491" s="80"/>
      <c r="V491" s="80"/>
      <c r="W491" s="80"/>
      <c r="X491" s="80"/>
      <c r="Y491" s="80"/>
      <c r="Z491" s="80"/>
      <c r="AA491" s="81"/>
      <c r="AB491" s="81"/>
      <c r="AC491" s="81"/>
      <c r="AD491" s="81"/>
      <c r="AE491" s="81"/>
    </row>
    <row r="492">
      <c r="A492" s="16"/>
      <c r="B492" s="127"/>
      <c r="C492" s="127"/>
      <c r="D492" s="108"/>
      <c r="E492" s="109"/>
      <c r="F492" s="58"/>
      <c r="G492" s="135"/>
      <c r="H492" s="129"/>
      <c r="I492" s="129"/>
      <c r="J492" s="130" t="b">
        <v>0</v>
      </c>
      <c r="K492" s="58"/>
      <c r="L492" s="131" t="str">
        <f t="shared" si="8"/>
        <v/>
      </c>
      <c r="M492" s="130"/>
      <c r="N492" s="109"/>
      <c r="O492" s="109"/>
      <c r="P492" s="109"/>
      <c r="Q492" s="58"/>
      <c r="R492" s="136" t="b">
        <v>0</v>
      </c>
      <c r="S492" s="58"/>
      <c r="T492" s="80"/>
      <c r="U492" s="80"/>
      <c r="V492" s="80"/>
      <c r="W492" s="80"/>
      <c r="X492" s="80"/>
      <c r="Y492" s="80"/>
      <c r="Z492" s="80"/>
      <c r="AA492" s="81"/>
      <c r="AB492" s="81"/>
      <c r="AC492" s="81"/>
      <c r="AD492" s="81"/>
      <c r="AE492" s="81"/>
    </row>
    <row r="493">
      <c r="A493" s="16"/>
      <c r="B493" s="127"/>
      <c r="C493" s="127"/>
      <c r="D493" s="108"/>
      <c r="E493" s="109"/>
      <c r="F493" s="58"/>
      <c r="G493" s="135"/>
      <c r="H493" s="129"/>
      <c r="I493" s="129"/>
      <c r="J493" s="130" t="b">
        <v>0</v>
      </c>
      <c r="K493" s="58"/>
      <c r="L493" s="131" t="str">
        <f t="shared" si="8"/>
        <v/>
      </c>
      <c r="M493" s="130"/>
      <c r="N493" s="109"/>
      <c r="O493" s="109"/>
      <c r="P493" s="109"/>
      <c r="Q493" s="58"/>
      <c r="R493" s="136" t="b">
        <v>0</v>
      </c>
      <c r="S493" s="58"/>
      <c r="T493" s="80"/>
      <c r="U493" s="80"/>
      <c r="V493" s="80"/>
      <c r="W493" s="80"/>
      <c r="X493" s="80"/>
      <c r="Y493" s="80"/>
      <c r="Z493" s="80"/>
      <c r="AA493" s="81"/>
      <c r="AB493" s="81"/>
      <c r="AC493" s="81"/>
      <c r="AD493" s="81"/>
      <c r="AE493" s="81"/>
    </row>
    <row r="494">
      <c r="A494" s="16"/>
      <c r="B494" s="127"/>
      <c r="C494" s="127"/>
      <c r="D494" s="108"/>
      <c r="E494" s="109"/>
      <c r="F494" s="58"/>
      <c r="G494" s="135"/>
      <c r="H494" s="129"/>
      <c r="I494" s="129"/>
      <c r="J494" s="130" t="b">
        <v>0</v>
      </c>
      <c r="K494" s="58"/>
      <c r="L494" s="131" t="str">
        <f t="shared" si="8"/>
        <v/>
      </c>
      <c r="M494" s="130"/>
      <c r="N494" s="109"/>
      <c r="O494" s="109"/>
      <c r="P494" s="109"/>
      <c r="Q494" s="58"/>
      <c r="R494" s="136" t="b">
        <v>0</v>
      </c>
      <c r="S494" s="58"/>
      <c r="T494" s="80"/>
      <c r="U494" s="80"/>
      <c r="V494" s="80"/>
      <c r="W494" s="80"/>
      <c r="X494" s="80"/>
      <c r="Y494" s="80"/>
      <c r="Z494" s="80"/>
      <c r="AA494" s="81"/>
      <c r="AB494" s="81"/>
      <c r="AC494" s="81"/>
      <c r="AD494" s="81"/>
      <c r="AE494" s="81"/>
    </row>
    <row r="495">
      <c r="A495" s="16"/>
      <c r="B495" s="127"/>
      <c r="C495" s="127"/>
      <c r="D495" s="108"/>
      <c r="E495" s="109"/>
      <c r="F495" s="58"/>
      <c r="G495" s="135"/>
      <c r="H495" s="129"/>
      <c r="I495" s="129"/>
      <c r="J495" s="130" t="b">
        <v>0</v>
      </c>
      <c r="K495" s="58"/>
      <c r="L495" s="131" t="str">
        <f t="shared" si="8"/>
        <v/>
      </c>
      <c r="M495" s="130"/>
      <c r="N495" s="109"/>
      <c r="O495" s="109"/>
      <c r="P495" s="109"/>
      <c r="Q495" s="58"/>
      <c r="R495" s="136" t="b">
        <v>0</v>
      </c>
      <c r="S495" s="58"/>
      <c r="T495" s="80"/>
      <c r="U495" s="80"/>
      <c r="V495" s="80"/>
      <c r="W495" s="80"/>
      <c r="X495" s="80"/>
      <c r="Y495" s="80"/>
      <c r="Z495" s="80"/>
      <c r="AA495" s="81"/>
      <c r="AB495" s="81"/>
      <c r="AC495" s="81"/>
      <c r="AD495" s="81"/>
      <c r="AE495" s="81"/>
    </row>
    <row r="496">
      <c r="A496" s="16"/>
      <c r="B496" s="127"/>
      <c r="C496" s="127"/>
      <c r="D496" s="108"/>
      <c r="E496" s="109"/>
      <c r="F496" s="58"/>
      <c r="G496" s="135"/>
      <c r="H496" s="129"/>
      <c r="I496" s="129"/>
      <c r="J496" s="130" t="b">
        <v>0</v>
      </c>
      <c r="K496" s="58"/>
      <c r="L496" s="131" t="str">
        <f t="shared" si="8"/>
        <v/>
      </c>
      <c r="M496" s="130"/>
      <c r="N496" s="109"/>
      <c r="O496" s="109"/>
      <c r="P496" s="109"/>
      <c r="Q496" s="58"/>
      <c r="R496" s="136" t="b">
        <v>0</v>
      </c>
      <c r="S496" s="58"/>
      <c r="T496" s="80"/>
      <c r="U496" s="80"/>
      <c r="V496" s="80"/>
      <c r="W496" s="80"/>
      <c r="X496" s="80"/>
      <c r="Y496" s="80"/>
      <c r="Z496" s="80"/>
      <c r="AA496" s="81"/>
      <c r="AB496" s="81"/>
      <c r="AC496" s="81"/>
      <c r="AD496" s="81"/>
      <c r="AE496" s="81"/>
    </row>
    <row r="497">
      <c r="A497" s="16"/>
      <c r="B497" s="127"/>
      <c r="C497" s="127"/>
      <c r="D497" s="108"/>
      <c r="E497" s="109"/>
      <c r="F497" s="58"/>
      <c r="G497" s="135"/>
      <c r="H497" s="129"/>
      <c r="I497" s="129"/>
      <c r="J497" s="130" t="b">
        <v>0</v>
      </c>
      <c r="K497" s="58"/>
      <c r="L497" s="131" t="str">
        <f t="shared" si="8"/>
        <v/>
      </c>
      <c r="M497" s="130"/>
      <c r="N497" s="109"/>
      <c r="O497" s="109"/>
      <c r="P497" s="109"/>
      <c r="Q497" s="58"/>
      <c r="R497" s="136" t="b">
        <v>0</v>
      </c>
      <c r="S497" s="58"/>
      <c r="T497" s="80"/>
      <c r="U497" s="80"/>
      <c r="V497" s="80"/>
      <c r="W497" s="80"/>
      <c r="X497" s="80"/>
      <c r="Y497" s="80"/>
      <c r="Z497" s="80"/>
      <c r="AA497" s="81"/>
      <c r="AB497" s="81"/>
      <c r="AC497" s="81"/>
      <c r="AD497" s="81"/>
      <c r="AE497" s="81"/>
    </row>
    <row r="498">
      <c r="A498" s="16"/>
      <c r="B498" s="127"/>
      <c r="C498" s="127"/>
      <c r="D498" s="108"/>
      <c r="E498" s="109"/>
      <c r="F498" s="58"/>
      <c r="G498" s="135"/>
      <c r="H498" s="129"/>
      <c r="I498" s="129"/>
      <c r="J498" s="130" t="b">
        <v>0</v>
      </c>
      <c r="K498" s="58"/>
      <c r="L498" s="131" t="str">
        <f t="shared" si="8"/>
        <v/>
      </c>
      <c r="M498" s="130"/>
      <c r="N498" s="109"/>
      <c r="O498" s="109"/>
      <c r="P498" s="109"/>
      <c r="Q498" s="58"/>
      <c r="R498" s="136" t="b">
        <v>0</v>
      </c>
      <c r="S498" s="58"/>
      <c r="T498" s="80"/>
      <c r="U498" s="80"/>
      <c r="V498" s="80"/>
      <c r="W498" s="80"/>
      <c r="X498" s="80"/>
      <c r="Y498" s="80"/>
      <c r="Z498" s="80"/>
      <c r="AA498" s="81"/>
      <c r="AB498" s="81"/>
      <c r="AC498" s="81"/>
      <c r="AD498" s="81"/>
      <c r="AE498" s="81"/>
    </row>
    <row r="499">
      <c r="A499" s="16"/>
      <c r="B499" s="127"/>
      <c r="C499" s="127"/>
      <c r="D499" s="108"/>
      <c r="E499" s="109"/>
      <c r="F499" s="58"/>
      <c r="G499" s="135"/>
      <c r="H499" s="129"/>
      <c r="I499" s="129"/>
      <c r="J499" s="130" t="b">
        <v>0</v>
      </c>
      <c r="K499" s="58"/>
      <c r="L499" s="131" t="str">
        <f t="shared" si="8"/>
        <v/>
      </c>
      <c r="M499" s="130"/>
      <c r="N499" s="109"/>
      <c r="O499" s="109"/>
      <c r="P499" s="109"/>
      <c r="Q499" s="58"/>
      <c r="R499" s="136" t="b">
        <v>0</v>
      </c>
      <c r="S499" s="58"/>
      <c r="T499" s="80"/>
      <c r="U499" s="80"/>
      <c r="V499" s="80"/>
      <c r="W499" s="80"/>
      <c r="X499" s="80"/>
      <c r="Y499" s="80"/>
      <c r="Z499" s="80"/>
      <c r="AA499" s="81"/>
      <c r="AB499" s="81"/>
      <c r="AC499" s="81"/>
      <c r="AD499" s="81"/>
      <c r="AE499" s="81"/>
    </row>
    <row r="500">
      <c r="A500" s="16"/>
      <c r="B500" s="127"/>
      <c r="C500" s="127"/>
      <c r="D500" s="108"/>
      <c r="E500" s="109"/>
      <c r="F500" s="58"/>
      <c r="G500" s="135"/>
      <c r="H500" s="129"/>
      <c r="I500" s="129"/>
      <c r="J500" s="130" t="b">
        <v>0</v>
      </c>
      <c r="K500" s="58"/>
      <c r="L500" s="131" t="str">
        <f t="shared" si="8"/>
        <v/>
      </c>
      <c r="M500" s="130"/>
      <c r="N500" s="109"/>
      <c r="O500" s="109"/>
      <c r="P500" s="109"/>
      <c r="Q500" s="58"/>
      <c r="R500" s="136" t="b">
        <v>0</v>
      </c>
      <c r="S500" s="58"/>
      <c r="T500" s="80"/>
      <c r="U500" s="80"/>
      <c r="V500" s="80"/>
      <c r="W500" s="80"/>
      <c r="X500" s="80"/>
      <c r="Y500" s="80"/>
      <c r="Z500" s="80"/>
      <c r="AA500" s="81"/>
      <c r="AB500" s="81"/>
      <c r="AC500" s="81"/>
      <c r="AD500" s="81"/>
      <c r="AE500" s="81"/>
    </row>
    <row r="501">
      <c r="A501" s="16"/>
      <c r="B501" s="127"/>
      <c r="C501" s="127"/>
      <c r="D501" s="108"/>
      <c r="E501" s="109"/>
      <c r="F501" s="58"/>
      <c r="G501" s="135"/>
      <c r="H501" s="129"/>
      <c r="I501" s="129"/>
      <c r="J501" s="130" t="b">
        <v>0</v>
      </c>
      <c r="K501" s="58"/>
      <c r="L501" s="131" t="str">
        <f t="shared" si="8"/>
        <v/>
      </c>
      <c r="M501" s="130"/>
      <c r="N501" s="109"/>
      <c r="O501" s="109"/>
      <c r="P501" s="109"/>
      <c r="Q501" s="58"/>
      <c r="R501" s="136" t="b">
        <v>0</v>
      </c>
      <c r="S501" s="58"/>
      <c r="T501" s="80"/>
      <c r="U501" s="80"/>
      <c r="V501" s="80"/>
      <c r="W501" s="80"/>
      <c r="X501" s="80"/>
      <c r="Y501" s="80"/>
      <c r="Z501" s="80"/>
      <c r="AA501" s="81"/>
      <c r="AB501" s="81"/>
      <c r="AC501" s="81"/>
      <c r="AD501" s="81"/>
      <c r="AE501" s="81"/>
    </row>
    <row r="502">
      <c r="A502" s="16"/>
      <c r="B502" s="127"/>
      <c r="C502" s="127"/>
      <c r="D502" s="108"/>
      <c r="E502" s="109"/>
      <c r="F502" s="58"/>
      <c r="G502" s="135"/>
      <c r="H502" s="129"/>
      <c r="I502" s="129"/>
      <c r="J502" s="130" t="b">
        <v>0</v>
      </c>
      <c r="K502" s="58"/>
      <c r="L502" s="131" t="str">
        <f t="shared" si="8"/>
        <v/>
      </c>
      <c r="M502" s="130"/>
      <c r="N502" s="109"/>
      <c r="O502" s="109"/>
      <c r="P502" s="109"/>
      <c r="Q502" s="58"/>
      <c r="R502" s="136" t="b">
        <v>0</v>
      </c>
      <c r="S502" s="58"/>
      <c r="T502" s="80"/>
      <c r="U502" s="80"/>
      <c r="V502" s="80"/>
      <c r="W502" s="80"/>
      <c r="X502" s="80"/>
      <c r="Y502" s="80"/>
      <c r="Z502" s="80"/>
      <c r="AA502" s="81"/>
      <c r="AB502" s="81"/>
      <c r="AC502" s="81"/>
      <c r="AD502" s="81"/>
      <c r="AE502" s="81"/>
    </row>
    <row r="503">
      <c r="A503" s="16"/>
      <c r="B503" s="127"/>
      <c r="C503" s="127"/>
      <c r="D503" s="108"/>
      <c r="E503" s="109"/>
      <c r="F503" s="58"/>
      <c r="G503" s="135"/>
      <c r="H503" s="129"/>
      <c r="I503" s="129"/>
      <c r="J503" s="130" t="b">
        <v>0</v>
      </c>
      <c r="K503" s="58"/>
      <c r="L503" s="131" t="str">
        <f t="shared" si="8"/>
        <v/>
      </c>
      <c r="M503" s="130"/>
      <c r="N503" s="109"/>
      <c r="O503" s="109"/>
      <c r="P503" s="109"/>
      <c r="Q503" s="58"/>
      <c r="R503" s="136" t="b">
        <v>0</v>
      </c>
      <c r="S503" s="58"/>
      <c r="T503" s="80"/>
      <c r="U503" s="80"/>
      <c r="V503" s="80"/>
      <c r="W503" s="80"/>
      <c r="X503" s="80"/>
      <c r="Y503" s="80"/>
      <c r="Z503" s="80"/>
      <c r="AA503" s="81"/>
      <c r="AB503" s="81"/>
      <c r="AC503" s="81"/>
      <c r="AD503" s="81"/>
      <c r="AE503" s="81"/>
    </row>
    <row r="504">
      <c r="A504" s="16"/>
      <c r="B504" s="127"/>
      <c r="C504" s="127"/>
      <c r="D504" s="108"/>
      <c r="E504" s="109"/>
      <c r="F504" s="58"/>
      <c r="G504" s="135"/>
      <c r="H504" s="129"/>
      <c r="I504" s="129"/>
      <c r="J504" s="130" t="b">
        <v>0</v>
      </c>
      <c r="K504" s="58"/>
      <c r="L504" s="131" t="str">
        <f t="shared" si="8"/>
        <v/>
      </c>
      <c r="M504" s="130"/>
      <c r="N504" s="109"/>
      <c r="O504" s="109"/>
      <c r="P504" s="109"/>
      <c r="Q504" s="58"/>
      <c r="R504" s="136" t="b">
        <v>0</v>
      </c>
      <c r="S504" s="58"/>
      <c r="T504" s="80"/>
      <c r="U504" s="80"/>
      <c r="V504" s="80"/>
      <c r="W504" s="80"/>
      <c r="X504" s="80"/>
      <c r="Y504" s="80"/>
      <c r="Z504" s="80"/>
      <c r="AA504" s="81"/>
      <c r="AB504" s="81"/>
      <c r="AC504" s="81"/>
      <c r="AD504" s="81"/>
      <c r="AE504" s="81"/>
    </row>
    <row r="505">
      <c r="A505" s="16"/>
      <c r="B505" s="127"/>
      <c r="C505" s="127"/>
      <c r="D505" s="108"/>
      <c r="E505" s="109"/>
      <c r="F505" s="58"/>
      <c r="G505" s="135"/>
      <c r="H505" s="129"/>
      <c r="I505" s="129"/>
      <c r="J505" s="130" t="b">
        <v>0</v>
      </c>
      <c r="K505" s="58"/>
      <c r="L505" s="131" t="str">
        <f t="shared" si="8"/>
        <v/>
      </c>
      <c r="M505" s="130"/>
      <c r="N505" s="109"/>
      <c r="O505" s="109"/>
      <c r="P505" s="109"/>
      <c r="Q505" s="58"/>
      <c r="R505" s="136" t="b">
        <v>0</v>
      </c>
      <c r="S505" s="58"/>
      <c r="T505" s="80"/>
      <c r="U505" s="80"/>
      <c r="V505" s="80"/>
      <c r="W505" s="80"/>
      <c r="X505" s="80"/>
      <c r="Y505" s="80"/>
      <c r="Z505" s="80"/>
      <c r="AA505" s="81"/>
      <c r="AB505" s="81"/>
      <c r="AC505" s="81"/>
      <c r="AD505" s="81"/>
      <c r="AE505" s="81"/>
    </row>
    <row r="506">
      <c r="A506" s="16"/>
      <c r="B506" s="127"/>
      <c r="C506" s="127"/>
      <c r="D506" s="108"/>
      <c r="E506" s="109"/>
      <c r="F506" s="58"/>
      <c r="G506" s="135"/>
      <c r="H506" s="129"/>
      <c r="I506" s="129"/>
      <c r="J506" s="130" t="b">
        <v>0</v>
      </c>
      <c r="K506" s="58"/>
      <c r="L506" s="131" t="str">
        <f t="shared" si="8"/>
        <v/>
      </c>
      <c r="M506" s="130"/>
      <c r="N506" s="109"/>
      <c r="O506" s="109"/>
      <c r="P506" s="109"/>
      <c r="Q506" s="58"/>
      <c r="R506" s="136" t="b">
        <v>0</v>
      </c>
      <c r="S506" s="58"/>
      <c r="T506" s="80"/>
      <c r="U506" s="80"/>
      <c r="V506" s="80"/>
      <c r="W506" s="80"/>
      <c r="X506" s="80"/>
      <c r="Y506" s="80"/>
      <c r="Z506" s="80"/>
      <c r="AA506" s="81"/>
      <c r="AB506" s="81"/>
      <c r="AC506" s="81"/>
      <c r="AD506" s="81"/>
      <c r="AE506" s="81"/>
    </row>
    <row r="507">
      <c r="A507" s="16"/>
      <c r="B507" s="127"/>
      <c r="C507" s="127"/>
      <c r="D507" s="108"/>
      <c r="E507" s="109"/>
      <c r="F507" s="58"/>
      <c r="G507" s="135"/>
      <c r="H507" s="129"/>
      <c r="I507" s="129"/>
      <c r="J507" s="130" t="b">
        <v>0</v>
      </c>
      <c r="K507" s="58"/>
      <c r="L507" s="131" t="str">
        <f t="shared" si="8"/>
        <v/>
      </c>
      <c r="M507" s="130"/>
      <c r="N507" s="109"/>
      <c r="O507" s="109"/>
      <c r="P507" s="109"/>
      <c r="Q507" s="58"/>
      <c r="R507" s="136" t="b">
        <v>0</v>
      </c>
      <c r="S507" s="58"/>
      <c r="T507" s="80"/>
      <c r="U507" s="80"/>
      <c r="V507" s="80"/>
      <c r="W507" s="80"/>
      <c r="X507" s="80"/>
      <c r="Y507" s="80"/>
      <c r="Z507" s="80"/>
      <c r="AA507" s="81"/>
      <c r="AB507" s="81"/>
      <c r="AC507" s="81"/>
      <c r="AD507" s="81"/>
      <c r="AE507" s="81"/>
    </row>
    <row r="508">
      <c r="A508" s="16"/>
      <c r="B508" s="127"/>
      <c r="C508" s="127"/>
      <c r="D508" s="108"/>
      <c r="E508" s="109"/>
      <c r="F508" s="58"/>
      <c r="G508" s="135"/>
      <c r="H508" s="129"/>
      <c r="I508" s="129"/>
      <c r="J508" s="130" t="b">
        <v>0</v>
      </c>
      <c r="K508" s="58"/>
      <c r="L508" s="131" t="str">
        <f t="shared" si="8"/>
        <v/>
      </c>
      <c r="M508" s="130"/>
      <c r="N508" s="109"/>
      <c r="O508" s="109"/>
      <c r="P508" s="109"/>
      <c r="Q508" s="58"/>
      <c r="R508" s="136" t="b">
        <v>0</v>
      </c>
      <c r="S508" s="58"/>
      <c r="T508" s="80"/>
      <c r="U508" s="80"/>
      <c r="V508" s="80"/>
      <c r="W508" s="80"/>
      <c r="X508" s="80"/>
      <c r="Y508" s="80"/>
      <c r="Z508" s="80"/>
      <c r="AA508" s="81"/>
      <c r="AB508" s="81"/>
      <c r="AC508" s="81"/>
      <c r="AD508" s="81"/>
      <c r="AE508" s="81"/>
    </row>
    <row r="509">
      <c r="A509" s="16"/>
      <c r="B509" s="127"/>
      <c r="C509" s="127"/>
      <c r="D509" s="108"/>
      <c r="E509" s="109"/>
      <c r="F509" s="58"/>
      <c r="G509" s="135"/>
      <c r="H509" s="129"/>
      <c r="I509" s="129"/>
      <c r="J509" s="130" t="b">
        <v>0</v>
      </c>
      <c r="K509" s="58"/>
      <c r="L509" s="131" t="str">
        <f t="shared" si="8"/>
        <v/>
      </c>
      <c r="M509" s="130"/>
      <c r="N509" s="109"/>
      <c r="O509" s="109"/>
      <c r="P509" s="109"/>
      <c r="Q509" s="58"/>
      <c r="R509" s="136" t="b">
        <v>0</v>
      </c>
      <c r="S509" s="58"/>
      <c r="T509" s="80"/>
      <c r="U509" s="80"/>
      <c r="V509" s="80"/>
      <c r="W509" s="80"/>
      <c r="X509" s="80"/>
      <c r="Y509" s="80"/>
      <c r="Z509" s="80"/>
      <c r="AA509" s="81"/>
      <c r="AB509" s="81"/>
      <c r="AC509" s="81"/>
      <c r="AD509" s="81"/>
      <c r="AE509" s="81"/>
    </row>
    <row r="510">
      <c r="A510" s="16"/>
      <c r="B510" s="127"/>
      <c r="C510" s="127"/>
      <c r="D510" s="108"/>
      <c r="E510" s="109"/>
      <c r="F510" s="58"/>
      <c r="G510" s="135"/>
      <c r="H510" s="129"/>
      <c r="I510" s="129"/>
      <c r="J510" s="130" t="b">
        <v>0</v>
      </c>
      <c r="K510" s="58"/>
      <c r="L510" s="131" t="str">
        <f t="shared" si="8"/>
        <v/>
      </c>
      <c r="M510" s="130"/>
      <c r="N510" s="109"/>
      <c r="O510" s="109"/>
      <c r="P510" s="109"/>
      <c r="Q510" s="58"/>
      <c r="R510" s="136" t="b">
        <v>0</v>
      </c>
      <c r="S510" s="58"/>
      <c r="T510" s="80"/>
      <c r="U510" s="80"/>
      <c r="V510" s="80"/>
      <c r="W510" s="80"/>
      <c r="X510" s="80"/>
      <c r="Y510" s="80"/>
      <c r="Z510" s="80"/>
      <c r="AA510" s="81"/>
      <c r="AB510" s="81"/>
      <c r="AC510" s="81"/>
      <c r="AD510" s="81"/>
      <c r="AE510" s="81"/>
    </row>
    <row r="511">
      <c r="A511" s="16"/>
      <c r="B511" s="127"/>
      <c r="C511" s="127"/>
      <c r="D511" s="108"/>
      <c r="E511" s="109"/>
      <c r="F511" s="58"/>
      <c r="G511" s="135"/>
      <c r="H511" s="129"/>
      <c r="I511" s="129"/>
      <c r="J511" s="130" t="b">
        <v>0</v>
      </c>
      <c r="K511" s="58"/>
      <c r="L511" s="131" t="str">
        <f t="shared" si="8"/>
        <v/>
      </c>
      <c r="M511" s="130"/>
      <c r="N511" s="109"/>
      <c r="O511" s="109"/>
      <c r="P511" s="109"/>
      <c r="Q511" s="58"/>
      <c r="R511" s="136" t="b">
        <v>0</v>
      </c>
      <c r="S511" s="58"/>
      <c r="T511" s="80"/>
      <c r="U511" s="80"/>
      <c r="V511" s="80"/>
      <c r="W511" s="80"/>
      <c r="X511" s="80"/>
      <c r="Y511" s="80"/>
      <c r="Z511" s="80"/>
      <c r="AA511" s="81"/>
      <c r="AB511" s="81"/>
      <c r="AC511" s="81"/>
      <c r="AD511" s="81"/>
      <c r="AE511" s="81"/>
    </row>
    <row r="512">
      <c r="A512" s="16"/>
      <c r="B512" s="127"/>
      <c r="C512" s="127"/>
      <c r="D512" s="108"/>
      <c r="E512" s="109"/>
      <c r="F512" s="58"/>
      <c r="G512" s="135"/>
      <c r="H512" s="129"/>
      <c r="I512" s="129"/>
      <c r="J512" s="130" t="b">
        <v>0</v>
      </c>
      <c r="K512" s="58"/>
      <c r="L512" s="131" t="str">
        <f t="shared" si="8"/>
        <v/>
      </c>
      <c r="M512" s="130"/>
      <c r="N512" s="109"/>
      <c r="O512" s="109"/>
      <c r="P512" s="109"/>
      <c r="Q512" s="58"/>
      <c r="R512" s="136" t="b">
        <v>0</v>
      </c>
      <c r="S512" s="58"/>
      <c r="T512" s="80"/>
      <c r="U512" s="80"/>
      <c r="V512" s="80"/>
      <c r="W512" s="80"/>
      <c r="X512" s="80"/>
      <c r="Y512" s="80"/>
      <c r="Z512" s="80"/>
      <c r="AA512" s="81"/>
      <c r="AB512" s="81"/>
      <c r="AC512" s="81"/>
      <c r="AD512" s="81"/>
      <c r="AE512" s="81"/>
    </row>
    <row r="513">
      <c r="A513" s="16"/>
      <c r="B513" s="127"/>
      <c r="C513" s="127"/>
      <c r="D513" s="108"/>
      <c r="E513" s="109"/>
      <c r="F513" s="58"/>
      <c r="G513" s="135"/>
      <c r="H513" s="129"/>
      <c r="I513" s="129"/>
      <c r="J513" s="130" t="b">
        <v>0</v>
      </c>
      <c r="K513" s="58"/>
      <c r="L513" s="131" t="str">
        <f t="shared" si="8"/>
        <v/>
      </c>
      <c r="M513" s="130"/>
      <c r="N513" s="109"/>
      <c r="O513" s="109"/>
      <c r="P513" s="109"/>
      <c r="Q513" s="58"/>
      <c r="R513" s="136" t="b">
        <v>0</v>
      </c>
      <c r="S513" s="58"/>
      <c r="T513" s="80"/>
      <c r="U513" s="80"/>
      <c r="V513" s="80"/>
      <c r="W513" s="80"/>
      <c r="X513" s="80"/>
      <c r="Y513" s="80"/>
      <c r="Z513" s="80"/>
      <c r="AA513" s="81"/>
      <c r="AB513" s="81"/>
      <c r="AC513" s="81"/>
      <c r="AD513" s="81"/>
      <c r="AE513" s="81"/>
    </row>
    <row r="514">
      <c r="A514" s="16"/>
      <c r="B514" s="127"/>
      <c r="C514" s="127"/>
      <c r="D514" s="108"/>
      <c r="E514" s="109"/>
      <c r="F514" s="58"/>
      <c r="G514" s="135"/>
      <c r="H514" s="129"/>
      <c r="I514" s="129"/>
      <c r="J514" s="130" t="b">
        <v>0</v>
      </c>
      <c r="K514" s="58"/>
      <c r="L514" s="131" t="str">
        <f t="shared" si="8"/>
        <v/>
      </c>
      <c r="M514" s="130"/>
      <c r="N514" s="109"/>
      <c r="O514" s="109"/>
      <c r="P514" s="109"/>
      <c r="Q514" s="58"/>
      <c r="R514" s="136" t="b">
        <v>0</v>
      </c>
      <c r="S514" s="58"/>
      <c r="T514" s="80"/>
      <c r="U514" s="80"/>
      <c r="V514" s="80"/>
      <c r="W514" s="80"/>
      <c r="X514" s="80"/>
      <c r="Y514" s="80"/>
      <c r="Z514" s="80"/>
      <c r="AA514" s="81"/>
      <c r="AB514" s="81"/>
      <c r="AC514" s="81"/>
      <c r="AD514" s="81"/>
      <c r="AE514" s="81"/>
    </row>
    <row r="515">
      <c r="A515" s="16"/>
      <c r="B515" s="127"/>
      <c r="C515" s="127"/>
      <c r="D515" s="108"/>
      <c r="E515" s="109"/>
      <c r="F515" s="58"/>
      <c r="G515" s="135"/>
      <c r="H515" s="129"/>
      <c r="I515" s="129"/>
      <c r="J515" s="130" t="b">
        <v>0</v>
      </c>
      <c r="K515" s="58"/>
      <c r="L515" s="131" t="str">
        <f t="shared" si="8"/>
        <v/>
      </c>
      <c r="M515" s="130"/>
      <c r="N515" s="109"/>
      <c r="O515" s="109"/>
      <c r="P515" s="109"/>
      <c r="Q515" s="58"/>
      <c r="R515" s="136" t="b">
        <v>0</v>
      </c>
      <c r="S515" s="58"/>
      <c r="T515" s="80"/>
      <c r="U515" s="80"/>
      <c r="V515" s="80"/>
      <c r="W515" s="80"/>
      <c r="X515" s="80"/>
      <c r="Y515" s="80"/>
      <c r="Z515" s="80"/>
      <c r="AA515" s="81"/>
      <c r="AB515" s="81"/>
      <c r="AC515" s="81"/>
      <c r="AD515" s="81"/>
      <c r="AE515" s="81"/>
    </row>
    <row r="516">
      <c r="A516" s="16"/>
      <c r="B516" s="127"/>
      <c r="C516" s="127"/>
      <c r="D516" s="108"/>
      <c r="E516" s="109"/>
      <c r="F516" s="58"/>
      <c r="G516" s="135"/>
      <c r="H516" s="129"/>
      <c r="I516" s="129"/>
      <c r="J516" s="130" t="b">
        <v>0</v>
      </c>
      <c r="K516" s="58"/>
      <c r="L516" s="131" t="str">
        <f t="shared" si="8"/>
        <v/>
      </c>
      <c r="M516" s="130"/>
      <c r="N516" s="109"/>
      <c r="O516" s="109"/>
      <c r="P516" s="109"/>
      <c r="Q516" s="58"/>
      <c r="R516" s="136" t="b">
        <v>0</v>
      </c>
      <c r="S516" s="58"/>
      <c r="T516" s="80"/>
      <c r="U516" s="80"/>
      <c r="V516" s="80"/>
      <c r="W516" s="80"/>
      <c r="X516" s="80"/>
      <c r="Y516" s="80"/>
      <c r="Z516" s="80"/>
      <c r="AA516" s="81"/>
      <c r="AB516" s="81"/>
      <c r="AC516" s="81"/>
      <c r="AD516" s="81"/>
      <c r="AE516" s="81"/>
    </row>
    <row r="517">
      <c r="A517" s="16"/>
      <c r="B517" s="127"/>
      <c r="C517" s="127"/>
      <c r="D517" s="108"/>
      <c r="E517" s="109"/>
      <c r="F517" s="58"/>
      <c r="G517" s="135"/>
      <c r="H517" s="129"/>
      <c r="I517" s="129"/>
      <c r="J517" s="130" t="b">
        <v>0</v>
      </c>
      <c r="K517" s="58"/>
      <c r="L517" s="131" t="str">
        <f t="shared" si="8"/>
        <v/>
      </c>
      <c r="M517" s="130"/>
      <c r="N517" s="109"/>
      <c r="O517" s="109"/>
      <c r="P517" s="109"/>
      <c r="Q517" s="58"/>
      <c r="R517" s="136" t="b">
        <v>0</v>
      </c>
      <c r="S517" s="58"/>
      <c r="T517" s="80"/>
      <c r="U517" s="80"/>
      <c r="V517" s="80"/>
      <c r="W517" s="80"/>
      <c r="X517" s="80"/>
      <c r="Y517" s="80"/>
      <c r="Z517" s="80"/>
      <c r="AA517" s="81"/>
      <c r="AB517" s="81"/>
      <c r="AC517" s="81"/>
      <c r="AD517" s="81"/>
      <c r="AE517" s="81"/>
    </row>
    <row r="518">
      <c r="A518" s="16"/>
      <c r="B518" s="127"/>
      <c r="C518" s="127"/>
      <c r="D518" s="108"/>
      <c r="E518" s="109"/>
      <c r="F518" s="58"/>
      <c r="G518" s="135"/>
      <c r="H518" s="129"/>
      <c r="I518" s="129"/>
      <c r="J518" s="130" t="b">
        <v>0</v>
      </c>
      <c r="K518" s="58"/>
      <c r="L518" s="131" t="str">
        <f t="shared" si="8"/>
        <v/>
      </c>
      <c r="M518" s="130"/>
      <c r="N518" s="109"/>
      <c r="O518" s="109"/>
      <c r="P518" s="109"/>
      <c r="Q518" s="58"/>
      <c r="R518" s="136" t="b">
        <v>0</v>
      </c>
      <c r="S518" s="58"/>
      <c r="T518" s="80"/>
      <c r="U518" s="80"/>
      <c r="V518" s="80"/>
      <c r="W518" s="80"/>
      <c r="X518" s="80"/>
      <c r="Y518" s="80"/>
      <c r="Z518" s="80"/>
      <c r="AA518" s="81"/>
      <c r="AB518" s="81"/>
      <c r="AC518" s="81"/>
      <c r="AD518" s="81"/>
      <c r="AE518" s="81"/>
    </row>
    <row r="519">
      <c r="A519" s="16"/>
      <c r="B519" s="127"/>
      <c r="C519" s="127"/>
      <c r="D519" s="108"/>
      <c r="E519" s="109"/>
      <c r="F519" s="58"/>
      <c r="G519" s="135"/>
      <c r="H519" s="129"/>
      <c r="I519" s="129"/>
      <c r="J519" s="130" t="b">
        <v>0</v>
      </c>
      <c r="K519" s="58"/>
      <c r="L519" s="131" t="str">
        <f t="shared" si="8"/>
        <v/>
      </c>
      <c r="M519" s="130"/>
      <c r="N519" s="109"/>
      <c r="O519" s="109"/>
      <c r="P519" s="109"/>
      <c r="Q519" s="58"/>
      <c r="R519" s="136" t="b">
        <v>0</v>
      </c>
      <c r="S519" s="58"/>
      <c r="T519" s="80"/>
      <c r="U519" s="80"/>
      <c r="V519" s="80"/>
      <c r="W519" s="80"/>
      <c r="X519" s="80"/>
      <c r="Y519" s="80"/>
      <c r="Z519" s="80"/>
      <c r="AA519" s="81"/>
      <c r="AB519" s="81"/>
      <c r="AC519" s="81"/>
      <c r="AD519" s="81"/>
      <c r="AE519" s="81"/>
    </row>
    <row r="520">
      <c r="A520" s="16"/>
      <c r="B520" s="127"/>
      <c r="C520" s="127"/>
      <c r="D520" s="108"/>
      <c r="E520" s="109"/>
      <c r="F520" s="58"/>
      <c r="G520" s="135"/>
      <c r="H520" s="129"/>
      <c r="I520" s="129"/>
      <c r="J520" s="130" t="b">
        <v>0</v>
      </c>
      <c r="K520" s="58"/>
      <c r="L520" s="131" t="str">
        <f t="shared" si="8"/>
        <v/>
      </c>
      <c r="M520" s="130"/>
      <c r="N520" s="109"/>
      <c r="O520" s="109"/>
      <c r="P520" s="109"/>
      <c r="Q520" s="58"/>
      <c r="R520" s="136" t="b">
        <v>0</v>
      </c>
      <c r="S520" s="58"/>
      <c r="T520" s="80"/>
      <c r="U520" s="80"/>
      <c r="V520" s="80"/>
      <c r="W520" s="80"/>
      <c r="X520" s="80"/>
      <c r="Y520" s="80"/>
      <c r="Z520" s="80"/>
      <c r="AA520" s="81"/>
      <c r="AB520" s="81"/>
      <c r="AC520" s="81"/>
      <c r="AD520" s="81"/>
      <c r="AE520" s="81"/>
    </row>
    <row r="521">
      <c r="A521" s="16"/>
      <c r="B521" s="127"/>
      <c r="C521" s="127"/>
      <c r="D521" s="108"/>
      <c r="E521" s="109"/>
      <c r="F521" s="58"/>
      <c r="G521" s="135"/>
      <c r="H521" s="129"/>
      <c r="I521" s="129"/>
      <c r="J521" s="130" t="b">
        <v>0</v>
      </c>
      <c r="K521" s="58"/>
      <c r="L521" s="131" t="str">
        <f t="shared" si="8"/>
        <v/>
      </c>
      <c r="M521" s="130"/>
      <c r="N521" s="109"/>
      <c r="O521" s="109"/>
      <c r="P521" s="109"/>
      <c r="Q521" s="58"/>
      <c r="R521" s="136" t="b">
        <v>0</v>
      </c>
      <c r="S521" s="58"/>
      <c r="T521" s="80"/>
      <c r="U521" s="80"/>
      <c r="V521" s="80"/>
      <c r="W521" s="80"/>
      <c r="X521" s="80"/>
      <c r="Y521" s="80"/>
      <c r="Z521" s="80"/>
      <c r="AA521" s="81"/>
      <c r="AB521" s="81"/>
      <c r="AC521" s="81"/>
      <c r="AD521" s="81"/>
      <c r="AE521" s="81"/>
    </row>
    <row r="522">
      <c r="A522" s="16"/>
      <c r="B522" s="127"/>
      <c r="C522" s="127"/>
      <c r="D522" s="108"/>
      <c r="E522" s="109"/>
      <c r="F522" s="58"/>
      <c r="G522" s="135"/>
      <c r="H522" s="129"/>
      <c r="I522" s="129"/>
      <c r="J522" s="130" t="b">
        <v>0</v>
      </c>
      <c r="K522" s="58"/>
      <c r="L522" s="131" t="str">
        <f t="shared" si="8"/>
        <v/>
      </c>
      <c r="M522" s="130"/>
      <c r="N522" s="109"/>
      <c r="O522" s="109"/>
      <c r="P522" s="109"/>
      <c r="Q522" s="58"/>
      <c r="R522" s="136" t="b">
        <v>0</v>
      </c>
      <c r="S522" s="58"/>
      <c r="T522" s="80"/>
      <c r="U522" s="80"/>
      <c r="V522" s="80"/>
      <c r="W522" s="80"/>
      <c r="X522" s="80"/>
      <c r="Y522" s="80"/>
      <c r="Z522" s="80"/>
      <c r="AA522" s="81"/>
      <c r="AB522" s="81"/>
      <c r="AC522" s="81"/>
      <c r="AD522" s="81"/>
      <c r="AE522" s="81"/>
    </row>
    <row r="523">
      <c r="A523" s="16"/>
      <c r="B523" s="127"/>
      <c r="C523" s="127"/>
      <c r="D523" s="108"/>
      <c r="E523" s="109"/>
      <c r="F523" s="58"/>
      <c r="G523" s="135"/>
      <c r="H523" s="129"/>
      <c r="I523" s="129"/>
      <c r="J523" s="130" t="b">
        <v>0</v>
      </c>
      <c r="K523" s="58"/>
      <c r="L523" s="131" t="str">
        <f t="shared" si="8"/>
        <v/>
      </c>
      <c r="M523" s="130"/>
      <c r="N523" s="109"/>
      <c r="O523" s="109"/>
      <c r="P523" s="109"/>
      <c r="Q523" s="58"/>
      <c r="R523" s="136" t="b">
        <v>0</v>
      </c>
      <c r="S523" s="58"/>
      <c r="T523" s="80"/>
      <c r="U523" s="80"/>
      <c r="V523" s="80"/>
      <c r="W523" s="80"/>
      <c r="X523" s="80"/>
      <c r="Y523" s="80"/>
      <c r="Z523" s="80"/>
      <c r="AA523" s="81"/>
      <c r="AB523" s="81"/>
      <c r="AC523" s="81"/>
      <c r="AD523" s="81"/>
      <c r="AE523" s="81"/>
    </row>
    <row r="524">
      <c r="A524" s="16"/>
      <c r="B524" s="127"/>
      <c r="C524" s="127"/>
      <c r="D524" s="108"/>
      <c r="E524" s="109"/>
      <c r="F524" s="58"/>
      <c r="G524" s="135"/>
      <c r="H524" s="129"/>
      <c r="I524" s="129"/>
      <c r="J524" s="130" t="b">
        <v>0</v>
      </c>
      <c r="K524" s="58"/>
      <c r="L524" s="131" t="str">
        <f t="shared" si="8"/>
        <v/>
      </c>
      <c r="M524" s="130"/>
      <c r="N524" s="109"/>
      <c r="O524" s="109"/>
      <c r="P524" s="109"/>
      <c r="Q524" s="58"/>
      <c r="R524" s="136" t="b">
        <v>0</v>
      </c>
      <c r="S524" s="58"/>
      <c r="T524" s="80"/>
      <c r="U524" s="80"/>
      <c r="V524" s="80"/>
      <c r="W524" s="80"/>
      <c r="X524" s="80"/>
      <c r="Y524" s="80"/>
      <c r="Z524" s="80"/>
      <c r="AA524" s="81"/>
      <c r="AB524" s="81"/>
      <c r="AC524" s="81"/>
      <c r="AD524" s="81"/>
      <c r="AE524" s="81"/>
    </row>
    <row r="525">
      <c r="A525" s="16"/>
      <c r="B525" s="127"/>
      <c r="C525" s="127"/>
      <c r="D525" s="108"/>
      <c r="E525" s="109"/>
      <c r="F525" s="58"/>
      <c r="G525" s="135"/>
      <c r="H525" s="129"/>
      <c r="I525" s="129"/>
      <c r="J525" s="130" t="b">
        <v>0</v>
      </c>
      <c r="K525" s="58"/>
      <c r="L525" s="131" t="str">
        <f t="shared" si="8"/>
        <v/>
      </c>
      <c r="M525" s="108"/>
      <c r="N525" s="109"/>
      <c r="O525" s="109"/>
      <c r="P525" s="109"/>
      <c r="Q525" s="58"/>
      <c r="R525" s="136" t="b">
        <v>0</v>
      </c>
      <c r="S525" s="58"/>
      <c r="T525" s="80"/>
      <c r="U525" s="80"/>
      <c r="V525" s="80"/>
      <c r="W525" s="80"/>
      <c r="X525" s="80"/>
      <c r="Y525" s="80"/>
      <c r="Z525" s="80"/>
      <c r="AA525" s="81"/>
      <c r="AB525" s="81"/>
      <c r="AC525" s="81"/>
      <c r="AD525" s="81"/>
      <c r="AE525" s="81"/>
    </row>
    <row r="526">
      <c r="A526" s="16"/>
      <c r="B526" s="127"/>
      <c r="C526" s="127"/>
      <c r="D526" s="108"/>
      <c r="E526" s="109"/>
      <c r="F526" s="58"/>
      <c r="G526" s="135"/>
      <c r="H526" s="129"/>
      <c r="I526" s="129"/>
      <c r="J526" s="130" t="b">
        <v>0</v>
      </c>
      <c r="K526" s="58"/>
      <c r="L526" s="131" t="str">
        <f t="shared" si="8"/>
        <v/>
      </c>
      <c r="M526" s="108"/>
      <c r="N526" s="109"/>
      <c r="O526" s="109"/>
      <c r="P526" s="109"/>
      <c r="Q526" s="58"/>
      <c r="R526" s="136" t="b">
        <v>0</v>
      </c>
      <c r="S526" s="58"/>
      <c r="T526" s="80"/>
      <c r="U526" s="80"/>
      <c r="V526" s="80"/>
      <c r="W526" s="80"/>
      <c r="X526" s="80"/>
      <c r="Y526" s="80"/>
      <c r="Z526" s="80"/>
      <c r="AA526" s="81"/>
      <c r="AB526" s="81"/>
      <c r="AC526" s="81"/>
      <c r="AD526" s="81"/>
      <c r="AE526" s="81"/>
    </row>
    <row r="527">
      <c r="A527" s="16"/>
      <c r="B527" s="127"/>
      <c r="C527" s="127"/>
      <c r="D527" s="108"/>
      <c r="E527" s="109"/>
      <c r="F527" s="58"/>
      <c r="G527" s="135"/>
      <c r="H527" s="129"/>
      <c r="I527" s="129"/>
      <c r="J527" s="130" t="b">
        <v>0</v>
      </c>
      <c r="K527" s="58"/>
      <c r="L527" s="131" t="str">
        <f t="shared" si="8"/>
        <v/>
      </c>
      <c r="M527" s="108"/>
      <c r="N527" s="109"/>
      <c r="O527" s="109"/>
      <c r="P527" s="109"/>
      <c r="Q527" s="58"/>
      <c r="R527" s="136" t="b">
        <v>0</v>
      </c>
      <c r="S527" s="58"/>
      <c r="T527" s="80"/>
      <c r="U527" s="80"/>
      <c r="V527" s="80"/>
      <c r="W527" s="80"/>
      <c r="X527" s="80"/>
      <c r="Y527" s="80"/>
      <c r="Z527" s="80"/>
      <c r="AA527" s="81"/>
      <c r="AB527" s="81"/>
      <c r="AC527" s="81"/>
      <c r="AD527" s="81"/>
      <c r="AE527" s="81"/>
    </row>
    <row r="528">
      <c r="A528" s="16"/>
      <c r="B528" s="127"/>
      <c r="C528" s="127"/>
      <c r="D528" s="108"/>
      <c r="E528" s="109"/>
      <c r="F528" s="58"/>
      <c r="G528" s="135"/>
      <c r="H528" s="129"/>
      <c r="I528" s="129"/>
      <c r="J528" s="130" t="b">
        <v>0</v>
      </c>
      <c r="K528" s="58"/>
      <c r="L528" s="131" t="str">
        <f t="shared" si="8"/>
        <v/>
      </c>
      <c r="M528" s="108"/>
      <c r="N528" s="109"/>
      <c r="O528" s="109"/>
      <c r="P528" s="109"/>
      <c r="Q528" s="58"/>
      <c r="R528" s="136" t="b">
        <v>0</v>
      </c>
      <c r="S528" s="58"/>
      <c r="T528" s="80"/>
      <c r="U528" s="80"/>
      <c r="V528" s="80"/>
      <c r="W528" s="80"/>
      <c r="X528" s="80"/>
      <c r="Y528" s="80"/>
      <c r="Z528" s="80"/>
      <c r="AA528" s="81"/>
      <c r="AB528" s="81"/>
      <c r="AC528" s="81"/>
      <c r="AD528" s="81"/>
      <c r="AE528" s="81"/>
    </row>
    <row r="529">
      <c r="A529" s="16"/>
      <c r="B529" s="127"/>
      <c r="C529" s="127"/>
      <c r="D529" s="108"/>
      <c r="E529" s="109"/>
      <c r="F529" s="58"/>
      <c r="G529" s="135"/>
      <c r="H529" s="129"/>
      <c r="I529" s="129"/>
      <c r="J529" s="130" t="b">
        <v>0</v>
      </c>
      <c r="K529" s="58"/>
      <c r="L529" s="131" t="str">
        <f t="shared" si="8"/>
        <v/>
      </c>
      <c r="M529" s="108"/>
      <c r="N529" s="109"/>
      <c r="O529" s="109"/>
      <c r="P529" s="109"/>
      <c r="Q529" s="58"/>
      <c r="R529" s="136" t="b">
        <v>0</v>
      </c>
      <c r="S529" s="58"/>
      <c r="T529" s="80"/>
      <c r="U529" s="80"/>
      <c r="V529" s="80"/>
      <c r="W529" s="80"/>
      <c r="X529" s="80"/>
      <c r="Y529" s="80"/>
      <c r="Z529" s="80"/>
      <c r="AA529" s="81"/>
      <c r="AB529" s="81"/>
      <c r="AC529" s="81"/>
      <c r="AD529" s="81"/>
      <c r="AE529" s="81"/>
    </row>
    <row r="530">
      <c r="A530" s="16"/>
      <c r="B530" s="127"/>
      <c r="C530" s="127"/>
      <c r="D530" s="108"/>
      <c r="E530" s="109"/>
      <c r="F530" s="58"/>
      <c r="G530" s="135"/>
      <c r="H530" s="129"/>
      <c r="I530" s="129"/>
      <c r="J530" s="130" t="b">
        <v>0</v>
      </c>
      <c r="K530" s="58"/>
      <c r="L530" s="131" t="str">
        <f t="shared" si="8"/>
        <v/>
      </c>
      <c r="M530" s="108"/>
      <c r="N530" s="109"/>
      <c r="O530" s="109"/>
      <c r="P530" s="109"/>
      <c r="Q530" s="58"/>
      <c r="R530" s="136" t="b">
        <v>0</v>
      </c>
      <c r="S530" s="58"/>
      <c r="T530" s="80"/>
      <c r="U530" s="80"/>
      <c r="V530" s="80"/>
      <c r="W530" s="80"/>
      <c r="X530" s="80"/>
      <c r="Y530" s="80"/>
      <c r="Z530" s="80"/>
      <c r="AA530" s="81"/>
      <c r="AB530" s="81"/>
      <c r="AC530" s="81"/>
      <c r="AD530" s="81"/>
      <c r="AE530" s="81"/>
    </row>
    <row r="531">
      <c r="A531" s="16"/>
      <c r="B531" s="127"/>
      <c r="C531" s="127"/>
      <c r="D531" s="108"/>
      <c r="E531" s="109"/>
      <c r="F531" s="58"/>
      <c r="G531" s="135"/>
      <c r="H531" s="129"/>
      <c r="I531" s="129"/>
      <c r="J531" s="130" t="b">
        <v>0</v>
      </c>
      <c r="K531" s="58"/>
      <c r="L531" s="131" t="str">
        <f t="shared" si="8"/>
        <v/>
      </c>
      <c r="M531" s="108"/>
      <c r="N531" s="109"/>
      <c r="O531" s="109"/>
      <c r="P531" s="109"/>
      <c r="Q531" s="58"/>
      <c r="R531" s="136" t="b">
        <v>0</v>
      </c>
      <c r="S531" s="58"/>
      <c r="T531" s="80"/>
      <c r="U531" s="80"/>
      <c r="V531" s="80"/>
      <c r="W531" s="80"/>
      <c r="X531" s="80"/>
      <c r="Y531" s="80"/>
      <c r="Z531" s="80"/>
      <c r="AA531" s="81"/>
      <c r="AB531" s="81"/>
      <c r="AC531" s="81"/>
      <c r="AD531" s="81"/>
      <c r="AE531" s="81"/>
    </row>
    <row r="532">
      <c r="A532" s="16"/>
      <c r="B532" s="127"/>
      <c r="C532" s="127"/>
      <c r="D532" s="108"/>
      <c r="E532" s="109"/>
      <c r="F532" s="58"/>
      <c r="G532" s="135"/>
      <c r="H532" s="129"/>
      <c r="I532" s="129"/>
      <c r="J532" s="130" t="b">
        <v>0</v>
      </c>
      <c r="K532" s="58"/>
      <c r="L532" s="131" t="str">
        <f t="shared" si="8"/>
        <v/>
      </c>
      <c r="M532" s="108"/>
      <c r="N532" s="109"/>
      <c r="O532" s="109"/>
      <c r="P532" s="109"/>
      <c r="Q532" s="58"/>
      <c r="R532" s="136" t="b">
        <v>0</v>
      </c>
      <c r="S532" s="58"/>
      <c r="T532" s="80"/>
      <c r="U532" s="80"/>
      <c r="V532" s="80"/>
      <c r="W532" s="80"/>
      <c r="X532" s="80"/>
      <c r="Y532" s="80"/>
      <c r="Z532" s="80"/>
      <c r="AA532" s="81"/>
      <c r="AB532" s="81"/>
      <c r="AC532" s="81"/>
      <c r="AD532" s="81"/>
      <c r="AE532" s="81"/>
    </row>
    <row r="533">
      <c r="A533" s="16"/>
      <c r="B533" s="127"/>
      <c r="C533" s="127"/>
      <c r="D533" s="108"/>
      <c r="E533" s="109"/>
      <c r="F533" s="58"/>
      <c r="G533" s="135"/>
      <c r="H533" s="129"/>
      <c r="I533" s="129"/>
      <c r="J533" s="130" t="b">
        <v>0</v>
      </c>
      <c r="K533" s="58"/>
      <c r="L533" s="131" t="str">
        <f t="shared" si="8"/>
        <v/>
      </c>
      <c r="M533" s="108"/>
      <c r="N533" s="109"/>
      <c r="O533" s="109"/>
      <c r="P533" s="109"/>
      <c r="Q533" s="58"/>
      <c r="R533" s="136" t="b">
        <v>0</v>
      </c>
      <c r="S533" s="58"/>
      <c r="T533" s="80"/>
      <c r="U533" s="80"/>
      <c r="V533" s="80"/>
      <c r="W533" s="80"/>
      <c r="X533" s="80"/>
      <c r="Y533" s="80"/>
      <c r="Z533" s="80"/>
      <c r="AA533" s="81"/>
      <c r="AB533" s="81"/>
      <c r="AC533" s="81"/>
      <c r="AD533" s="81"/>
      <c r="AE533" s="81"/>
    </row>
    <row r="534">
      <c r="A534" s="16"/>
      <c r="B534" s="127"/>
      <c r="C534" s="127"/>
      <c r="D534" s="108"/>
      <c r="E534" s="109"/>
      <c r="F534" s="58"/>
      <c r="G534" s="135"/>
      <c r="H534" s="129"/>
      <c r="I534" s="129"/>
      <c r="J534" s="130" t="b">
        <v>0</v>
      </c>
      <c r="K534" s="58"/>
      <c r="L534" s="131" t="str">
        <f t="shared" si="8"/>
        <v/>
      </c>
      <c r="M534" s="108"/>
      <c r="N534" s="109"/>
      <c r="O534" s="109"/>
      <c r="P534" s="109"/>
      <c r="Q534" s="58"/>
      <c r="R534" s="136" t="b">
        <v>0</v>
      </c>
      <c r="S534" s="58"/>
      <c r="T534" s="80"/>
      <c r="U534" s="80"/>
      <c r="V534" s="80"/>
      <c r="W534" s="80"/>
      <c r="X534" s="80"/>
      <c r="Y534" s="80"/>
      <c r="Z534" s="80"/>
      <c r="AA534" s="81"/>
      <c r="AB534" s="81"/>
      <c r="AC534" s="81"/>
      <c r="AD534" s="81"/>
      <c r="AE534" s="81"/>
    </row>
    <row r="535">
      <c r="A535" s="16"/>
      <c r="B535" s="127"/>
      <c r="C535" s="127"/>
      <c r="D535" s="108"/>
      <c r="E535" s="109"/>
      <c r="F535" s="58"/>
      <c r="G535" s="135"/>
      <c r="H535" s="129"/>
      <c r="I535" s="129"/>
      <c r="J535" s="130" t="b">
        <v>0</v>
      </c>
      <c r="K535" s="58"/>
      <c r="L535" s="131" t="str">
        <f t="shared" si="8"/>
        <v/>
      </c>
      <c r="M535" s="108"/>
      <c r="N535" s="109"/>
      <c r="O535" s="109"/>
      <c r="P535" s="109"/>
      <c r="Q535" s="58"/>
      <c r="R535" s="136" t="b">
        <v>0</v>
      </c>
      <c r="S535" s="58"/>
      <c r="T535" s="80"/>
      <c r="U535" s="80"/>
      <c r="V535" s="80"/>
      <c r="W535" s="80"/>
      <c r="X535" s="80"/>
      <c r="Y535" s="80"/>
      <c r="Z535" s="80"/>
      <c r="AA535" s="81"/>
      <c r="AB535" s="81"/>
      <c r="AC535" s="81"/>
      <c r="AD535" s="81"/>
      <c r="AE535" s="81"/>
    </row>
    <row r="536">
      <c r="A536" s="16"/>
      <c r="B536" s="127"/>
      <c r="C536" s="127"/>
      <c r="D536" s="108"/>
      <c r="E536" s="109"/>
      <c r="F536" s="58"/>
      <c r="G536" s="135"/>
      <c r="H536" s="129"/>
      <c r="I536" s="129"/>
      <c r="J536" s="130" t="b">
        <v>0</v>
      </c>
      <c r="K536" s="58"/>
      <c r="L536" s="131" t="str">
        <f t="shared" si="8"/>
        <v/>
      </c>
      <c r="M536" s="108"/>
      <c r="N536" s="109"/>
      <c r="O536" s="109"/>
      <c r="P536" s="109"/>
      <c r="Q536" s="58"/>
      <c r="R536" s="136" t="b">
        <v>0</v>
      </c>
      <c r="S536" s="58"/>
      <c r="T536" s="80"/>
      <c r="U536" s="80"/>
      <c r="V536" s="80"/>
      <c r="W536" s="80"/>
      <c r="X536" s="80"/>
      <c r="Y536" s="80"/>
      <c r="Z536" s="80"/>
      <c r="AA536" s="81"/>
      <c r="AB536" s="81"/>
      <c r="AC536" s="81"/>
      <c r="AD536" s="81"/>
      <c r="AE536" s="81"/>
    </row>
    <row r="537">
      <c r="A537" s="16"/>
      <c r="B537" s="127"/>
      <c r="C537" s="127"/>
      <c r="D537" s="108"/>
      <c r="E537" s="109"/>
      <c r="F537" s="58"/>
      <c r="G537" s="135"/>
      <c r="H537" s="129"/>
      <c r="I537" s="129"/>
      <c r="J537" s="130" t="b">
        <v>0</v>
      </c>
      <c r="K537" s="58"/>
      <c r="L537" s="131" t="str">
        <f t="shared" si="8"/>
        <v/>
      </c>
      <c r="M537" s="108"/>
      <c r="N537" s="109"/>
      <c r="O537" s="109"/>
      <c r="P537" s="109"/>
      <c r="Q537" s="58"/>
      <c r="R537" s="136" t="b">
        <v>0</v>
      </c>
      <c r="S537" s="58"/>
      <c r="T537" s="80"/>
      <c r="U537" s="80"/>
      <c r="V537" s="80"/>
      <c r="W537" s="80"/>
      <c r="X537" s="80"/>
      <c r="Y537" s="80"/>
      <c r="Z537" s="80"/>
      <c r="AA537" s="81"/>
      <c r="AB537" s="81"/>
      <c r="AC537" s="81"/>
      <c r="AD537" s="81"/>
      <c r="AE537" s="81"/>
    </row>
    <row r="538">
      <c r="A538" s="16"/>
      <c r="B538" s="127"/>
      <c r="C538" s="127"/>
      <c r="D538" s="108"/>
      <c r="E538" s="109"/>
      <c r="F538" s="58"/>
      <c r="G538" s="135"/>
      <c r="H538" s="129"/>
      <c r="I538" s="129"/>
      <c r="J538" s="130" t="b">
        <v>0</v>
      </c>
      <c r="K538" s="58"/>
      <c r="L538" s="131" t="str">
        <f t="shared" si="8"/>
        <v/>
      </c>
      <c r="M538" s="108"/>
      <c r="N538" s="109"/>
      <c r="O538" s="109"/>
      <c r="P538" s="109"/>
      <c r="Q538" s="58"/>
      <c r="R538" s="136" t="b">
        <v>0</v>
      </c>
      <c r="S538" s="58"/>
      <c r="T538" s="80"/>
      <c r="U538" s="80"/>
      <c r="V538" s="80"/>
      <c r="W538" s="80"/>
      <c r="X538" s="80"/>
      <c r="Y538" s="80"/>
      <c r="Z538" s="80"/>
      <c r="AA538" s="81"/>
      <c r="AB538" s="81"/>
      <c r="AC538" s="81"/>
      <c r="AD538" s="81"/>
      <c r="AE538" s="81"/>
    </row>
    <row r="539">
      <c r="A539" s="16"/>
      <c r="B539" s="127"/>
      <c r="C539" s="127"/>
      <c r="D539" s="108"/>
      <c r="E539" s="109"/>
      <c r="F539" s="58"/>
      <c r="G539" s="135"/>
      <c r="H539" s="129"/>
      <c r="I539" s="129"/>
      <c r="J539" s="130" t="b">
        <v>0</v>
      </c>
      <c r="K539" s="58"/>
      <c r="L539" s="131" t="str">
        <f t="shared" si="8"/>
        <v/>
      </c>
      <c r="M539" s="108"/>
      <c r="N539" s="109"/>
      <c r="O539" s="109"/>
      <c r="P539" s="109"/>
      <c r="Q539" s="58"/>
      <c r="R539" s="136" t="b">
        <v>0</v>
      </c>
      <c r="S539" s="58"/>
      <c r="T539" s="80"/>
      <c r="U539" s="80"/>
      <c r="V539" s="80"/>
      <c r="W539" s="80"/>
      <c r="X539" s="80"/>
      <c r="Y539" s="80"/>
      <c r="Z539" s="80"/>
      <c r="AA539" s="81"/>
      <c r="AB539" s="81"/>
      <c r="AC539" s="81"/>
      <c r="AD539" s="81"/>
      <c r="AE539" s="81"/>
    </row>
    <row r="540">
      <c r="A540" s="16"/>
      <c r="B540" s="127"/>
      <c r="C540" s="127"/>
      <c r="D540" s="108"/>
      <c r="E540" s="109"/>
      <c r="F540" s="58"/>
      <c r="G540" s="135"/>
      <c r="H540" s="129"/>
      <c r="I540" s="129"/>
      <c r="J540" s="130" t="b">
        <v>0</v>
      </c>
      <c r="K540" s="58"/>
      <c r="L540" s="131" t="str">
        <f t="shared" si="8"/>
        <v/>
      </c>
      <c r="M540" s="108"/>
      <c r="N540" s="109"/>
      <c r="O540" s="109"/>
      <c r="P540" s="109"/>
      <c r="Q540" s="58"/>
      <c r="R540" s="136" t="b">
        <v>0</v>
      </c>
      <c r="S540" s="58"/>
      <c r="T540" s="80"/>
      <c r="U540" s="80"/>
      <c r="V540" s="80"/>
      <c r="W540" s="80"/>
      <c r="X540" s="80"/>
      <c r="Y540" s="80"/>
      <c r="Z540" s="80"/>
      <c r="AA540" s="81"/>
      <c r="AB540" s="81"/>
      <c r="AC540" s="81"/>
      <c r="AD540" s="81"/>
      <c r="AE540" s="81"/>
    </row>
    <row r="541">
      <c r="A541" s="16"/>
      <c r="B541" s="127"/>
      <c r="C541" s="127"/>
      <c r="D541" s="108"/>
      <c r="E541" s="109"/>
      <c r="F541" s="58"/>
      <c r="G541" s="135"/>
      <c r="H541" s="129"/>
      <c r="I541" s="129"/>
      <c r="J541" s="130" t="b">
        <v>0</v>
      </c>
      <c r="K541" s="58"/>
      <c r="L541" s="131" t="str">
        <f t="shared" si="8"/>
        <v/>
      </c>
      <c r="M541" s="108"/>
      <c r="N541" s="109"/>
      <c r="O541" s="109"/>
      <c r="P541" s="109"/>
      <c r="Q541" s="58"/>
      <c r="R541" s="136" t="b">
        <v>0</v>
      </c>
      <c r="S541" s="58"/>
      <c r="T541" s="80"/>
      <c r="U541" s="80"/>
      <c r="V541" s="80"/>
      <c r="W541" s="80"/>
      <c r="X541" s="80"/>
      <c r="Y541" s="80"/>
      <c r="Z541" s="80"/>
      <c r="AA541" s="81"/>
      <c r="AB541" s="81"/>
      <c r="AC541" s="81"/>
      <c r="AD541" s="81"/>
      <c r="AE541" s="81"/>
    </row>
    <row r="542">
      <c r="A542" s="16"/>
      <c r="B542" s="127"/>
      <c r="C542" s="127"/>
      <c r="D542" s="108"/>
      <c r="E542" s="109"/>
      <c r="F542" s="58"/>
      <c r="G542" s="135"/>
      <c r="H542" s="129"/>
      <c r="I542" s="129"/>
      <c r="J542" s="130" t="b">
        <v>0</v>
      </c>
      <c r="K542" s="58"/>
      <c r="L542" s="131" t="str">
        <f t="shared" si="8"/>
        <v/>
      </c>
      <c r="M542" s="108"/>
      <c r="N542" s="109"/>
      <c r="O542" s="109"/>
      <c r="P542" s="109"/>
      <c r="Q542" s="58"/>
      <c r="R542" s="136" t="b">
        <v>0</v>
      </c>
      <c r="S542" s="58"/>
      <c r="T542" s="80"/>
      <c r="U542" s="80"/>
      <c r="V542" s="80"/>
      <c r="W542" s="80"/>
      <c r="X542" s="80"/>
      <c r="Y542" s="80"/>
      <c r="Z542" s="80"/>
      <c r="AA542" s="81"/>
      <c r="AB542" s="81"/>
      <c r="AC542" s="81"/>
      <c r="AD542" s="81"/>
      <c r="AE542" s="81"/>
    </row>
    <row r="543">
      <c r="A543" s="16"/>
      <c r="B543" s="127"/>
      <c r="C543" s="127"/>
      <c r="D543" s="108"/>
      <c r="E543" s="109"/>
      <c r="F543" s="58"/>
      <c r="G543" s="135"/>
      <c r="H543" s="129"/>
      <c r="I543" s="129"/>
      <c r="J543" s="130" t="b">
        <v>0</v>
      </c>
      <c r="K543" s="58"/>
      <c r="L543" s="131" t="str">
        <f t="shared" si="8"/>
        <v/>
      </c>
      <c r="M543" s="108"/>
      <c r="N543" s="109"/>
      <c r="O543" s="109"/>
      <c r="P543" s="109"/>
      <c r="Q543" s="58"/>
      <c r="R543" s="136" t="b">
        <v>0</v>
      </c>
      <c r="S543" s="58"/>
      <c r="T543" s="80"/>
      <c r="U543" s="80"/>
      <c r="V543" s="80"/>
      <c r="W543" s="80"/>
      <c r="X543" s="80"/>
      <c r="Y543" s="80"/>
      <c r="Z543" s="80"/>
      <c r="AA543" s="81"/>
      <c r="AB543" s="81"/>
      <c r="AC543" s="81"/>
      <c r="AD543" s="81"/>
      <c r="AE543" s="81"/>
    </row>
    <row r="544">
      <c r="A544" s="16"/>
      <c r="B544" s="127"/>
      <c r="C544" s="127"/>
      <c r="D544" s="108"/>
      <c r="E544" s="109"/>
      <c r="F544" s="58"/>
      <c r="G544" s="135"/>
      <c r="H544" s="129"/>
      <c r="I544" s="129"/>
      <c r="J544" s="130" t="b">
        <v>0</v>
      </c>
      <c r="K544" s="58"/>
      <c r="L544" s="131" t="str">
        <f t="shared" si="8"/>
        <v/>
      </c>
      <c r="M544" s="108"/>
      <c r="N544" s="109"/>
      <c r="O544" s="109"/>
      <c r="P544" s="109"/>
      <c r="Q544" s="58"/>
      <c r="R544" s="136" t="b">
        <v>0</v>
      </c>
      <c r="S544" s="58"/>
      <c r="T544" s="80"/>
      <c r="U544" s="80"/>
      <c r="V544" s="80"/>
      <c r="W544" s="80"/>
      <c r="X544" s="80"/>
      <c r="Y544" s="80"/>
      <c r="Z544" s="80"/>
      <c r="AA544" s="81"/>
      <c r="AB544" s="81"/>
      <c r="AC544" s="81"/>
      <c r="AD544" s="81"/>
      <c r="AE544" s="81"/>
    </row>
    <row r="545">
      <c r="A545" s="16"/>
      <c r="B545" s="127"/>
      <c r="C545" s="127"/>
      <c r="D545" s="108"/>
      <c r="E545" s="109"/>
      <c r="F545" s="58"/>
      <c r="G545" s="135"/>
      <c r="H545" s="129"/>
      <c r="I545" s="129"/>
      <c r="J545" s="130" t="b">
        <v>0</v>
      </c>
      <c r="K545" s="58"/>
      <c r="L545" s="131" t="str">
        <f t="shared" si="8"/>
        <v/>
      </c>
      <c r="M545" s="108"/>
      <c r="N545" s="109"/>
      <c r="O545" s="109"/>
      <c r="P545" s="109"/>
      <c r="Q545" s="58"/>
      <c r="R545" s="136" t="b">
        <v>0</v>
      </c>
      <c r="S545" s="58"/>
      <c r="T545" s="80"/>
      <c r="U545" s="80"/>
      <c r="V545" s="80"/>
      <c r="W545" s="80"/>
      <c r="X545" s="80"/>
      <c r="Y545" s="80"/>
      <c r="Z545" s="80"/>
      <c r="AA545" s="81"/>
      <c r="AB545" s="81"/>
      <c r="AC545" s="81"/>
      <c r="AD545" s="81"/>
      <c r="AE545" s="81"/>
    </row>
    <row r="546">
      <c r="A546" s="16"/>
      <c r="B546" s="127"/>
      <c r="C546" s="127"/>
      <c r="D546" s="108"/>
      <c r="E546" s="109"/>
      <c r="F546" s="58"/>
      <c r="G546" s="135"/>
      <c r="H546" s="129"/>
      <c r="I546" s="129"/>
      <c r="J546" s="130" t="b">
        <v>0</v>
      </c>
      <c r="K546" s="58"/>
      <c r="L546" s="131" t="str">
        <f t="shared" si="8"/>
        <v/>
      </c>
      <c r="M546" s="108"/>
      <c r="N546" s="109"/>
      <c r="O546" s="109"/>
      <c r="P546" s="109"/>
      <c r="Q546" s="58"/>
      <c r="R546" s="136" t="b">
        <v>0</v>
      </c>
      <c r="S546" s="58"/>
      <c r="T546" s="80"/>
      <c r="U546" s="80"/>
      <c r="V546" s="80"/>
      <c r="W546" s="80"/>
      <c r="X546" s="80"/>
      <c r="Y546" s="80"/>
      <c r="Z546" s="80"/>
      <c r="AA546" s="81"/>
      <c r="AB546" s="81"/>
      <c r="AC546" s="81"/>
      <c r="AD546" s="81"/>
      <c r="AE546" s="81"/>
    </row>
    <row r="547">
      <c r="A547" s="16"/>
      <c r="B547" s="127"/>
      <c r="C547" s="127"/>
      <c r="D547" s="108"/>
      <c r="E547" s="109"/>
      <c r="F547" s="58"/>
      <c r="G547" s="135"/>
      <c r="H547" s="129"/>
      <c r="I547" s="129"/>
      <c r="J547" s="130" t="b">
        <v>0</v>
      </c>
      <c r="K547" s="58"/>
      <c r="L547" s="131" t="str">
        <f t="shared" si="8"/>
        <v/>
      </c>
      <c r="M547" s="108"/>
      <c r="N547" s="109"/>
      <c r="O547" s="109"/>
      <c r="P547" s="109"/>
      <c r="Q547" s="58"/>
      <c r="R547" s="136" t="b">
        <v>0</v>
      </c>
      <c r="S547" s="58"/>
      <c r="T547" s="80"/>
      <c r="U547" s="80"/>
      <c r="V547" s="80"/>
      <c r="W547" s="80"/>
      <c r="X547" s="80"/>
      <c r="Y547" s="80"/>
      <c r="Z547" s="80"/>
      <c r="AA547" s="81"/>
      <c r="AB547" s="81"/>
      <c r="AC547" s="81"/>
      <c r="AD547" s="81"/>
      <c r="AE547" s="81"/>
    </row>
    <row r="548">
      <c r="A548" s="16"/>
      <c r="B548" s="127"/>
      <c r="C548" s="127"/>
      <c r="D548" s="108"/>
      <c r="E548" s="109"/>
      <c r="F548" s="58"/>
      <c r="G548" s="135"/>
      <c r="H548" s="129"/>
      <c r="I548" s="129"/>
      <c r="J548" s="130" t="b">
        <v>0</v>
      </c>
      <c r="K548" s="58"/>
      <c r="L548" s="131" t="str">
        <f t="shared" si="8"/>
        <v/>
      </c>
      <c r="M548" s="108"/>
      <c r="N548" s="109"/>
      <c r="O548" s="109"/>
      <c r="P548" s="109"/>
      <c r="Q548" s="58"/>
      <c r="R548" s="136" t="b">
        <v>0</v>
      </c>
      <c r="S548" s="58"/>
      <c r="T548" s="80"/>
      <c r="U548" s="80"/>
      <c r="V548" s="80"/>
      <c r="W548" s="80"/>
      <c r="X548" s="80"/>
      <c r="Y548" s="80"/>
      <c r="Z548" s="80"/>
      <c r="AA548" s="81"/>
      <c r="AB548" s="81"/>
      <c r="AC548" s="81"/>
      <c r="AD548" s="81"/>
      <c r="AE548" s="81"/>
    </row>
    <row r="549">
      <c r="A549" s="16"/>
      <c r="B549" s="127"/>
      <c r="C549" s="127"/>
      <c r="D549" s="108"/>
      <c r="E549" s="109"/>
      <c r="F549" s="58"/>
      <c r="G549" s="135"/>
      <c r="H549" s="129"/>
      <c r="I549" s="129"/>
      <c r="J549" s="130" t="b">
        <v>0</v>
      </c>
      <c r="K549" s="58"/>
      <c r="L549" s="131" t="str">
        <f t="shared" si="8"/>
        <v/>
      </c>
      <c r="M549" s="108"/>
      <c r="N549" s="109"/>
      <c r="O549" s="109"/>
      <c r="P549" s="109"/>
      <c r="Q549" s="58"/>
      <c r="R549" s="136" t="b">
        <v>0</v>
      </c>
      <c r="S549" s="58"/>
      <c r="T549" s="80"/>
      <c r="U549" s="80"/>
      <c r="V549" s="80"/>
      <c r="W549" s="80"/>
      <c r="X549" s="80"/>
      <c r="Y549" s="80"/>
      <c r="Z549" s="80"/>
      <c r="AA549" s="81"/>
      <c r="AB549" s="81"/>
      <c r="AC549" s="81"/>
      <c r="AD549" s="81"/>
      <c r="AE549" s="81"/>
    </row>
    <row r="550">
      <c r="A550" s="16"/>
      <c r="B550" s="127"/>
      <c r="C550" s="127"/>
      <c r="D550" s="108"/>
      <c r="E550" s="109"/>
      <c r="F550" s="58"/>
      <c r="G550" s="135"/>
      <c r="H550" s="129"/>
      <c r="I550" s="129"/>
      <c r="J550" s="130" t="b">
        <v>0</v>
      </c>
      <c r="K550" s="58"/>
      <c r="L550" s="131" t="str">
        <f t="shared" si="8"/>
        <v/>
      </c>
      <c r="M550" s="108"/>
      <c r="N550" s="109"/>
      <c r="O550" s="109"/>
      <c r="P550" s="109"/>
      <c r="Q550" s="58"/>
      <c r="R550" s="136" t="b">
        <v>0</v>
      </c>
      <c r="S550" s="58"/>
      <c r="T550" s="80"/>
      <c r="U550" s="80"/>
      <c r="V550" s="80"/>
      <c r="W550" s="80"/>
      <c r="X550" s="80"/>
      <c r="Y550" s="80"/>
      <c r="Z550" s="80"/>
      <c r="AA550" s="81"/>
      <c r="AB550" s="81"/>
      <c r="AC550" s="81"/>
      <c r="AD550" s="81"/>
      <c r="AE550" s="81"/>
    </row>
    <row r="551">
      <c r="A551" s="16"/>
      <c r="B551" s="127"/>
      <c r="C551" s="127"/>
      <c r="D551" s="108"/>
      <c r="E551" s="109"/>
      <c r="F551" s="58"/>
      <c r="G551" s="135"/>
      <c r="H551" s="129"/>
      <c r="I551" s="129"/>
      <c r="J551" s="130" t="b">
        <v>0</v>
      </c>
      <c r="K551" s="58"/>
      <c r="L551" s="131" t="str">
        <f t="shared" si="8"/>
        <v/>
      </c>
      <c r="M551" s="108"/>
      <c r="N551" s="109"/>
      <c r="O551" s="109"/>
      <c r="P551" s="109"/>
      <c r="Q551" s="58"/>
      <c r="R551" s="136" t="b">
        <v>0</v>
      </c>
      <c r="S551" s="58"/>
      <c r="T551" s="80"/>
      <c r="U551" s="80"/>
      <c r="V551" s="80"/>
      <c r="W551" s="80"/>
      <c r="X551" s="80"/>
      <c r="Y551" s="80"/>
      <c r="Z551" s="80"/>
      <c r="AA551" s="81"/>
      <c r="AB551" s="81"/>
      <c r="AC551" s="81"/>
      <c r="AD551" s="81"/>
      <c r="AE551" s="81"/>
    </row>
    <row r="552">
      <c r="A552" s="16"/>
      <c r="B552" s="127"/>
      <c r="C552" s="127"/>
      <c r="D552" s="108"/>
      <c r="E552" s="109"/>
      <c r="F552" s="58"/>
      <c r="G552" s="135"/>
      <c r="H552" s="129"/>
      <c r="I552" s="129"/>
      <c r="J552" s="130" t="b">
        <v>0</v>
      </c>
      <c r="K552" s="58"/>
      <c r="L552" s="131" t="str">
        <f t="shared" si="8"/>
        <v/>
      </c>
      <c r="M552" s="108"/>
      <c r="N552" s="109"/>
      <c r="O552" s="109"/>
      <c r="P552" s="109"/>
      <c r="Q552" s="58"/>
      <c r="R552" s="136" t="b">
        <v>0</v>
      </c>
      <c r="S552" s="58"/>
      <c r="T552" s="80"/>
      <c r="U552" s="80"/>
      <c r="V552" s="80"/>
      <c r="W552" s="80"/>
      <c r="X552" s="80"/>
      <c r="Y552" s="80"/>
      <c r="Z552" s="80"/>
      <c r="AA552" s="81"/>
      <c r="AB552" s="81"/>
      <c r="AC552" s="81"/>
      <c r="AD552" s="81"/>
      <c r="AE552" s="81"/>
    </row>
    <row r="553">
      <c r="A553" s="16"/>
      <c r="B553" s="127"/>
      <c r="C553" s="127"/>
      <c r="D553" s="108"/>
      <c r="E553" s="109"/>
      <c r="F553" s="58"/>
      <c r="G553" s="135"/>
      <c r="H553" s="129"/>
      <c r="I553" s="129"/>
      <c r="J553" s="130" t="b">
        <v>0</v>
      </c>
      <c r="K553" s="58"/>
      <c r="L553" s="131" t="str">
        <f t="shared" si="8"/>
        <v/>
      </c>
      <c r="M553" s="108"/>
      <c r="N553" s="109"/>
      <c r="O553" s="109"/>
      <c r="P553" s="109"/>
      <c r="Q553" s="58"/>
      <c r="R553" s="136" t="b">
        <v>0</v>
      </c>
      <c r="S553" s="58"/>
      <c r="T553" s="80"/>
      <c r="U553" s="80"/>
      <c r="V553" s="80"/>
      <c r="W553" s="80"/>
      <c r="X553" s="80"/>
      <c r="Y553" s="80"/>
      <c r="Z553" s="80"/>
      <c r="AA553" s="81"/>
      <c r="AB553" s="81"/>
      <c r="AC553" s="81"/>
      <c r="AD553" s="81"/>
      <c r="AE553" s="81"/>
    </row>
    <row r="554">
      <c r="A554" s="16"/>
      <c r="B554" s="127"/>
      <c r="C554" s="127"/>
      <c r="D554" s="108"/>
      <c r="E554" s="109"/>
      <c r="F554" s="58"/>
      <c r="G554" s="135"/>
      <c r="H554" s="129"/>
      <c r="I554" s="129"/>
      <c r="J554" s="130" t="b">
        <v>0</v>
      </c>
      <c r="K554" s="58"/>
      <c r="L554" s="131" t="str">
        <f t="shared" si="8"/>
        <v/>
      </c>
      <c r="M554" s="108"/>
      <c r="N554" s="109"/>
      <c r="O554" s="109"/>
      <c r="P554" s="109"/>
      <c r="Q554" s="58"/>
      <c r="R554" s="136" t="b">
        <v>0</v>
      </c>
      <c r="S554" s="58"/>
      <c r="T554" s="80"/>
      <c r="U554" s="80"/>
      <c r="V554" s="80"/>
      <c r="W554" s="80"/>
      <c r="X554" s="80"/>
      <c r="Y554" s="80"/>
      <c r="Z554" s="80"/>
      <c r="AA554" s="81"/>
      <c r="AB554" s="81"/>
      <c r="AC554" s="81"/>
      <c r="AD554" s="81"/>
      <c r="AE554" s="81"/>
    </row>
    <row r="555">
      <c r="A555" s="16"/>
      <c r="B555" s="127"/>
      <c r="C555" s="127"/>
      <c r="D555" s="108"/>
      <c r="E555" s="109"/>
      <c r="F555" s="58"/>
      <c r="G555" s="135"/>
      <c r="H555" s="129"/>
      <c r="I555" s="129"/>
      <c r="J555" s="130" t="b">
        <v>0</v>
      </c>
      <c r="K555" s="58"/>
      <c r="L555" s="131" t="str">
        <f t="shared" si="8"/>
        <v/>
      </c>
      <c r="M555" s="108"/>
      <c r="N555" s="109"/>
      <c r="O555" s="109"/>
      <c r="P555" s="109"/>
      <c r="Q555" s="58"/>
      <c r="R555" s="136" t="b">
        <v>0</v>
      </c>
      <c r="S555" s="58"/>
      <c r="T555" s="80"/>
      <c r="U555" s="80"/>
      <c r="V555" s="80"/>
      <c r="W555" s="80"/>
      <c r="X555" s="80"/>
      <c r="Y555" s="80"/>
      <c r="Z555" s="80"/>
      <c r="AA555" s="81"/>
      <c r="AB555" s="81"/>
      <c r="AC555" s="81"/>
      <c r="AD555" s="81"/>
      <c r="AE555" s="81"/>
    </row>
    <row r="556">
      <c r="A556" s="16"/>
      <c r="B556" s="127"/>
      <c r="C556" s="127"/>
      <c r="D556" s="108"/>
      <c r="E556" s="109"/>
      <c r="F556" s="58"/>
      <c r="G556" s="135"/>
      <c r="H556" s="129"/>
      <c r="I556" s="129"/>
      <c r="J556" s="130" t="b">
        <v>0</v>
      </c>
      <c r="K556" s="58"/>
      <c r="L556" s="131" t="str">
        <f t="shared" si="8"/>
        <v/>
      </c>
      <c r="M556" s="108"/>
      <c r="N556" s="109"/>
      <c r="O556" s="109"/>
      <c r="P556" s="109"/>
      <c r="Q556" s="58"/>
      <c r="R556" s="136" t="b">
        <v>0</v>
      </c>
      <c r="S556" s="58"/>
      <c r="T556" s="80"/>
      <c r="U556" s="80"/>
      <c r="V556" s="80"/>
      <c r="W556" s="80"/>
      <c r="X556" s="80"/>
      <c r="Y556" s="80"/>
      <c r="Z556" s="80"/>
      <c r="AA556" s="81"/>
      <c r="AB556" s="81"/>
      <c r="AC556" s="81"/>
      <c r="AD556" s="81"/>
      <c r="AE556" s="81"/>
    </row>
    <row r="557">
      <c r="A557" s="16"/>
      <c r="B557" s="127"/>
      <c r="C557" s="127"/>
      <c r="D557" s="108"/>
      <c r="E557" s="109"/>
      <c r="F557" s="58"/>
      <c r="G557" s="135"/>
      <c r="H557" s="129"/>
      <c r="I557" s="129"/>
      <c r="J557" s="130" t="b">
        <v>0</v>
      </c>
      <c r="K557" s="58"/>
      <c r="L557" s="131" t="str">
        <f t="shared" si="8"/>
        <v/>
      </c>
      <c r="M557" s="108"/>
      <c r="N557" s="109"/>
      <c r="O557" s="109"/>
      <c r="P557" s="109"/>
      <c r="Q557" s="58"/>
      <c r="R557" s="136" t="b">
        <v>0</v>
      </c>
      <c r="S557" s="58"/>
      <c r="T557" s="80"/>
      <c r="U557" s="80"/>
      <c r="V557" s="80"/>
      <c r="W557" s="80"/>
      <c r="X557" s="80"/>
      <c r="Y557" s="80"/>
      <c r="Z557" s="80"/>
      <c r="AA557" s="81"/>
      <c r="AB557" s="81"/>
      <c r="AC557" s="81"/>
      <c r="AD557" s="81"/>
      <c r="AE557" s="81"/>
    </row>
    <row r="558">
      <c r="A558" s="16"/>
      <c r="B558" s="127"/>
      <c r="C558" s="127"/>
      <c r="D558" s="108"/>
      <c r="E558" s="109"/>
      <c r="F558" s="58"/>
      <c r="G558" s="135"/>
      <c r="H558" s="129"/>
      <c r="I558" s="129"/>
      <c r="J558" s="130" t="b">
        <v>0</v>
      </c>
      <c r="K558" s="58"/>
      <c r="L558" s="131" t="str">
        <f t="shared" si="8"/>
        <v/>
      </c>
      <c r="M558" s="108"/>
      <c r="N558" s="109"/>
      <c r="O558" s="109"/>
      <c r="P558" s="109"/>
      <c r="Q558" s="58"/>
      <c r="R558" s="136" t="b">
        <v>0</v>
      </c>
      <c r="S558" s="58"/>
      <c r="T558" s="80"/>
      <c r="U558" s="80"/>
      <c r="V558" s="80"/>
      <c r="W558" s="80"/>
      <c r="X558" s="80"/>
      <c r="Y558" s="80"/>
      <c r="Z558" s="80"/>
      <c r="AA558" s="81"/>
      <c r="AB558" s="81"/>
      <c r="AC558" s="81"/>
      <c r="AD558" s="81"/>
      <c r="AE558" s="81"/>
    </row>
    <row r="559">
      <c r="A559" s="16"/>
      <c r="B559" s="127"/>
      <c r="C559" s="127"/>
      <c r="D559" s="108"/>
      <c r="E559" s="109"/>
      <c r="F559" s="58"/>
      <c r="G559" s="135"/>
      <c r="H559" s="129"/>
      <c r="I559" s="129"/>
      <c r="J559" s="130" t="b">
        <v>0</v>
      </c>
      <c r="K559" s="58"/>
      <c r="L559" s="131" t="str">
        <f t="shared" si="8"/>
        <v/>
      </c>
      <c r="M559" s="108"/>
      <c r="N559" s="109"/>
      <c r="O559" s="109"/>
      <c r="P559" s="109"/>
      <c r="Q559" s="58"/>
      <c r="R559" s="136" t="b">
        <v>0</v>
      </c>
      <c r="S559" s="58"/>
      <c r="T559" s="80"/>
      <c r="U559" s="80"/>
      <c r="V559" s="80"/>
      <c r="W559" s="80"/>
      <c r="X559" s="80"/>
      <c r="Y559" s="80"/>
      <c r="Z559" s="80"/>
      <c r="AA559" s="81"/>
      <c r="AB559" s="81"/>
      <c r="AC559" s="81"/>
      <c r="AD559" s="81"/>
      <c r="AE559" s="81"/>
    </row>
    <row r="560">
      <c r="A560" s="16"/>
      <c r="B560" s="127"/>
      <c r="C560" s="127"/>
      <c r="D560" s="108"/>
      <c r="E560" s="109"/>
      <c r="F560" s="58"/>
      <c r="G560" s="135"/>
      <c r="H560" s="129"/>
      <c r="I560" s="129"/>
      <c r="J560" s="130" t="b">
        <v>0</v>
      </c>
      <c r="K560" s="58"/>
      <c r="L560" s="131" t="str">
        <f t="shared" si="8"/>
        <v/>
      </c>
      <c r="M560" s="108"/>
      <c r="N560" s="109"/>
      <c r="O560" s="109"/>
      <c r="P560" s="109"/>
      <c r="Q560" s="58"/>
      <c r="R560" s="136" t="b">
        <v>0</v>
      </c>
      <c r="S560" s="58"/>
      <c r="T560" s="80"/>
      <c r="U560" s="80"/>
      <c r="V560" s="80"/>
      <c r="W560" s="80"/>
      <c r="X560" s="80"/>
      <c r="Y560" s="80"/>
      <c r="Z560" s="80"/>
      <c r="AA560" s="81"/>
      <c r="AB560" s="81"/>
      <c r="AC560" s="81"/>
      <c r="AD560" s="81"/>
      <c r="AE560" s="81"/>
    </row>
    <row r="561">
      <c r="A561" s="16"/>
      <c r="B561" s="127"/>
      <c r="C561" s="127"/>
      <c r="D561" s="108"/>
      <c r="E561" s="109"/>
      <c r="F561" s="58"/>
      <c r="G561" s="135"/>
      <c r="H561" s="129"/>
      <c r="I561" s="129"/>
      <c r="J561" s="130" t="b">
        <v>0</v>
      </c>
      <c r="K561" s="58"/>
      <c r="L561" s="131" t="str">
        <f t="shared" si="8"/>
        <v/>
      </c>
      <c r="M561" s="108"/>
      <c r="N561" s="109"/>
      <c r="O561" s="109"/>
      <c r="P561" s="109"/>
      <c r="Q561" s="58"/>
      <c r="R561" s="136" t="b">
        <v>0</v>
      </c>
      <c r="S561" s="58"/>
      <c r="T561" s="80"/>
      <c r="U561" s="80"/>
      <c r="V561" s="80"/>
      <c r="W561" s="80"/>
      <c r="X561" s="80"/>
      <c r="Y561" s="80"/>
      <c r="Z561" s="80"/>
      <c r="AA561" s="81"/>
      <c r="AB561" s="81"/>
      <c r="AC561" s="81"/>
      <c r="AD561" s="81"/>
      <c r="AE561" s="81"/>
    </row>
    <row r="562">
      <c r="A562" s="16"/>
      <c r="B562" s="127"/>
      <c r="C562" s="127"/>
      <c r="D562" s="108"/>
      <c r="E562" s="109"/>
      <c r="F562" s="58"/>
      <c r="G562" s="135"/>
      <c r="H562" s="129"/>
      <c r="I562" s="129"/>
      <c r="J562" s="130" t="b">
        <v>0</v>
      </c>
      <c r="K562" s="58"/>
      <c r="L562" s="131" t="str">
        <f t="shared" si="8"/>
        <v/>
      </c>
      <c r="M562" s="108"/>
      <c r="N562" s="109"/>
      <c r="O562" s="109"/>
      <c r="P562" s="109"/>
      <c r="Q562" s="58"/>
      <c r="R562" s="136" t="b">
        <v>0</v>
      </c>
      <c r="S562" s="58"/>
      <c r="T562" s="80"/>
      <c r="U562" s="80"/>
      <c r="V562" s="80"/>
      <c r="W562" s="80"/>
      <c r="X562" s="80"/>
      <c r="Y562" s="80"/>
      <c r="Z562" s="80"/>
      <c r="AA562" s="81"/>
      <c r="AB562" s="81"/>
      <c r="AC562" s="81"/>
      <c r="AD562" s="81"/>
      <c r="AE562" s="81"/>
    </row>
    <row r="563">
      <c r="A563" s="16"/>
      <c r="B563" s="127"/>
      <c r="C563" s="127"/>
      <c r="D563" s="108"/>
      <c r="E563" s="109"/>
      <c r="F563" s="58"/>
      <c r="G563" s="135"/>
      <c r="H563" s="129"/>
      <c r="I563" s="129"/>
      <c r="J563" s="130" t="b">
        <v>0</v>
      </c>
      <c r="K563" s="58"/>
      <c r="L563" s="131" t="str">
        <f t="shared" si="8"/>
        <v/>
      </c>
      <c r="M563" s="108"/>
      <c r="N563" s="109"/>
      <c r="O563" s="109"/>
      <c r="P563" s="109"/>
      <c r="Q563" s="58"/>
      <c r="R563" s="136" t="b">
        <v>0</v>
      </c>
      <c r="S563" s="58"/>
      <c r="T563" s="80"/>
      <c r="U563" s="80"/>
      <c r="V563" s="80"/>
      <c r="W563" s="80"/>
      <c r="X563" s="80"/>
      <c r="Y563" s="80"/>
      <c r="Z563" s="80"/>
      <c r="AA563" s="81"/>
      <c r="AB563" s="81"/>
      <c r="AC563" s="81"/>
      <c r="AD563" s="81"/>
      <c r="AE563" s="81"/>
    </row>
    <row r="564">
      <c r="A564" s="16"/>
      <c r="B564" s="127"/>
      <c r="C564" s="127"/>
      <c r="D564" s="108"/>
      <c r="E564" s="109"/>
      <c r="F564" s="58"/>
      <c r="G564" s="135"/>
      <c r="H564" s="129"/>
      <c r="I564" s="129"/>
      <c r="J564" s="130" t="b">
        <v>0</v>
      </c>
      <c r="K564" s="58"/>
      <c r="L564" s="131" t="str">
        <f t="shared" si="8"/>
        <v/>
      </c>
      <c r="M564" s="108"/>
      <c r="N564" s="109"/>
      <c r="O564" s="109"/>
      <c r="P564" s="109"/>
      <c r="Q564" s="58"/>
      <c r="R564" s="136" t="b">
        <v>0</v>
      </c>
      <c r="S564" s="58"/>
      <c r="T564" s="80"/>
      <c r="U564" s="80"/>
      <c r="V564" s="80"/>
      <c r="W564" s="80"/>
      <c r="X564" s="80"/>
      <c r="Y564" s="80"/>
      <c r="Z564" s="80"/>
      <c r="AA564" s="81"/>
      <c r="AB564" s="81"/>
      <c r="AC564" s="81"/>
      <c r="AD564" s="81"/>
      <c r="AE564" s="81"/>
    </row>
    <row r="565">
      <c r="A565" s="16"/>
      <c r="B565" s="127"/>
      <c r="C565" s="127"/>
      <c r="D565" s="108"/>
      <c r="E565" s="109"/>
      <c r="F565" s="58"/>
      <c r="G565" s="135"/>
      <c r="H565" s="129"/>
      <c r="I565" s="129"/>
      <c r="J565" s="130" t="b">
        <v>0</v>
      </c>
      <c r="K565" s="58"/>
      <c r="L565" s="131" t="str">
        <f t="shared" si="8"/>
        <v/>
      </c>
      <c r="M565" s="108"/>
      <c r="N565" s="109"/>
      <c r="O565" s="109"/>
      <c r="P565" s="109"/>
      <c r="Q565" s="58"/>
      <c r="R565" s="136" t="b">
        <v>0</v>
      </c>
      <c r="S565" s="58"/>
      <c r="T565" s="80"/>
      <c r="U565" s="80"/>
      <c r="V565" s="80"/>
      <c r="W565" s="80"/>
      <c r="X565" s="80"/>
      <c r="Y565" s="80"/>
      <c r="Z565" s="80"/>
      <c r="AA565" s="81"/>
      <c r="AB565" s="81"/>
      <c r="AC565" s="81"/>
      <c r="AD565" s="81"/>
      <c r="AE565" s="81"/>
    </row>
    <row r="566">
      <c r="A566" s="16"/>
      <c r="B566" s="127"/>
      <c r="C566" s="127"/>
      <c r="D566" s="108"/>
      <c r="E566" s="109"/>
      <c r="F566" s="58"/>
      <c r="G566" s="135"/>
      <c r="H566" s="129"/>
      <c r="I566" s="129"/>
      <c r="J566" s="130" t="b">
        <v>0</v>
      </c>
      <c r="K566" s="58"/>
      <c r="L566" s="131" t="str">
        <f t="shared" si="8"/>
        <v/>
      </c>
      <c r="M566" s="108"/>
      <c r="N566" s="109"/>
      <c r="O566" s="109"/>
      <c r="P566" s="109"/>
      <c r="Q566" s="58"/>
      <c r="R566" s="136" t="b">
        <v>0</v>
      </c>
      <c r="S566" s="58"/>
      <c r="T566" s="80"/>
      <c r="U566" s="80"/>
      <c r="V566" s="80"/>
      <c r="W566" s="80"/>
      <c r="X566" s="80"/>
      <c r="Y566" s="80"/>
      <c r="Z566" s="80"/>
      <c r="AA566" s="81"/>
      <c r="AB566" s="81"/>
      <c r="AC566" s="81"/>
      <c r="AD566" s="81"/>
      <c r="AE566" s="81"/>
    </row>
    <row r="567">
      <c r="A567" s="16"/>
      <c r="B567" s="127"/>
      <c r="C567" s="127"/>
      <c r="D567" s="108"/>
      <c r="E567" s="109"/>
      <c r="F567" s="58"/>
      <c r="G567" s="135"/>
      <c r="H567" s="129"/>
      <c r="I567" s="129"/>
      <c r="J567" s="130" t="b">
        <v>0</v>
      </c>
      <c r="K567" s="58"/>
      <c r="L567" s="131" t="str">
        <f t="shared" si="8"/>
        <v/>
      </c>
      <c r="M567" s="108"/>
      <c r="N567" s="109"/>
      <c r="O567" s="109"/>
      <c r="P567" s="109"/>
      <c r="Q567" s="58"/>
      <c r="R567" s="136" t="b">
        <v>0</v>
      </c>
      <c r="S567" s="58"/>
      <c r="T567" s="80"/>
      <c r="U567" s="80"/>
      <c r="V567" s="80"/>
      <c r="W567" s="80"/>
      <c r="X567" s="80"/>
      <c r="Y567" s="80"/>
      <c r="Z567" s="80"/>
      <c r="AA567" s="81"/>
      <c r="AB567" s="81"/>
      <c r="AC567" s="81"/>
      <c r="AD567" s="81"/>
      <c r="AE567" s="81"/>
    </row>
    <row r="568">
      <c r="A568" s="16"/>
      <c r="B568" s="127"/>
      <c r="C568" s="127"/>
      <c r="D568" s="108"/>
      <c r="E568" s="109"/>
      <c r="F568" s="58"/>
      <c r="G568" s="135"/>
      <c r="H568" s="129"/>
      <c r="I568" s="129"/>
      <c r="J568" s="130" t="b">
        <v>0</v>
      </c>
      <c r="K568" s="58"/>
      <c r="L568" s="131" t="str">
        <f t="shared" si="8"/>
        <v/>
      </c>
      <c r="M568" s="108"/>
      <c r="N568" s="109"/>
      <c r="O568" s="109"/>
      <c r="P568" s="109"/>
      <c r="Q568" s="58"/>
      <c r="R568" s="136" t="b">
        <v>0</v>
      </c>
      <c r="S568" s="58"/>
      <c r="T568" s="80"/>
      <c r="U568" s="80"/>
      <c r="V568" s="80"/>
      <c r="W568" s="80"/>
      <c r="X568" s="80"/>
      <c r="Y568" s="80"/>
      <c r="Z568" s="80"/>
      <c r="AA568" s="81"/>
      <c r="AB568" s="81"/>
      <c r="AC568" s="81"/>
      <c r="AD568" s="81"/>
      <c r="AE568" s="81"/>
    </row>
    <row r="569">
      <c r="A569" s="16"/>
      <c r="B569" s="127"/>
      <c r="C569" s="127"/>
      <c r="D569" s="108"/>
      <c r="E569" s="109"/>
      <c r="F569" s="58"/>
      <c r="G569" s="135"/>
      <c r="H569" s="129"/>
      <c r="I569" s="129"/>
      <c r="J569" s="130" t="b">
        <v>0</v>
      </c>
      <c r="K569" s="58"/>
      <c r="L569" s="131" t="str">
        <f t="shared" si="8"/>
        <v/>
      </c>
      <c r="M569" s="108"/>
      <c r="N569" s="109"/>
      <c r="O569" s="109"/>
      <c r="P569" s="109"/>
      <c r="Q569" s="58"/>
      <c r="R569" s="136" t="b">
        <v>0</v>
      </c>
      <c r="S569" s="58"/>
      <c r="T569" s="80"/>
      <c r="U569" s="80"/>
      <c r="V569" s="80"/>
      <c r="W569" s="80"/>
      <c r="X569" s="80"/>
      <c r="Y569" s="80"/>
      <c r="Z569" s="80"/>
      <c r="AA569" s="81"/>
      <c r="AB569" s="81"/>
      <c r="AC569" s="81"/>
      <c r="AD569" s="81"/>
      <c r="AE569" s="81"/>
    </row>
    <row r="570">
      <c r="A570" s="16"/>
      <c r="B570" s="127"/>
      <c r="C570" s="127"/>
      <c r="D570" s="108"/>
      <c r="E570" s="109"/>
      <c r="F570" s="58"/>
      <c r="G570" s="135"/>
      <c r="H570" s="129"/>
      <c r="I570" s="129"/>
      <c r="J570" s="130" t="b">
        <v>0</v>
      </c>
      <c r="K570" s="58"/>
      <c r="L570" s="131" t="str">
        <f t="shared" si="8"/>
        <v/>
      </c>
      <c r="M570" s="108"/>
      <c r="N570" s="109"/>
      <c r="O570" s="109"/>
      <c r="P570" s="109"/>
      <c r="Q570" s="58"/>
      <c r="R570" s="136" t="b">
        <v>0</v>
      </c>
      <c r="S570" s="58"/>
      <c r="T570" s="80"/>
      <c r="U570" s="80"/>
      <c r="V570" s="80"/>
      <c r="W570" s="80"/>
      <c r="X570" s="80"/>
      <c r="Y570" s="80"/>
      <c r="Z570" s="80"/>
      <c r="AA570" s="81"/>
      <c r="AB570" s="81"/>
      <c r="AC570" s="81"/>
      <c r="AD570" s="81"/>
      <c r="AE570" s="81"/>
    </row>
    <row r="571">
      <c r="A571" s="16"/>
      <c r="B571" s="127"/>
      <c r="C571" s="127"/>
      <c r="D571" s="108"/>
      <c r="E571" s="109"/>
      <c r="F571" s="58"/>
      <c r="G571" s="135"/>
      <c r="H571" s="129"/>
      <c r="I571" s="129"/>
      <c r="J571" s="130" t="b">
        <v>0</v>
      </c>
      <c r="K571" s="58"/>
      <c r="L571" s="131" t="str">
        <f t="shared" si="8"/>
        <v/>
      </c>
      <c r="M571" s="108"/>
      <c r="N571" s="109"/>
      <c r="O571" s="109"/>
      <c r="P571" s="109"/>
      <c r="Q571" s="58"/>
      <c r="R571" s="136" t="b">
        <v>0</v>
      </c>
      <c r="S571" s="58"/>
      <c r="T571" s="80"/>
      <c r="U571" s="80"/>
      <c r="V571" s="80"/>
      <c r="W571" s="80"/>
      <c r="X571" s="80"/>
      <c r="Y571" s="80"/>
      <c r="Z571" s="80"/>
      <c r="AA571" s="81"/>
      <c r="AB571" s="81"/>
      <c r="AC571" s="81"/>
      <c r="AD571" s="81"/>
      <c r="AE571" s="81"/>
    </row>
    <row r="572">
      <c r="A572" s="16"/>
      <c r="B572" s="127"/>
      <c r="C572" s="127"/>
      <c r="D572" s="108"/>
      <c r="E572" s="109"/>
      <c r="F572" s="58"/>
      <c r="G572" s="135"/>
      <c r="H572" s="129"/>
      <c r="I572" s="129"/>
      <c r="J572" s="130" t="b">
        <v>0</v>
      </c>
      <c r="K572" s="58"/>
      <c r="L572" s="131" t="str">
        <f t="shared" si="8"/>
        <v/>
      </c>
      <c r="M572" s="108"/>
      <c r="N572" s="109"/>
      <c r="O572" s="109"/>
      <c r="P572" s="109"/>
      <c r="Q572" s="58"/>
      <c r="R572" s="136" t="b">
        <v>0</v>
      </c>
      <c r="S572" s="58"/>
      <c r="T572" s="80"/>
      <c r="U572" s="80"/>
      <c r="V572" s="80"/>
      <c r="W572" s="80"/>
      <c r="X572" s="80"/>
      <c r="Y572" s="80"/>
      <c r="Z572" s="80"/>
      <c r="AA572" s="81"/>
      <c r="AB572" s="81"/>
      <c r="AC572" s="81"/>
      <c r="AD572" s="81"/>
      <c r="AE572" s="81"/>
    </row>
    <row r="573">
      <c r="A573" s="16"/>
      <c r="B573" s="127"/>
      <c r="C573" s="127"/>
      <c r="D573" s="108"/>
      <c r="E573" s="109"/>
      <c r="F573" s="58"/>
      <c r="G573" s="135"/>
      <c r="H573" s="129"/>
      <c r="I573" s="129"/>
      <c r="J573" s="130" t="b">
        <v>0</v>
      </c>
      <c r="K573" s="58"/>
      <c r="L573" s="131" t="str">
        <f t="shared" si="8"/>
        <v/>
      </c>
      <c r="M573" s="108"/>
      <c r="N573" s="109"/>
      <c r="O573" s="109"/>
      <c r="P573" s="109"/>
      <c r="Q573" s="58"/>
      <c r="R573" s="136" t="b">
        <v>0</v>
      </c>
      <c r="S573" s="58"/>
      <c r="T573" s="80"/>
      <c r="U573" s="80"/>
      <c r="V573" s="80"/>
      <c r="W573" s="80"/>
      <c r="X573" s="80"/>
      <c r="Y573" s="80"/>
      <c r="Z573" s="80"/>
      <c r="AA573" s="81"/>
      <c r="AB573" s="81"/>
      <c r="AC573" s="81"/>
      <c r="AD573" s="81"/>
      <c r="AE573" s="81"/>
    </row>
    <row r="574">
      <c r="A574" s="16"/>
      <c r="B574" s="127"/>
      <c r="C574" s="127"/>
      <c r="D574" s="108"/>
      <c r="E574" s="109"/>
      <c r="F574" s="58"/>
      <c r="G574" s="135"/>
      <c r="H574" s="129"/>
      <c r="I574" s="129"/>
      <c r="J574" s="130" t="b">
        <v>0</v>
      </c>
      <c r="K574" s="58"/>
      <c r="L574" s="131" t="str">
        <f t="shared" si="8"/>
        <v/>
      </c>
      <c r="M574" s="108"/>
      <c r="N574" s="109"/>
      <c r="O574" s="109"/>
      <c r="P574" s="109"/>
      <c r="Q574" s="58"/>
      <c r="R574" s="136" t="b">
        <v>0</v>
      </c>
      <c r="S574" s="58"/>
      <c r="T574" s="80"/>
      <c r="U574" s="80"/>
      <c r="V574" s="80"/>
      <c r="W574" s="80"/>
      <c r="X574" s="80"/>
      <c r="Y574" s="80"/>
      <c r="Z574" s="80"/>
      <c r="AA574" s="81"/>
      <c r="AB574" s="81"/>
      <c r="AC574" s="81"/>
      <c r="AD574" s="81"/>
      <c r="AE574" s="81"/>
    </row>
    <row r="575">
      <c r="A575" s="16"/>
      <c r="B575" s="127"/>
      <c r="C575" s="127"/>
      <c r="D575" s="108"/>
      <c r="E575" s="109"/>
      <c r="F575" s="58"/>
      <c r="G575" s="135"/>
      <c r="H575" s="129"/>
      <c r="I575" s="129"/>
      <c r="J575" s="130" t="b">
        <v>0</v>
      </c>
      <c r="K575" s="58"/>
      <c r="L575" s="131" t="str">
        <f t="shared" si="8"/>
        <v/>
      </c>
      <c r="M575" s="108"/>
      <c r="N575" s="109"/>
      <c r="O575" s="109"/>
      <c r="P575" s="109"/>
      <c r="Q575" s="58"/>
      <c r="R575" s="136" t="b">
        <v>0</v>
      </c>
      <c r="S575" s="58"/>
      <c r="T575" s="80"/>
      <c r="U575" s="80"/>
      <c r="V575" s="80"/>
      <c r="W575" s="80"/>
      <c r="X575" s="80"/>
      <c r="Y575" s="80"/>
      <c r="Z575" s="80"/>
      <c r="AA575" s="81"/>
      <c r="AB575" s="81"/>
      <c r="AC575" s="81"/>
      <c r="AD575" s="81"/>
      <c r="AE575" s="81"/>
    </row>
    <row r="576">
      <c r="A576" s="16"/>
      <c r="B576" s="127"/>
      <c r="C576" s="127"/>
      <c r="D576" s="108"/>
      <c r="E576" s="109"/>
      <c r="F576" s="58"/>
      <c r="G576" s="135"/>
      <c r="H576" s="129"/>
      <c r="I576" s="129"/>
      <c r="J576" s="130" t="b">
        <v>0</v>
      </c>
      <c r="K576" s="58"/>
      <c r="L576" s="131" t="str">
        <f t="shared" si="8"/>
        <v/>
      </c>
      <c r="M576" s="108"/>
      <c r="N576" s="109"/>
      <c r="O576" s="109"/>
      <c r="P576" s="109"/>
      <c r="Q576" s="58"/>
      <c r="R576" s="136" t="b">
        <v>0</v>
      </c>
      <c r="S576" s="58"/>
      <c r="T576" s="80"/>
      <c r="U576" s="80"/>
      <c r="V576" s="80"/>
      <c r="W576" s="80"/>
      <c r="X576" s="80"/>
      <c r="Y576" s="80"/>
      <c r="Z576" s="80"/>
      <c r="AA576" s="81"/>
      <c r="AB576" s="81"/>
      <c r="AC576" s="81"/>
      <c r="AD576" s="81"/>
      <c r="AE576" s="81"/>
    </row>
    <row r="577">
      <c r="A577" s="16"/>
      <c r="B577" s="127"/>
      <c r="C577" s="127"/>
      <c r="D577" s="108"/>
      <c r="E577" s="109"/>
      <c r="F577" s="58"/>
      <c r="G577" s="135"/>
      <c r="H577" s="129"/>
      <c r="I577" s="129"/>
      <c r="J577" s="130" t="b">
        <v>0</v>
      </c>
      <c r="K577" s="58"/>
      <c r="L577" s="131" t="str">
        <f t="shared" si="8"/>
        <v/>
      </c>
      <c r="M577" s="108"/>
      <c r="N577" s="109"/>
      <c r="O577" s="109"/>
      <c r="P577" s="109"/>
      <c r="Q577" s="58"/>
      <c r="R577" s="136" t="b">
        <v>0</v>
      </c>
      <c r="S577" s="58"/>
      <c r="T577" s="80"/>
      <c r="U577" s="80"/>
      <c r="V577" s="80"/>
      <c r="W577" s="80"/>
      <c r="X577" s="80"/>
      <c r="Y577" s="80"/>
      <c r="Z577" s="80"/>
      <c r="AA577" s="81"/>
      <c r="AB577" s="81"/>
      <c r="AC577" s="81"/>
      <c r="AD577" s="81"/>
      <c r="AE577" s="81"/>
    </row>
    <row r="578">
      <c r="A578" s="16"/>
      <c r="B578" s="127"/>
      <c r="C578" s="127"/>
      <c r="D578" s="108"/>
      <c r="E578" s="109"/>
      <c r="F578" s="58"/>
      <c r="G578" s="135"/>
      <c r="H578" s="129"/>
      <c r="I578" s="129"/>
      <c r="J578" s="130" t="b">
        <v>0</v>
      </c>
      <c r="K578" s="58"/>
      <c r="L578" s="131" t="str">
        <f t="shared" si="8"/>
        <v/>
      </c>
      <c r="M578" s="108"/>
      <c r="N578" s="109"/>
      <c r="O578" s="109"/>
      <c r="P578" s="109"/>
      <c r="Q578" s="58"/>
      <c r="R578" s="136" t="b">
        <v>0</v>
      </c>
      <c r="S578" s="58"/>
      <c r="T578" s="80"/>
      <c r="U578" s="80"/>
      <c r="V578" s="80"/>
      <c r="W578" s="80"/>
      <c r="X578" s="80"/>
      <c r="Y578" s="80"/>
      <c r="Z578" s="80"/>
      <c r="AA578" s="81"/>
      <c r="AB578" s="81"/>
      <c r="AC578" s="81"/>
      <c r="AD578" s="81"/>
      <c r="AE578" s="81"/>
    </row>
    <row r="579">
      <c r="A579" s="16"/>
      <c r="B579" s="127"/>
      <c r="C579" s="127"/>
      <c r="D579" s="108"/>
      <c r="E579" s="109"/>
      <c r="F579" s="58"/>
      <c r="G579" s="135"/>
      <c r="H579" s="129"/>
      <c r="I579" s="129"/>
      <c r="J579" s="130" t="b">
        <v>0</v>
      </c>
      <c r="K579" s="58"/>
      <c r="L579" s="131" t="str">
        <f t="shared" si="8"/>
        <v/>
      </c>
      <c r="M579" s="108"/>
      <c r="N579" s="109"/>
      <c r="O579" s="109"/>
      <c r="P579" s="109"/>
      <c r="Q579" s="58"/>
      <c r="R579" s="136" t="b">
        <v>0</v>
      </c>
      <c r="S579" s="58"/>
      <c r="T579" s="80"/>
      <c r="U579" s="80"/>
      <c r="V579" s="80"/>
      <c r="W579" s="80"/>
      <c r="X579" s="80"/>
      <c r="Y579" s="80"/>
      <c r="Z579" s="80"/>
      <c r="AA579" s="81"/>
      <c r="AB579" s="81"/>
      <c r="AC579" s="81"/>
      <c r="AD579" s="81"/>
      <c r="AE579" s="81"/>
    </row>
    <row r="580">
      <c r="A580" s="16"/>
      <c r="B580" s="127"/>
      <c r="C580" s="127"/>
      <c r="D580" s="108"/>
      <c r="E580" s="109"/>
      <c r="F580" s="58"/>
      <c r="G580" s="135"/>
      <c r="H580" s="129"/>
      <c r="I580" s="129"/>
      <c r="J580" s="130" t="b">
        <v>0</v>
      </c>
      <c r="K580" s="58"/>
      <c r="L580" s="131" t="str">
        <f t="shared" si="8"/>
        <v/>
      </c>
      <c r="M580" s="108"/>
      <c r="N580" s="109"/>
      <c r="O580" s="109"/>
      <c r="P580" s="109"/>
      <c r="Q580" s="58"/>
      <c r="R580" s="136" t="b">
        <v>0</v>
      </c>
      <c r="S580" s="58"/>
      <c r="T580" s="80"/>
      <c r="U580" s="80"/>
      <c r="V580" s="80"/>
      <c r="W580" s="80"/>
      <c r="X580" s="80"/>
      <c r="Y580" s="80"/>
      <c r="Z580" s="80"/>
      <c r="AA580" s="81"/>
      <c r="AB580" s="81"/>
      <c r="AC580" s="81"/>
      <c r="AD580" s="81"/>
      <c r="AE580" s="81"/>
    </row>
    <row r="581">
      <c r="A581" s="16"/>
      <c r="B581" s="127"/>
      <c r="C581" s="127"/>
      <c r="D581" s="108"/>
      <c r="E581" s="109"/>
      <c r="F581" s="58"/>
      <c r="G581" s="135"/>
      <c r="H581" s="129"/>
      <c r="I581" s="129"/>
      <c r="J581" s="130" t="b">
        <v>0</v>
      </c>
      <c r="K581" s="58"/>
      <c r="L581" s="131" t="str">
        <f t="shared" si="8"/>
        <v/>
      </c>
      <c r="M581" s="108"/>
      <c r="N581" s="109"/>
      <c r="O581" s="109"/>
      <c r="P581" s="109"/>
      <c r="Q581" s="58"/>
      <c r="R581" s="136" t="b">
        <v>0</v>
      </c>
      <c r="S581" s="58"/>
      <c r="T581" s="80"/>
      <c r="U581" s="80"/>
      <c r="V581" s="80"/>
      <c r="W581" s="80"/>
      <c r="X581" s="80"/>
      <c r="Y581" s="80"/>
      <c r="Z581" s="80"/>
      <c r="AA581" s="81"/>
      <c r="AB581" s="81"/>
      <c r="AC581" s="81"/>
      <c r="AD581" s="81"/>
      <c r="AE581" s="81"/>
    </row>
    <row r="582">
      <c r="A582" s="16"/>
      <c r="B582" s="127"/>
      <c r="C582" s="127"/>
      <c r="D582" s="108"/>
      <c r="E582" s="109"/>
      <c r="F582" s="58"/>
      <c r="G582" s="135"/>
      <c r="H582" s="129"/>
      <c r="I582" s="129"/>
      <c r="J582" s="130" t="b">
        <v>0</v>
      </c>
      <c r="K582" s="58"/>
      <c r="L582" s="131" t="str">
        <f t="shared" si="8"/>
        <v/>
      </c>
      <c r="M582" s="108"/>
      <c r="N582" s="109"/>
      <c r="O582" s="109"/>
      <c r="P582" s="109"/>
      <c r="Q582" s="58"/>
      <c r="R582" s="136" t="b">
        <v>0</v>
      </c>
      <c r="S582" s="58"/>
      <c r="T582" s="80"/>
      <c r="U582" s="80"/>
      <c r="V582" s="80"/>
      <c r="W582" s="80"/>
      <c r="X582" s="80"/>
      <c r="Y582" s="80"/>
      <c r="Z582" s="80"/>
      <c r="AA582" s="81"/>
      <c r="AB582" s="81"/>
      <c r="AC582" s="81"/>
      <c r="AD582" s="81"/>
      <c r="AE582" s="81"/>
    </row>
    <row r="583">
      <c r="A583" s="16"/>
      <c r="B583" s="127"/>
      <c r="C583" s="127"/>
      <c r="D583" s="108"/>
      <c r="E583" s="109"/>
      <c r="F583" s="58"/>
      <c r="G583" s="135"/>
      <c r="H583" s="129"/>
      <c r="I583" s="129"/>
      <c r="J583" s="130" t="b">
        <v>0</v>
      </c>
      <c r="K583" s="58"/>
      <c r="L583" s="131" t="str">
        <f t="shared" si="8"/>
        <v/>
      </c>
      <c r="M583" s="108"/>
      <c r="N583" s="109"/>
      <c r="O583" s="109"/>
      <c r="P583" s="109"/>
      <c r="Q583" s="58"/>
      <c r="R583" s="136" t="b">
        <v>0</v>
      </c>
      <c r="S583" s="58"/>
      <c r="T583" s="80"/>
      <c r="U583" s="80"/>
      <c r="V583" s="80"/>
      <c r="W583" s="80"/>
      <c r="X583" s="80"/>
      <c r="Y583" s="80"/>
      <c r="Z583" s="80"/>
      <c r="AA583" s="81"/>
      <c r="AB583" s="81"/>
      <c r="AC583" s="81"/>
      <c r="AD583" s="81"/>
      <c r="AE583" s="81"/>
    </row>
    <row r="584">
      <c r="A584" s="16"/>
      <c r="B584" s="127"/>
      <c r="C584" s="127"/>
      <c r="D584" s="108"/>
      <c r="E584" s="109"/>
      <c r="F584" s="58"/>
      <c r="G584" s="135"/>
      <c r="H584" s="129"/>
      <c r="I584" s="129"/>
      <c r="J584" s="130" t="b">
        <v>0</v>
      </c>
      <c r="K584" s="58"/>
      <c r="L584" s="131" t="str">
        <f t="shared" si="8"/>
        <v/>
      </c>
      <c r="M584" s="108"/>
      <c r="N584" s="109"/>
      <c r="O584" s="109"/>
      <c r="P584" s="109"/>
      <c r="Q584" s="58"/>
      <c r="R584" s="136" t="b">
        <v>0</v>
      </c>
      <c r="S584" s="58"/>
      <c r="T584" s="80"/>
      <c r="U584" s="80"/>
      <c r="V584" s="80"/>
      <c r="W584" s="80"/>
      <c r="X584" s="80"/>
      <c r="Y584" s="80"/>
      <c r="Z584" s="80"/>
      <c r="AA584" s="81"/>
      <c r="AB584" s="81"/>
      <c r="AC584" s="81"/>
      <c r="AD584" s="81"/>
      <c r="AE584" s="81"/>
    </row>
    <row r="585">
      <c r="A585" s="16"/>
      <c r="B585" s="127"/>
      <c r="C585" s="127"/>
      <c r="D585" s="108"/>
      <c r="E585" s="109"/>
      <c r="F585" s="58"/>
      <c r="G585" s="135"/>
      <c r="H585" s="129"/>
      <c r="I585" s="129"/>
      <c r="J585" s="130" t="b">
        <v>0</v>
      </c>
      <c r="K585" s="58"/>
      <c r="L585" s="131" t="str">
        <f t="shared" si="8"/>
        <v/>
      </c>
      <c r="M585" s="108"/>
      <c r="N585" s="109"/>
      <c r="O585" s="109"/>
      <c r="P585" s="109"/>
      <c r="Q585" s="58"/>
      <c r="R585" s="136" t="b">
        <v>0</v>
      </c>
      <c r="S585" s="58"/>
      <c r="T585" s="80"/>
      <c r="U585" s="80"/>
      <c r="V585" s="80"/>
      <c r="W585" s="80"/>
      <c r="X585" s="80"/>
      <c r="Y585" s="80"/>
      <c r="Z585" s="80"/>
      <c r="AA585" s="81"/>
      <c r="AB585" s="81"/>
      <c r="AC585" s="81"/>
      <c r="AD585" s="81"/>
      <c r="AE585" s="81"/>
    </row>
    <row r="586">
      <c r="A586" s="16"/>
      <c r="B586" s="127"/>
      <c r="C586" s="127"/>
      <c r="D586" s="108"/>
      <c r="E586" s="109"/>
      <c r="F586" s="58"/>
      <c r="G586" s="135"/>
      <c r="H586" s="129"/>
      <c r="I586" s="129"/>
      <c r="J586" s="130" t="b">
        <v>0</v>
      </c>
      <c r="K586" s="58"/>
      <c r="L586" s="131" t="str">
        <f t="shared" si="8"/>
        <v/>
      </c>
      <c r="M586" s="108"/>
      <c r="N586" s="109"/>
      <c r="O586" s="109"/>
      <c r="P586" s="109"/>
      <c r="Q586" s="58"/>
      <c r="R586" s="136" t="b">
        <v>0</v>
      </c>
      <c r="S586" s="58"/>
      <c r="T586" s="80"/>
      <c r="U586" s="80"/>
      <c r="V586" s="80"/>
      <c r="W586" s="80"/>
      <c r="X586" s="80"/>
      <c r="Y586" s="80"/>
      <c r="Z586" s="80"/>
      <c r="AA586" s="81"/>
      <c r="AB586" s="81"/>
      <c r="AC586" s="81"/>
      <c r="AD586" s="81"/>
      <c r="AE586" s="81"/>
    </row>
    <row r="587">
      <c r="A587" s="16"/>
      <c r="B587" s="127"/>
      <c r="C587" s="127"/>
      <c r="D587" s="108"/>
      <c r="E587" s="109"/>
      <c r="F587" s="58"/>
      <c r="G587" s="135"/>
      <c r="H587" s="129"/>
      <c r="I587" s="129"/>
      <c r="J587" s="130" t="b">
        <v>0</v>
      </c>
      <c r="K587" s="58"/>
      <c r="L587" s="131" t="str">
        <f t="shared" si="8"/>
        <v/>
      </c>
      <c r="M587" s="108"/>
      <c r="N587" s="109"/>
      <c r="O587" s="109"/>
      <c r="P587" s="109"/>
      <c r="Q587" s="58"/>
      <c r="R587" s="136" t="b">
        <v>0</v>
      </c>
      <c r="S587" s="58"/>
      <c r="T587" s="80"/>
      <c r="U587" s="80"/>
      <c r="V587" s="80"/>
      <c r="W587" s="80"/>
      <c r="X587" s="80"/>
      <c r="Y587" s="80"/>
      <c r="Z587" s="80"/>
      <c r="AA587" s="81"/>
      <c r="AB587" s="81"/>
      <c r="AC587" s="81"/>
      <c r="AD587" s="81"/>
      <c r="AE587" s="81"/>
    </row>
    <row r="588">
      <c r="A588" s="16"/>
      <c r="B588" s="127"/>
      <c r="C588" s="127"/>
      <c r="D588" s="108"/>
      <c r="E588" s="109"/>
      <c r="F588" s="58"/>
      <c r="G588" s="135"/>
      <c r="H588" s="129"/>
      <c r="I588" s="129"/>
      <c r="J588" s="130" t="b">
        <v>0</v>
      </c>
      <c r="K588" s="58"/>
      <c r="L588" s="131" t="str">
        <f t="shared" si="8"/>
        <v/>
      </c>
      <c r="M588" s="108"/>
      <c r="N588" s="109"/>
      <c r="O588" s="109"/>
      <c r="P588" s="109"/>
      <c r="Q588" s="58"/>
      <c r="R588" s="136" t="b">
        <v>0</v>
      </c>
      <c r="S588" s="58"/>
      <c r="T588" s="80"/>
      <c r="U588" s="80"/>
      <c r="V588" s="80"/>
      <c r="W588" s="80"/>
      <c r="X588" s="80"/>
      <c r="Y588" s="80"/>
      <c r="Z588" s="80"/>
      <c r="AA588" s="81"/>
      <c r="AB588" s="81"/>
      <c r="AC588" s="81"/>
      <c r="AD588" s="81"/>
      <c r="AE588" s="81"/>
    </row>
    <row r="589">
      <c r="A589" s="16"/>
      <c r="B589" s="127"/>
      <c r="C589" s="127"/>
      <c r="D589" s="108"/>
      <c r="E589" s="109"/>
      <c r="F589" s="58"/>
      <c r="G589" s="135"/>
      <c r="H589" s="129"/>
      <c r="I589" s="129"/>
      <c r="J589" s="130" t="b">
        <v>0</v>
      </c>
      <c r="K589" s="58"/>
      <c r="L589" s="131" t="str">
        <f t="shared" si="8"/>
        <v/>
      </c>
      <c r="M589" s="108"/>
      <c r="N589" s="109"/>
      <c r="O589" s="109"/>
      <c r="P589" s="109"/>
      <c r="Q589" s="58"/>
      <c r="R589" s="136" t="b">
        <v>0</v>
      </c>
      <c r="S589" s="58"/>
      <c r="T589" s="80"/>
      <c r="U589" s="80"/>
      <c r="V589" s="80"/>
      <c r="W589" s="80"/>
      <c r="X589" s="80"/>
      <c r="Y589" s="80"/>
      <c r="Z589" s="80"/>
      <c r="AA589" s="81"/>
      <c r="AB589" s="81"/>
      <c r="AC589" s="81"/>
      <c r="AD589" s="81"/>
      <c r="AE589" s="81"/>
    </row>
    <row r="590">
      <c r="A590" s="16"/>
      <c r="B590" s="127"/>
      <c r="C590" s="127"/>
      <c r="D590" s="108"/>
      <c r="E590" s="109"/>
      <c r="F590" s="58"/>
      <c r="G590" s="135"/>
      <c r="H590" s="129"/>
      <c r="I590" s="129"/>
      <c r="J590" s="130" t="b">
        <v>0</v>
      </c>
      <c r="K590" s="58"/>
      <c r="L590" s="131" t="str">
        <f t="shared" si="8"/>
        <v/>
      </c>
      <c r="M590" s="108"/>
      <c r="N590" s="109"/>
      <c r="O590" s="109"/>
      <c r="P590" s="109"/>
      <c r="Q590" s="58"/>
      <c r="R590" s="136" t="b">
        <v>0</v>
      </c>
      <c r="S590" s="58"/>
      <c r="T590" s="80"/>
      <c r="U590" s="80"/>
      <c r="V590" s="80"/>
      <c r="W590" s="80"/>
      <c r="X590" s="80"/>
      <c r="Y590" s="80"/>
      <c r="Z590" s="80"/>
      <c r="AA590" s="81"/>
      <c r="AB590" s="81"/>
      <c r="AC590" s="81"/>
      <c r="AD590" s="81"/>
      <c r="AE590" s="81"/>
    </row>
    <row r="591">
      <c r="A591" s="16"/>
      <c r="B591" s="127"/>
      <c r="C591" s="127"/>
      <c r="D591" s="108"/>
      <c r="E591" s="109"/>
      <c r="F591" s="58"/>
      <c r="G591" s="135"/>
      <c r="H591" s="129"/>
      <c r="I591" s="129"/>
      <c r="J591" s="130" t="b">
        <v>0</v>
      </c>
      <c r="K591" s="58"/>
      <c r="L591" s="131" t="str">
        <f t="shared" si="8"/>
        <v/>
      </c>
      <c r="M591" s="108"/>
      <c r="N591" s="109"/>
      <c r="O591" s="109"/>
      <c r="P591" s="109"/>
      <c r="Q591" s="58"/>
      <c r="R591" s="136" t="b">
        <v>0</v>
      </c>
      <c r="S591" s="58"/>
      <c r="T591" s="80"/>
      <c r="U591" s="80"/>
      <c r="V591" s="80"/>
      <c r="W591" s="80"/>
      <c r="X591" s="80"/>
      <c r="Y591" s="80"/>
      <c r="Z591" s="80"/>
      <c r="AA591" s="81"/>
      <c r="AB591" s="81"/>
      <c r="AC591" s="81"/>
      <c r="AD591" s="81"/>
      <c r="AE591" s="81"/>
    </row>
    <row r="592">
      <c r="A592" s="16"/>
      <c r="B592" s="127"/>
      <c r="C592" s="127"/>
      <c r="D592" s="108"/>
      <c r="E592" s="109"/>
      <c r="F592" s="58"/>
      <c r="G592" s="135"/>
      <c r="H592" s="129"/>
      <c r="I592" s="129"/>
      <c r="J592" s="130" t="b">
        <v>0</v>
      </c>
      <c r="K592" s="58"/>
      <c r="L592" s="131" t="str">
        <f t="shared" si="8"/>
        <v/>
      </c>
      <c r="M592" s="108"/>
      <c r="N592" s="109"/>
      <c r="O592" s="109"/>
      <c r="P592" s="109"/>
      <c r="Q592" s="58"/>
      <c r="R592" s="136" t="b">
        <v>0</v>
      </c>
      <c r="S592" s="58"/>
      <c r="T592" s="80"/>
      <c r="U592" s="80"/>
      <c r="V592" s="80"/>
      <c r="W592" s="80"/>
      <c r="X592" s="80"/>
      <c r="Y592" s="80"/>
      <c r="Z592" s="80"/>
      <c r="AA592" s="81"/>
      <c r="AB592" s="81"/>
      <c r="AC592" s="81"/>
      <c r="AD592" s="81"/>
      <c r="AE592" s="81"/>
    </row>
    <row r="593">
      <c r="A593" s="16"/>
      <c r="B593" s="127"/>
      <c r="C593" s="127"/>
      <c r="D593" s="108"/>
      <c r="E593" s="109"/>
      <c r="F593" s="58"/>
      <c r="G593" s="135"/>
      <c r="H593" s="129"/>
      <c r="I593" s="129"/>
      <c r="J593" s="130" t="b">
        <v>0</v>
      </c>
      <c r="K593" s="58"/>
      <c r="L593" s="131" t="str">
        <f t="shared" si="8"/>
        <v/>
      </c>
      <c r="M593" s="108"/>
      <c r="N593" s="109"/>
      <c r="O593" s="109"/>
      <c r="P593" s="109"/>
      <c r="Q593" s="58"/>
      <c r="R593" s="136" t="b">
        <v>0</v>
      </c>
      <c r="S593" s="58"/>
      <c r="T593" s="80"/>
      <c r="U593" s="80"/>
      <c r="V593" s="80"/>
      <c r="W593" s="80"/>
      <c r="X593" s="80"/>
      <c r="Y593" s="80"/>
      <c r="Z593" s="80"/>
      <c r="AA593" s="81"/>
      <c r="AB593" s="81"/>
      <c r="AC593" s="81"/>
      <c r="AD593" s="81"/>
      <c r="AE593" s="81"/>
    </row>
    <row r="594">
      <c r="A594" s="16"/>
      <c r="B594" s="127"/>
      <c r="C594" s="127"/>
      <c r="D594" s="108"/>
      <c r="E594" s="109"/>
      <c r="F594" s="58"/>
      <c r="G594" s="135"/>
      <c r="H594" s="129"/>
      <c r="I594" s="129"/>
      <c r="J594" s="130" t="b">
        <v>0</v>
      </c>
      <c r="K594" s="58"/>
      <c r="L594" s="131" t="str">
        <f t="shared" si="8"/>
        <v/>
      </c>
      <c r="M594" s="108"/>
      <c r="N594" s="109"/>
      <c r="O594" s="109"/>
      <c r="P594" s="109"/>
      <c r="Q594" s="58"/>
      <c r="R594" s="136" t="b">
        <v>0</v>
      </c>
      <c r="S594" s="58"/>
      <c r="T594" s="80"/>
      <c r="U594" s="80"/>
      <c r="V594" s="80"/>
      <c r="W594" s="80"/>
      <c r="X594" s="80"/>
      <c r="Y594" s="80"/>
      <c r="Z594" s="80"/>
      <c r="AA594" s="81"/>
      <c r="AB594" s="81"/>
      <c r="AC594" s="81"/>
      <c r="AD594" s="81"/>
      <c r="AE594" s="81"/>
    </row>
    <row r="595">
      <c r="A595" s="16"/>
      <c r="B595" s="127"/>
      <c r="C595" s="127"/>
      <c r="D595" s="108"/>
      <c r="E595" s="109"/>
      <c r="F595" s="58"/>
      <c r="G595" s="135"/>
      <c r="H595" s="129"/>
      <c r="I595" s="129"/>
      <c r="J595" s="130" t="b">
        <v>0</v>
      </c>
      <c r="K595" s="58"/>
      <c r="L595" s="131" t="str">
        <f t="shared" si="8"/>
        <v/>
      </c>
      <c r="M595" s="108"/>
      <c r="N595" s="109"/>
      <c r="O595" s="109"/>
      <c r="P595" s="109"/>
      <c r="Q595" s="58"/>
      <c r="R595" s="136" t="b">
        <v>0</v>
      </c>
      <c r="S595" s="58"/>
      <c r="T595" s="80"/>
      <c r="U595" s="80"/>
      <c r="V595" s="80"/>
      <c r="W595" s="80"/>
      <c r="X595" s="80"/>
      <c r="Y595" s="80"/>
      <c r="Z595" s="80"/>
      <c r="AA595" s="81"/>
      <c r="AB595" s="81"/>
      <c r="AC595" s="81"/>
      <c r="AD595" s="81"/>
      <c r="AE595" s="81"/>
    </row>
    <row r="596">
      <c r="A596" s="16"/>
      <c r="B596" s="127"/>
      <c r="C596" s="127"/>
      <c r="D596" s="108"/>
      <c r="E596" s="109"/>
      <c r="F596" s="58"/>
      <c r="G596" s="135"/>
      <c r="H596" s="129"/>
      <c r="I596" s="129"/>
      <c r="J596" s="130" t="b">
        <v>0</v>
      </c>
      <c r="K596" s="58"/>
      <c r="L596" s="131" t="str">
        <f t="shared" si="8"/>
        <v/>
      </c>
      <c r="M596" s="108"/>
      <c r="N596" s="109"/>
      <c r="O596" s="109"/>
      <c r="P596" s="109"/>
      <c r="Q596" s="58"/>
      <c r="R596" s="136" t="b">
        <v>0</v>
      </c>
      <c r="S596" s="58"/>
      <c r="T596" s="80"/>
      <c r="U596" s="80"/>
      <c r="V596" s="80"/>
      <c r="W596" s="80"/>
      <c r="X596" s="80"/>
      <c r="Y596" s="80"/>
      <c r="Z596" s="80"/>
      <c r="AA596" s="81"/>
      <c r="AB596" s="81"/>
      <c r="AC596" s="81"/>
      <c r="AD596" s="81"/>
      <c r="AE596" s="81"/>
    </row>
    <row r="597">
      <c r="A597" s="16"/>
      <c r="B597" s="127"/>
      <c r="C597" s="127"/>
      <c r="D597" s="108"/>
      <c r="E597" s="109"/>
      <c r="F597" s="58"/>
      <c r="G597" s="135"/>
      <c r="H597" s="129"/>
      <c r="I597" s="129"/>
      <c r="J597" s="130" t="b">
        <v>0</v>
      </c>
      <c r="K597" s="58"/>
      <c r="L597" s="131" t="str">
        <f t="shared" si="8"/>
        <v/>
      </c>
      <c r="M597" s="108"/>
      <c r="N597" s="109"/>
      <c r="O597" s="109"/>
      <c r="P597" s="109"/>
      <c r="Q597" s="58"/>
      <c r="R597" s="136" t="b">
        <v>0</v>
      </c>
      <c r="S597" s="58"/>
      <c r="T597" s="80"/>
      <c r="U597" s="80"/>
      <c r="V597" s="80"/>
      <c r="W597" s="80"/>
      <c r="X597" s="80"/>
      <c r="Y597" s="80"/>
      <c r="Z597" s="80"/>
      <c r="AA597" s="81"/>
      <c r="AB597" s="81"/>
      <c r="AC597" s="81"/>
      <c r="AD597" s="81"/>
      <c r="AE597" s="81"/>
    </row>
    <row r="598">
      <c r="A598" s="16"/>
      <c r="B598" s="127"/>
      <c r="C598" s="127"/>
      <c r="D598" s="108"/>
      <c r="E598" s="109"/>
      <c r="F598" s="58"/>
      <c r="G598" s="135"/>
      <c r="H598" s="129"/>
      <c r="I598" s="129"/>
      <c r="J598" s="130" t="b">
        <v>0</v>
      </c>
      <c r="K598" s="58"/>
      <c r="L598" s="131" t="str">
        <f t="shared" si="8"/>
        <v/>
      </c>
      <c r="M598" s="108"/>
      <c r="N598" s="109"/>
      <c r="O598" s="109"/>
      <c r="P598" s="109"/>
      <c r="Q598" s="58"/>
      <c r="R598" s="136" t="b">
        <v>0</v>
      </c>
      <c r="S598" s="58"/>
      <c r="T598" s="80"/>
      <c r="U598" s="80"/>
      <c r="V598" s="80"/>
      <c r="W598" s="80"/>
      <c r="X598" s="80"/>
      <c r="Y598" s="80"/>
      <c r="Z598" s="80"/>
      <c r="AA598" s="81"/>
      <c r="AB598" s="81"/>
      <c r="AC598" s="81"/>
      <c r="AD598" s="81"/>
      <c r="AE598" s="81"/>
    </row>
    <row r="599">
      <c r="A599" s="16"/>
      <c r="B599" s="127"/>
      <c r="C599" s="127"/>
      <c r="D599" s="108"/>
      <c r="E599" s="109"/>
      <c r="F599" s="58"/>
      <c r="G599" s="135"/>
      <c r="H599" s="129"/>
      <c r="I599" s="129"/>
      <c r="J599" s="130" t="b">
        <v>0</v>
      </c>
      <c r="K599" s="58"/>
      <c r="L599" s="131" t="str">
        <f t="shared" si="8"/>
        <v/>
      </c>
      <c r="M599" s="108"/>
      <c r="N599" s="109"/>
      <c r="O599" s="109"/>
      <c r="P599" s="109"/>
      <c r="Q599" s="58"/>
      <c r="R599" s="136" t="b">
        <v>0</v>
      </c>
      <c r="S599" s="58"/>
      <c r="T599" s="80"/>
      <c r="U599" s="80"/>
      <c r="V599" s="80"/>
      <c r="W599" s="80"/>
      <c r="X599" s="80"/>
      <c r="Y599" s="80"/>
      <c r="Z599" s="80"/>
      <c r="AA599" s="81"/>
      <c r="AB599" s="81"/>
      <c r="AC599" s="81"/>
      <c r="AD599" s="81"/>
      <c r="AE599" s="81"/>
    </row>
    <row r="600">
      <c r="A600" s="16"/>
      <c r="B600" s="127"/>
      <c r="C600" s="127"/>
      <c r="D600" s="108"/>
      <c r="E600" s="109"/>
      <c r="F600" s="58"/>
      <c r="G600" s="135"/>
      <c r="H600" s="129"/>
      <c r="I600" s="129"/>
      <c r="J600" s="130" t="b">
        <v>0</v>
      </c>
      <c r="K600" s="58"/>
      <c r="L600" s="131" t="str">
        <f t="shared" si="8"/>
        <v/>
      </c>
      <c r="M600" s="108"/>
      <c r="N600" s="109"/>
      <c r="O600" s="109"/>
      <c r="P600" s="109"/>
      <c r="Q600" s="58"/>
      <c r="R600" s="136" t="b">
        <v>0</v>
      </c>
      <c r="S600" s="58"/>
      <c r="T600" s="80"/>
      <c r="U600" s="80"/>
      <c r="V600" s="80"/>
      <c r="W600" s="80"/>
      <c r="X600" s="80"/>
      <c r="Y600" s="80"/>
      <c r="Z600" s="80"/>
      <c r="AA600" s="81"/>
      <c r="AB600" s="81"/>
      <c r="AC600" s="81"/>
      <c r="AD600" s="81"/>
      <c r="AE600" s="81"/>
    </row>
    <row r="601">
      <c r="A601" s="16"/>
      <c r="B601" s="127"/>
      <c r="C601" s="127"/>
      <c r="D601" s="108"/>
      <c r="E601" s="109"/>
      <c r="F601" s="58"/>
      <c r="G601" s="135"/>
      <c r="H601" s="129"/>
      <c r="I601" s="129"/>
      <c r="J601" s="130" t="b">
        <v>0</v>
      </c>
      <c r="K601" s="58"/>
      <c r="L601" s="131" t="str">
        <f t="shared" si="8"/>
        <v/>
      </c>
      <c r="M601" s="108"/>
      <c r="N601" s="109"/>
      <c r="O601" s="109"/>
      <c r="P601" s="109"/>
      <c r="Q601" s="58"/>
      <c r="R601" s="136" t="b">
        <v>0</v>
      </c>
      <c r="S601" s="58"/>
      <c r="T601" s="80"/>
      <c r="U601" s="80"/>
      <c r="V601" s="80"/>
      <c r="W601" s="80"/>
      <c r="X601" s="80"/>
      <c r="Y601" s="80"/>
      <c r="Z601" s="80"/>
      <c r="AA601" s="81"/>
      <c r="AB601" s="81"/>
      <c r="AC601" s="81"/>
      <c r="AD601" s="81"/>
      <c r="AE601" s="81"/>
    </row>
    <row r="602">
      <c r="A602" s="16"/>
      <c r="B602" s="127"/>
      <c r="C602" s="127"/>
      <c r="D602" s="108"/>
      <c r="E602" s="109"/>
      <c r="F602" s="58"/>
      <c r="G602" s="135"/>
      <c r="H602" s="129"/>
      <c r="I602" s="129"/>
      <c r="J602" s="130" t="b">
        <v>0</v>
      </c>
      <c r="K602" s="58"/>
      <c r="L602" s="131" t="str">
        <f t="shared" si="8"/>
        <v/>
      </c>
      <c r="M602" s="108"/>
      <c r="N602" s="109"/>
      <c r="O602" s="109"/>
      <c r="P602" s="109"/>
      <c r="Q602" s="58"/>
      <c r="R602" s="136" t="b">
        <v>0</v>
      </c>
      <c r="S602" s="58"/>
      <c r="T602" s="80"/>
      <c r="U602" s="80"/>
      <c r="V602" s="80"/>
      <c r="W602" s="80"/>
      <c r="X602" s="80"/>
      <c r="Y602" s="80"/>
      <c r="Z602" s="80"/>
      <c r="AA602" s="81"/>
      <c r="AB602" s="81"/>
      <c r="AC602" s="81"/>
      <c r="AD602" s="81"/>
      <c r="AE602" s="81"/>
    </row>
    <row r="603">
      <c r="A603" s="16"/>
      <c r="B603" s="127"/>
      <c r="C603" s="127"/>
      <c r="D603" s="108"/>
      <c r="E603" s="109"/>
      <c r="F603" s="58"/>
      <c r="G603" s="135"/>
      <c r="H603" s="129"/>
      <c r="I603" s="129"/>
      <c r="J603" s="130" t="b">
        <v>0</v>
      </c>
      <c r="K603" s="58"/>
      <c r="L603" s="131" t="str">
        <f t="shared" si="8"/>
        <v/>
      </c>
      <c r="M603" s="108"/>
      <c r="N603" s="109"/>
      <c r="O603" s="109"/>
      <c r="P603" s="109"/>
      <c r="Q603" s="58"/>
      <c r="R603" s="136" t="b">
        <v>0</v>
      </c>
      <c r="S603" s="58"/>
      <c r="T603" s="80"/>
      <c r="U603" s="80"/>
      <c r="V603" s="80"/>
      <c r="W603" s="80"/>
      <c r="X603" s="80"/>
      <c r="Y603" s="80"/>
      <c r="Z603" s="80"/>
      <c r="AA603" s="81"/>
      <c r="AB603" s="81"/>
      <c r="AC603" s="81"/>
      <c r="AD603" s="81"/>
      <c r="AE603" s="81"/>
    </row>
    <row r="604">
      <c r="A604" s="16"/>
      <c r="B604" s="127"/>
      <c r="C604" s="127"/>
      <c r="D604" s="108"/>
      <c r="E604" s="109"/>
      <c r="F604" s="58"/>
      <c r="G604" s="135"/>
      <c r="H604" s="129"/>
      <c r="I604" s="129"/>
      <c r="J604" s="130" t="b">
        <v>0</v>
      </c>
      <c r="K604" s="58"/>
      <c r="L604" s="131" t="str">
        <f t="shared" si="8"/>
        <v/>
      </c>
      <c r="M604" s="108"/>
      <c r="N604" s="109"/>
      <c r="O604" s="109"/>
      <c r="P604" s="109"/>
      <c r="Q604" s="58"/>
      <c r="R604" s="136" t="b">
        <v>0</v>
      </c>
      <c r="S604" s="58"/>
      <c r="T604" s="80"/>
      <c r="U604" s="80"/>
      <c r="V604" s="80"/>
      <c r="W604" s="80"/>
      <c r="X604" s="80"/>
      <c r="Y604" s="80"/>
      <c r="Z604" s="80"/>
      <c r="AA604" s="81"/>
      <c r="AB604" s="81"/>
      <c r="AC604" s="81"/>
      <c r="AD604" s="81"/>
      <c r="AE604" s="81"/>
    </row>
    <row r="605">
      <c r="A605" s="16"/>
      <c r="B605" s="127"/>
      <c r="C605" s="127"/>
      <c r="D605" s="108"/>
      <c r="E605" s="109"/>
      <c r="F605" s="58"/>
      <c r="G605" s="135"/>
      <c r="H605" s="129"/>
      <c r="I605" s="129"/>
      <c r="J605" s="130" t="b">
        <v>0</v>
      </c>
      <c r="K605" s="58"/>
      <c r="L605" s="131" t="str">
        <f t="shared" si="8"/>
        <v/>
      </c>
      <c r="M605" s="108"/>
      <c r="N605" s="109"/>
      <c r="O605" s="109"/>
      <c r="P605" s="109"/>
      <c r="Q605" s="58"/>
      <c r="R605" s="136" t="b">
        <v>0</v>
      </c>
      <c r="S605" s="58"/>
      <c r="T605" s="80"/>
      <c r="U605" s="80"/>
      <c r="V605" s="80"/>
      <c r="W605" s="80"/>
      <c r="X605" s="80"/>
      <c r="Y605" s="80"/>
      <c r="Z605" s="80"/>
      <c r="AA605" s="81"/>
      <c r="AB605" s="81"/>
      <c r="AC605" s="81"/>
      <c r="AD605" s="81"/>
      <c r="AE605" s="81"/>
    </row>
    <row r="606">
      <c r="A606" s="16"/>
      <c r="B606" s="127"/>
      <c r="C606" s="127"/>
      <c r="D606" s="108"/>
      <c r="E606" s="109"/>
      <c r="F606" s="58"/>
      <c r="G606" s="135"/>
      <c r="H606" s="129"/>
      <c r="I606" s="129"/>
      <c r="J606" s="130" t="b">
        <v>0</v>
      </c>
      <c r="K606" s="58"/>
      <c r="L606" s="131" t="str">
        <f t="shared" si="8"/>
        <v/>
      </c>
      <c r="M606" s="108"/>
      <c r="N606" s="109"/>
      <c r="O606" s="109"/>
      <c r="P606" s="109"/>
      <c r="Q606" s="58"/>
      <c r="R606" s="136" t="b">
        <v>0</v>
      </c>
      <c r="S606" s="58"/>
      <c r="T606" s="80"/>
      <c r="U606" s="80"/>
      <c r="V606" s="80"/>
      <c r="W606" s="80"/>
      <c r="X606" s="80"/>
      <c r="Y606" s="80"/>
      <c r="Z606" s="80"/>
      <c r="AA606" s="81"/>
      <c r="AB606" s="81"/>
      <c r="AC606" s="81"/>
      <c r="AD606" s="81"/>
      <c r="AE606" s="81"/>
    </row>
    <row r="607">
      <c r="A607" s="16"/>
      <c r="B607" s="127"/>
      <c r="C607" s="127"/>
      <c r="D607" s="108"/>
      <c r="E607" s="109"/>
      <c r="F607" s="58"/>
      <c r="G607" s="135"/>
      <c r="H607" s="129"/>
      <c r="I607" s="129"/>
      <c r="J607" s="130" t="b">
        <v>0</v>
      </c>
      <c r="K607" s="58"/>
      <c r="L607" s="131" t="str">
        <f t="shared" si="8"/>
        <v/>
      </c>
      <c r="M607" s="108"/>
      <c r="N607" s="109"/>
      <c r="O607" s="109"/>
      <c r="P607" s="109"/>
      <c r="Q607" s="58"/>
      <c r="R607" s="136" t="b">
        <v>0</v>
      </c>
      <c r="S607" s="58"/>
      <c r="T607" s="80"/>
      <c r="U607" s="80"/>
      <c r="V607" s="80"/>
      <c r="W607" s="80"/>
      <c r="X607" s="80"/>
      <c r="Y607" s="80"/>
      <c r="Z607" s="80"/>
      <c r="AA607" s="81"/>
      <c r="AB607" s="81"/>
      <c r="AC607" s="81"/>
      <c r="AD607" s="81"/>
      <c r="AE607" s="81"/>
    </row>
    <row r="608">
      <c r="A608" s="16"/>
      <c r="B608" s="127"/>
      <c r="C608" s="127"/>
      <c r="D608" s="108"/>
      <c r="E608" s="109"/>
      <c r="F608" s="58"/>
      <c r="G608" s="135"/>
      <c r="H608" s="129"/>
      <c r="I608" s="129"/>
      <c r="J608" s="130" t="b">
        <v>0</v>
      </c>
      <c r="K608" s="58"/>
      <c r="L608" s="131" t="str">
        <f t="shared" si="8"/>
        <v/>
      </c>
      <c r="M608" s="108"/>
      <c r="N608" s="109"/>
      <c r="O608" s="109"/>
      <c r="P608" s="109"/>
      <c r="Q608" s="58"/>
      <c r="R608" s="136" t="b">
        <v>0</v>
      </c>
      <c r="S608" s="58"/>
      <c r="T608" s="80"/>
      <c r="U608" s="80"/>
      <c r="V608" s="80"/>
      <c r="W608" s="80"/>
      <c r="X608" s="80"/>
      <c r="Y608" s="80"/>
      <c r="Z608" s="80"/>
      <c r="AA608" s="81"/>
      <c r="AB608" s="81"/>
      <c r="AC608" s="81"/>
      <c r="AD608" s="81"/>
      <c r="AE608" s="81"/>
    </row>
    <row r="609">
      <c r="A609" s="16"/>
      <c r="B609" s="127"/>
      <c r="C609" s="127"/>
      <c r="D609" s="108"/>
      <c r="E609" s="109"/>
      <c r="F609" s="58"/>
      <c r="G609" s="135"/>
      <c r="H609" s="129"/>
      <c r="I609" s="129"/>
      <c r="J609" s="130" t="b">
        <v>0</v>
      </c>
      <c r="K609" s="58"/>
      <c r="L609" s="131" t="str">
        <f t="shared" si="8"/>
        <v/>
      </c>
      <c r="M609" s="108"/>
      <c r="N609" s="109"/>
      <c r="O609" s="109"/>
      <c r="P609" s="109"/>
      <c r="Q609" s="58"/>
      <c r="R609" s="136" t="b">
        <v>0</v>
      </c>
      <c r="S609" s="58"/>
      <c r="T609" s="80"/>
      <c r="U609" s="80"/>
      <c r="V609" s="80"/>
      <c r="W609" s="80"/>
      <c r="X609" s="80"/>
      <c r="Y609" s="80"/>
      <c r="Z609" s="80"/>
      <c r="AA609" s="81"/>
      <c r="AB609" s="81"/>
      <c r="AC609" s="81"/>
      <c r="AD609" s="81"/>
      <c r="AE609" s="81"/>
    </row>
    <row r="610">
      <c r="A610" s="16"/>
      <c r="B610" s="127"/>
      <c r="C610" s="127"/>
      <c r="D610" s="108"/>
      <c r="E610" s="109"/>
      <c r="F610" s="58"/>
      <c r="G610" s="135"/>
      <c r="H610" s="129"/>
      <c r="I610" s="129"/>
      <c r="J610" s="130" t="b">
        <v>0</v>
      </c>
      <c r="K610" s="58"/>
      <c r="L610" s="131" t="str">
        <f t="shared" si="8"/>
        <v/>
      </c>
      <c r="M610" s="108"/>
      <c r="N610" s="109"/>
      <c r="O610" s="109"/>
      <c r="P610" s="109"/>
      <c r="Q610" s="58"/>
      <c r="R610" s="136" t="b">
        <v>0</v>
      </c>
      <c r="S610" s="58"/>
      <c r="T610" s="80"/>
      <c r="U610" s="80"/>
      <c r="V610" s="80"/>
      <c r="W610" s="80"/>
      <c r="X610" s="80"/>
      <c r="Y610" s="80"/>
      <c r="Z610" s="80"/>
      <c r="AA610" s="81"/>
      <c r="AB610" s="81"/>
      <c r="AC610" s="81"/>
      <c r="AD610" s="81"/>
      <c r="AE610" s="81"/>
    </row>
    <row r="611">
      <c r="A611" s="16"/>
      <c r="B611" s="127"/>
      <c r="C611" s="127"/>
      <c r="D611" s="108"/>
      <c r="E611" s="109"/>
      <c r="F611" s="58"/>
      <c r="G611" s="135"/>
      <c r="H611" s="129"/>
      <c r="I611" s="129"/>
      <c r="J611" s="130" t="b">
        <v>0</v>
      </c>
      <c r="K611" s="58"/>
      <c r="L611" s="131" t="str">
        <f t="shared" si="8"/>
        <v/>
      </c>
      <c r="M611" s="108"/>
      <c r="N611" s="109"/>
      <c r="O611" s="109"/>
      <c r="P611" s="109"/>
      <c r="Q611" s="58"/>
      <c r="R611" s="136" t="b">
        <v>0</v>
      </c>
      <c r="S611" s="58"/>
      <c r="T611" s="80"/>
      <c r="U611" s="80"/>
      <c r="V611" s="80"/>
      <c r="W611" s="80"/>
      <c r="X611" s="80"/>
      <c r="Y611" s="80"/>
      <c r="Z611" s="80"/>
      <c r="AA611" s="81"/>
      <c r="AB611" s="81"/>
      <c r="AC611" s="81"/>
      <c r="AD611" s="81"/>
      <c r="AE611" s="81"/>
    </row>
    <row r="612">
      <c r="A612" s="16"/>
      <c r="B612" s="127"/>
      <c r="C612" s="127"/>
      <c r="D612" s="108"/>
      <c r="E612" s="109"/>
      <c r="F612" s="58"/>
      <c r="G612" s="135"/>
      <c r="H612" s="129"/>
      <c r="I612" s="129"/>
      <c r="J612" s="130" t="b">
        <v>0</v>
      </c>
      <c r="K612" s="58"/>
      <c r="L612" s="131" t="str">
        <f t="shared" si="8"/>
        <v/>
      </c>
      <c r="M612" s="108"/>
      <c r="N612" s="109"/>
      <c r="O612" s="109"/>
      <c r="P612" s="109"/>
      <c r="Q612" s="58"/>
      <c r="R612" s="136" t="b">
        <v>0</v>
      </c>
      <c r="S612" s="58"/>
      <c r="T612" s="80"/>
      <c r="U612" s="80"/>
      <c r="V612" s="80"/>
      <c r="W612" s="80"/>
      <c r="X612" s="80"/>
      <c r="Y612" s="80"/>
      <c r="Z612" s="80"/>
      <c r="AA612" s="81"/>
      <c r="AB612" s="81"/>
      <c r="AC612" s="81"/>
      <c r="AD612" s="81"/>
      <c r="AE612" s="81"/>
    </row>
    <row r="613">
      <c r="A613" s="16"/>
      <c r="B613" s="127"/>
      <c r="C613" s="127"/>
      <c r="D613" s="108"/>
      <c r="E613" s="109"/>
      <c r="F613" s="58"/>
      <c r="G613" s="135"/>
      <c r="H613" s="129"/>
      <c r="I613" s="129"/>
      <c r="J613" s="130" t="b">
        <v>0</v>
      </c>
      <c r="K613" s="58"/>
      <c r="L613" s="131" t="str">
        <f t="shared" si="8"/>
        <v/>
      </c>
      <c r="M613" s="108"/>
      <c r="N613" s="109"/>
      <c r="O613" s="109"/>
      <c r="P613" s="109"/>
      <c r="Q613" s="58"/>
      <c r="R613" s="136" t="b">
        <v>0</v>
      </c>
      <c r="S613" s="58"/>
      <c r="T613" s="80"/>
      <c r="U613" s="80"/>
      <c r="V613" s="80"/>
      <c r="W613" s="80"/>
      <c r="X613" s="80"/>
      <c r="Y613" s="80"/>
      <c r="Z613" s="80"/>
      <c r="AA613" s="81"/>
      <c r="AB613" s="81"/>
      <c r="AC613" s="81"/>
      <c r="AD613" s="81"/>
      <c r="AE613" s="81"/>
    </row>
    <row r="614">
      <c r="A614" s="16"/>
      <c r="B614" s="127"/>
      <c r="C614" s="127"/>
      <c r="D614" s="108"/>
      <c r="E614" s="109"/>
      <c r="F614" s="58"/>
      <c r="G614" s="135"/>
      <c r="H614" s="129"/>
      <c r="I614" s="129"/>
      <c r="J614" s="130" t="b">
        <v>0</v>
      </c>
      <c r="K614" s="58"/>
      <c r="L614" s="131" t="str">
        <f t="shared" si="8"/>
        <v/>
      </c>
      <c r="M614" s="108"/>
      <c r="N614" s="109"/>
      <c r="O614" s="109"/>
      <c r="P614" s="109"/>
      <c r="Q614" s="58"/>
      <c r="R614" s="136" t="b">
        <v>0</v>
      </c>
      <c r="S614" s="58"/>
      <c r="T614" s="80"/>
      <c r="U614" s="80"/>
      <c r="V614" s="80"/>
      <c r="W614" s="80"/>
      <c r="X614" s="80"/>
      <c r="Y614" s="80"/>
      <c r="Z614" s="80"/>
      <c r="AA614" s="81"/>
      <c r="AB614" s="81"/>
      <c r="AC614" s="81"/>
      <c r="AD614" s="81"/>
      <c r="AE614" s="81"/>
    </row>
    <row r="615">
      <c r="A615" s="16"/>
      <c r="B615" s="127"/>
      <c r="C615" s="127"/>
      <c r="D615" s="108"/>
      <c r="E615" s="109"/>
      <c r="F615" s="58"/>
      <c r="G615" s="135"/>
      <c r="H615" s="129"/>
      <c r="I615" s="129"/>
      <c r="J615" s="130" t="b">
        <v>0</v>
      </c>
      <c r="K615" s="58"/>
      <c r="L615" s="131" t="str">
        <f t="shared" si="8"/>
        <v/>
      </c>
      <c r="M615" s="108"/>
      <c r="N615" s="109"/>
      <c r="O615" s="109"/>
      <c r="P615" s="109"/>
      <c r="Q615" s="58"/>
      <c r="R615" s="136" t="b">
        <v>0</v>
      </c>
      <c r="S615" s="58"/>
      <c r="T615" s="80"/>
      <c r="U615" s="80"/>
      <c r="V615" s="80"/>
      <c r="W615" s="80"/>
      <c r="X615" s="80"/>
      <c r="Y615" s="80"/>
      <c r="Z615" s="80"/>
      <c r="AA615" s="81"/>
      <c r="AB615" s="81"/>
      <c r="AC615" s="81"/>
      <c r="AD615" s="81"/>
      <c r="AE615" s="81"/>
    </row>
    <row r="616">
      <c r="A616" s="16"/>
      <c r="B616" s="127"/>
      <c r="C616" s="127"/>
      <c r="D616" s="108"/>
      <c r="E616" s="109"/>
      <c r="F616" s="58"/>
      <c r="G616" s="135"/>
      <c r="H616" s="129"/>
      <c r="I616" s="129"/>
      <c r="J616" s="130" t="b">
        <v>0</v>
      </c>
      <c r="K616" s="58"/>
      <c r="L616" s="131" t="str">
        <f t="shared" si="8"/>
        <v/>
      </c>
      <c r="M616" s="108"/>
      <c r="N616" s="109"/>
      <c r="O616" s="109"/>
      <c r="P616" s="109"/>
      <c r="Q616" s="58"/>
      <c r="R616" s="136" t="b">
        <v>0</v>
      </c>
      <c r="S616" s="58"/>
      <c r="T616" s="80"/>
      <c r="U616" s="80"/>
      <c r="V616" s="80"/>
      <c r="W616" s="80"/>
      <c r="X616" s="80"/>
      <c r="Y616" s="80"/>
      <c r="Z616" s="80"/>
      <c r="AA616" s="81"/>
      <c r="AB616" s="81"/>
      <c r="AC616" s="81"/>
      <c r="AD616" s="81"/>
      <c r="AE616" s="81"/>
    </row>
    <row r="617">
      <c r="A617" s="16"/>
      <c r="B617" s="127"/>
      <c r="C617" s="127"/>
      <c r="D617" s="108"/>
      <c r="E617" s="109"/>
      <c r="F617" s="58"/>
      <c r="G617" s="135"/>
      <c r="H617" s="129"/>
      <c r="I617" s="129"/>
      <c r="J617" s="130" t="b">
        <v>0</v>
      </c>
      <c r="K617" s="58"/>
      <c r="L617" s="131" t="str">
        <f t="shared" si="8"/>
        <v/>
      </c>
      <c r="M617" s="108"/>
      <c r="N617" s="109"/>
      <c r="O617" s="109"/>
      <c r="P617" s="109"/>
      <c r="Q617" s="58"/>
      <c r="R617" s="136" t="b">
        <v>0</v>
      </c>
      <c r="S617" s="58"/>
      <c r="T617" s="80"/>
      <c r="U617" s="80"/>
      <c r="V617" s="80"/>
      <c r="W617" s="80"/>
      <c r="X617" s="80"/>
      <c r="Y617" s="80"/>
      <c r="Z617" s="80"/>
      <c r="AA617" s="81"/>
      <c r="AB617" s="81"/>
      <c r="AC617" s="81"/>
      <c r="AD617" s="81"/>
      <c r="AE617" s="81"/>
    </row>
    <row r="618">
      <c r="A618" s="16"/>
      <c r="B618" s="127"/>
      <c r="C618" s="127"/>
      <c r="D618" s="108"/>
      <c r="E618" s="109"/>
      <c r="F618" s="58"/>
      <c r="G618" s="135"/>
      <c r="H618" s="129"/>
      <c r="I618" s="129"/>
      <c r="J618" s="130" t="b">
        <v>0</v>
      </c>
      <c r="K618" s="58"/>
      <c r="L618" s="131" t="str">
        <f t="shared" si="8"/>
        <v/>
      </c>
      <c r="M618" s="108"/>
      <c r="N618" s="109"/>
      <c r="O618" s="109"/>
      <c r="P618" s="109"/>
      <c r="Q618" s="58"/>
      <c r="R618" s="136" t="b">
        <v>0</v>
      </c>
      <c r="S618" s="58"/>
      <c r="T618" s="80"/>
      <c r="U618" s="80"/>
      <c r="V618" s="80"/>
      <c r="W618" s="80"/>
      <c r="X618" s="80"/>
      <c r="Y618" s="80"/>
      <c r="Z618" s="80"/>
      <c r="AA618" s="81"/>
      <c r="AB618" s="81"/>
      <c r="AC618" s="81"/>
      <c r="AD618" s="81"/>
      <c r="AE618" s="81"/>
    </row>
    <row r="619">
      <c r="A619" s="16"/>
      <c r="B619" s="127"/>
      <c r="C619" s="127"/>
      <c r="D619" s="108"/>
      <c r="E619" s="109"/>
      <c r="F619" s="58"/>
      <c r="G619" s="135"/>
      <c r="H619" s="129"/>
      <c r="I619" s="129"/>
      <c r="J619" s="130" t="b">
        <v>0</v>
      </c>
      <c r="K619" s="58"/>
      <c r="L619" s="131" t="str">
        <f t="shared" si="8"/>
        <v/>
      </c>
      <c r="M619" s="108"/>
      <c r="N619" s="109"/>
      <c r="O619" s="109"/>
      <c r="P619" s="109"/>
      <c r="Q619" s="58"/>
      <c r="R619" s="136" t="b">
        <v>0</v>
      </c>
      <c r="S619" s="58"/>
      <c r="T619" s="80"/>
      <c r="U619" s="80"/>
      <c r="V619" s="80"/>
      <c r="W619" s="80"/>
      <c r="X619" s="80"/>
      <c r="Y619" s="80"/>
      <c r="Z619" s="80"/>
      <c r="AA619" s="81"/>
      <c r="AB619" s="81"/>
      <c r="AC619" s="81"/>
      <c r="AD619" s="81"/>
      <c r="AE619" s="81"/>
    </row>
    <row r="620">
      <c r="A620" s="16"/>
      <c r="B620" s="127"/>
      <c r="C620" s="127"/>
      <c r="D620" s="108"/>
      <c r="E620" s="109"/>
      <c r="F620" s="58"/>
      <c r="G620" s="135"/>
      <c r="H620" s="129"/>
      <c r="I620" s="129"/>
      <c r="J620" s="130" t="b">
        <v>0</v>
      </c>
      <c r="K620" s="58"/>
      <c r="L620" s="131" t="str">
        <f t="shared" si="8"/>
        <v/>
      </c>
      <c r="M620" s="108"/>
      <c r="N620" s="109"/>
      <c r="O620" s="109"/>
      <c r="P620" s="109"/>
      <c r="Q620" s="58"/>
      <c r="R620" s="136" t="b">
        <v>0</v>
      </c>
      <c r="S620" s="58"/>
      <c r="T620" s="80"/>
      <c r="U620" s="80"/>
      <c r="V620" s="80"/>
      <c r="W620" s="80"/>
      <c r="X620" s="80"/>
      <c r="Y620" s="80"/>
      <c r="Z620" s="80"/>
      <c r="AA620" s="81"/>
      <c r="AB620" s="81"/>
      <c r="AC620" s="81"/>
      <c r="AD620" s="81"/>
      <c r="AE620" s="81"/>
    </row>
    <row r="621">
      <c r="A621" s="16"/>
      <c r="B621" s="127"/>
      <c r="C621" s="127"/>
      <c r="D621" s="108"/>
      <c r="E621" s="109"/>
      <c r="F621" s="58"/>
      <c r="G621" s="135"/>
      <c r="H621" s="129"/>
      <c r="I621" s="129"/>
      <c r="J621" s="130" t="b">
        <v>0</v>
      </c>
      <c r="K621" s="58"/>
      <c r="L621" s="131" t="str">
        <f t="shared" si="8"/>
        <v/>
      </c>
      <c r="M621" s="108"/>
      <c r="N621" s="109"/>
      <c r="O621" s="109"/>
      <c r="P621" s="109"/>
      <c r="Q621" s="58"/>
      <c r="R621" s="136" t="b">
        <v>0</v>
      </c>
      <c r="S621" s="58"/>
      <c r="T621" s="80"/>
      <c r="U621" s="80"/>
      <c r="V621" s="80"/>
      <c r="W621" s="80"/>
      <c r="X621" s="80"/>
      <c r="Y621" s="80"/>
      <c r="Z621" s="80"/>
      <c r="AA621" s="81"/>
      <c r="AB621" s="81"/>
      <c r="AC621" s="81"/>
      <c r="AD621" s="81"/>
      <c r="AE621" s="81"/>
    </row>
    <row r="622">
      <c r="A622" s="16"/>
      <c r="B622" s="127"/>
      <c r="C622" s="127"/>
      <c r="D622" s="108"/>
      <c r="E622" s="109"/>
      <c r="F622" s="58"/>
      <c r="G622" s="135"/>
      <c r="H622" s="129"/>
      <c r="I622" s="129"/>
      <c r="J622" s="130" t="b">
        <v>0</v>
      </c>
      <c r="K622" s="58"/>
      <c r="L622" s="131" t="str">
        <f t="shared" si="8"/>
        <v/>
      </c>
      <c r="M622" s="108"/>
      <c r="N622" s="109"/>
      <c r="O622" s="109"/>
      <c r="P622" s="109"/>
      <c r="Q622" s="58"/>
      <c r="R622" s="136" t="b">
        <v>0</v>
      </c>
      <c r="S622" s="58"/>
      <c r="T622" s="80"/>
      <c r="U622" s="80"/>
      <c r="V622" s="80"/>
      <c r="W622" s="80"/>
      <c r="X622" s="80"/>
      <c r="Y622" s="80"/>
      <c r="Z622" s="80"/>
      <c r="AA622" s="81"/>
      <c r="AB622" s="81"/>
      <c r="AC622" s="81"/>
      <c r="AD622" s="81"/>
      <c r="AE622" s="81"/>
    </row>
    <row r="623">
      <c r="A623" s="16"/>
      <c r="B623" s="127"/>
      <c r="C623" s="127"/>
      <c r="D623" s="108"/>
      <c r="E623" s="109"/>
      <c r="F623" s="58"/>
      <c r="G623" s="135"/>
      <c r="H623" s="129"/>
      <c r="I623" s="129"/>
      <c r="J623" s="130" t="b">
        <v>0</v>
      </c>
      <c r="K623" s="58"/>
      <c r="L623" s="131" t="str">
        <f t="shared" si="8"/>
        <v/>
      </c>
      <c r="M623" s="108"/>
      <c r="N623" s="109"/>
      <c r="O623" s="109"/>
      <c r="P623" s="109"/>
      <c r="Q623" s="58"/>
      <c r="R623" s="136" t="b">
        <v>0</v>
      </c>
      <c r="S623" s="58"/>
      <c r="T623" s="80"/>
      <c r="U623" s="80"/>
      <c r="V623" s="80"/>
      <c r="W623" s="80"/>
      <c r="X623" s="80"/>
      <c r="Y623" s="80"/>
      <c r="Z623" s="80"/>
      <c r="AA623" s="81"/>
      <c r="AB623" s="81"/>
      <c r="AC623" s="81"/>
      <c r="AD623" s="81"/>
      <c r="AE623" s="81"/>
    </row>
    <row r="624">
      <c r="A624" s="16"/>
      <c r="B624" s="127"/>
      <c r="C624" s="127"/>
      <c r="D624" s="108"/>
      <c r="E624" s="109"/>
      <c r="F624" s="58"/>
      <c r="G624" s="135"/>
      <c r="H624" s="129"/>
      <c r="I624" s="129"/>
      <c r="J624" s="130" t="b">
        <v>0</v>
      </c>
      <c r="K624" s="58"/>
      <c r="L624" s="131" t="str">
        <f t="shared" si="8"/>
        <v/>
      </c>
      <c r="M624" s="108"/>
      <c r="N624" s="109"/>
      <c r="O624" s="109"/>
      <c r="P624" s="109"/>
      <c r="Q624" s="58"/>
      <c r="R624" s="136" t="b">
        <v>0</v>
      </c>
      <c r="S624" s="58"/>
      <c r="T624" s="80"/>
      <c r="U624" s="80"/>
      <c r="V624" s="80"/>
      <c r="W624" s="80"/>
      <c r="X624" s="80"/>
      <c r="Y624" s="80"/>
      <c r="Z624" s="80"/>
      <c r="AA624" s="81"/>
      <c r="AB624" s="81"/>
      <c r="AC624" s="81"/>
      <c r="AD624" s="81"/>
      <c r="AE624" s="81"/>
    </row>
    <row r="625">
      <c r="A625" s="16"/>
      <c r="B625" s="127"/>
      <c r="C625" s="127"/>
      <c r="D625" s="108"/>
      <c r="E625" s="109"/>
      <c r="F625" s="58"/>
      <c r="G625" s="135"/>
      <c r="H625" s="129"/>
      <c r="I625" s="129"/>
      <c r="J625" s="130" t="b">
        <v>0</v>
      </c>
      <c r="K625" s="58"/>
      <c r="L625" s="131" t="str">
        <f t="shared" si="8"/>
        <v/>
      </c>
      <c r="M625" s="108"/>
      <c r="N625" s="109"/>
      <c r="O625" s="109"/>
      <c r="P625" s="109"/>
      <c r="Q625" s="58"/>
      <c r="R625" s="136" t="b">
        <v>0</v>
      </c>
      <c r="S625" s="58"/>
      <c r="T625" s="80"/>
      <c r="U625" s="80"/>
      <c r="V625" s="80"/>
      <c r="W625" s="80"/>
      <c r="X625" s="80"/>
      <c r="Y625" s="80"/>
      <c r="Z625" s="80"/>
      <c r="AA625" s="81"/>
      <c r="AB625" s="81"/>
      <c r="AC625" s="81"/>
      <c r="AD625" s="81"/>
      <c r="AE625" s="81"/>
    </row>
    <row r="626">
      <c r="A626" s="16"/>
      <c r="B626" s="127"/>
      <c r="C626" s="127"/>
      <c r="D626" s="108"/>
      <c r="E626" s="109"/>
      <c r="F626" s="58"/>
      <c r="G626" s="135"/>
      <c r="H626" s="129"/>
      <c r="I626" s="129"/>
      <c r="J626" s="130" t="b">
        <v>0</v>
      </c>
      <c r="K626" s="58"/>
      <c r="L626" s="131" t="str">
        <f t="shared" si="8"/>
        <v/>
      </c>
      <c r="M626" s="108"/>
      <c r="N626" s="109"/>
      <c r="O626" s="109"/>
      <c r="P626" s="109"/>
      <c r="Q626" s="58"/>
      <c r="R626" s="136" t="b">
        <v>0</v>
      </c>
      <c r="S626" s="58"/>
      <c r="T626" s="80"/>
      <c r="U626" s="80"/>
      <c r="V626" s="80"/>
      <c r="W626" s="80"/>
      <c r="X626" s="80"/>
      <c r="Y626" s="80"/>
      <c r="Z626" s="80"/>
      <c r="AA626" s="81"/>
      <c r="AB626" s="81"/>
      <c r="AC626" s="81"/>
      <c r="AD626" s="81"/>
      <c r="AE626" s="81"/>
    </row>
    <row r="627">
      <c r="A627" s="16"/>
      <c r="B627" s="127"/>
      <c r="C627" s="127"/>
      <c r="D627" s="108"/>
      <c r="E627" s="109"/>
      <c r="F627" s="58"/>
      <c r="G627" s="135"/>
      <c r="H627" s="129"/>
      <c r="I627" s="129"/>
      <c r="J627" s="130" t="b">
        <v>0</v>
      </c>
      <c r="K627" s="58"/>
      <c r="L627" s="131" t="str">
        <f t="shared" si="8"/>
        <v/>
      </c>
      <c r="M627" s="108"/>
      <c r="N627" s="109"/>
      <c r="O627" s="109"/>
      <c r="P627" s="109"/>
      <c r="Q627" s="58"/>
      <c r="R627" s="136" t="b">
        <v>0</v>
      </c>
      <c r="S627" s="58"/>
      <c r="T627" s="80"/>
      <c r="U627" s="80"/>
      <c r="V627" s="80"/>
      <c r="W627" s="80"/>
      <c r="X627" s="80"/>
      <c r="Y627" s="80"/>
      <c r="Z627" s="80"/>
      <c r="AA627" s="81"/>
      <c r="AB627" s="81"/>
      <c r="AC627" s="81"/>
      <c r="AD627" s="81"/>
      <c r="AE627" s="81"/>
    </row>
    <row r="628">
      <c r="A628" s="16"/>
      <c r="B628" s="127"/>
      <c r="C628" s="127"/>
      <c r="D628" s="108"/>
      <c r="E628" s="109"/>
      <c r="F628" s="58"/>
      <c r="G628" s="135"/>
      <c r="H628" s="129"/>
      <c r="I628" s="129"/>
      <c r="J628" s="130" t="b">
        <v>0</v>
      </c>
      <c r="K628" s="58"/>
      <c r="L628" s="131" t="str">
        <f t="shared" si="8"/>
        <v/>
      </c>
      <c r="M628" s="108"/>
      <c r="N628" s="109"/>
      <c r="O628" s="109"/>
      <c r="P628" s="109"/>
      <c r="Q628" s="58"/>
      <c r="R628" s="136" t="b">
        <v>0</v>
      </c>
      <c r="S628" s="58"/>
      <c r="T628" s="80"/>
      <c r="U628" s="80"/>
      <c r="V628" s="80"/>
      <c r="W628" s="80"/>
      <c r="X628" s="80"/>
      <c r="Y628" s="80"/>
      <c r="Z628" s="80"/>
      <c r="AA628" s="81"/>
      <c r="AB628" s="81"/>
      <c r="AC628" s="81"/>
      <c r="AD628" s="81"/>
      <c r="AE628" s="81"/>
    </row>
    <row r="629">
      <c r="A629" s="16"/>
      <c r="B629" s="127"/>
      <c r="C629" s="127"/>
      <c r="D629" s="108"/>
      <c r="E629" s="109"/>
      <c r="F629" s="58"/>
      <c r="G629" s="135"/>
      <c r="H629" s="129"/>
      <c r="I629" s="129"/>
      <c r="J629" s="130" t="b">
        <v>0</v>
      </c>
      <c r="K629" s="58"/>
      <c r="L629" s="131" t="str">
        <f t="shared" si="8"/>
        <v/>
      </c>
      <c r="M629" s="108"/>
      <c r="N629" s="109"/>
      <c r="O629" s="109"/>
      <c r="P629" s="109"/>
      <c r="Q629" s="58"/>
      <c r="R629" s="136" t="b">
        <v>0</v>
      </c>
      <c r="S629" s="58"/>
      <c r="T629" s="80"/>
      <c r="U629" s="80"/>
      <c r="V629" s="80"/>
      <c r="W629" s="80"/>
      <c r="X629" s="80"/>
      <c r="Y629" s="80"/>
      <c r="Z629" s="80"/>
      <c r="AA629" s="81"/>
      <c r="AB629" s="81"/>
      <c r="AC629" s="81"/>
      <c r="AD629" s="81"/>
      <c r="AE629" s="81"/>
    </row>
    <row r="630">
      <c r="A630" s="16"/>
      <c r="B630" s="127"/>
      <c r="C630" s="127"/>
      <c r="D630" s="108"/>
      <c r="E630" s="109"/>
      <c r="F630" s="58"/>
      <c r="G630" s="135"/>
      <c r="H630" s="129"/>
      <c r="I630" s="129"/>
      <c r="J630" s="130" t="b">
        <v>0</v>
      </c>
      <c r="K630" s="58"/>
      <c r="L630" s="131" t="str">
        <f t="shared" si="8"/>
        <v/>
      </c>
      <c r="M630" s="108"/>
      <c r="N630" s="109"/>
      <c r="O630" s="109"/>
      <c r="P630" s="109"/>
      <c r="Q630" s="58"/>
      <c r="R630" s="136" t="b">
        <v>0</v>
      </c>
      <c r="S630" s="58"/>
      <c r="T630" s="80"/>
      <c r="U630" s="80"/>
      <c r="V630" s="80"/>
      <c r="W630" s="80"/>
      <c r="X630" s="80"/>
      <c r="Y630" s="80"/>
      <c r="Z630" s="80"/>
      <c r="AA630" s="81"/>
      <c r="AB630" s="81"/>
      <c r="AC630" s="81"/>
      <c r="AD630" s="81"/>
      <c r="AE630" s="81"/>
    </row>
    <row r="631">
      <c r="A631" s="16"/>
      <c r="B631" s="127"/>
      <c r="C631" s="127"/>
      <c r="D631" s="108"/>
      <c r="E631" s="109"/>
      <c r="F631" s="58"/>
      <c r="G631" s="135"/>
      <c r="H631" s="129"/>
      <c r="I631" s="129"/>
      <c r="J631" s="130" t="b">
        <v>0</v>
      </c>
      <c r="K631" s="58"/>
      <c r="L631" s="131" t="str">
        <f t="shared" si="8"/>
        <v/>
      </c>
      <c r="M631" s="108"/>
      <c r="N631" s="109"/>
      <c r="O631" s="109"/>
      <c r="P631" s="109"/>
      <c r="Q631" s="58"/>
      <c r="R631" s="136" t="b">
        <v>0</v>
      </c>
      <c r="S631" s="58"/>
      <c r="T631" s="80"/>
      <c r="U631" s="80"/>
      <c r="V631" s="80"/>
      <c r="W631" s="80"/>
      <c r="X631" s="80"/>
      <c r="Y631" s="80"/>
      <c r="Z631" s="80"/>
      <c r="AA631" s="81"/>
      <c r="AB631" s="81"/>
      <c r="AC631" s="81"/>
      <c r="AD631" s="81"/>
      <c r="AE631" s="81"/>
    </row>
    <row r="632">
      <c r="A632" s="16"/>
      <c r="B632" s="127"/>
      <c r="C632" s="127"/>
      <c r="D632" s="108"/>
      <c r="E632" s="109"/>
      <c r="F632" s="58"/>
      <c r="G632" s="135"/>
      <c r="H632" s="129"/>
      <c r="I632" s="129"/>
      <c r="J632" s="130" t="b">
        <v>0</v>
      </c>
      <c r="K632" s="58"/>
      <c r="L632" s="131" t="str">
        <f t="shared" si="8"/>
        <v/>
      </c>
      <c r="M632" s="108"/>
      <c r="N632" s="109"/>
      <c r="O632" s="109"/>
      <c r="P632" s="109"/>
      <c r="Q632" s="58"/>
      <c r="R632" s="136" t="b">
        <v>0</v>
      </c>
      <c r="S632" s="58"/>
      <c r="T632" s="80"/>
      <c r="U632" s="80"/>
      <c r="V632" s="80"/>
      <c r="W632" s="80"/>
      <c r="X632" s="80"/>
      <c r="Y632" s="80"/>
      <c r="Z632" s="80"/>
      <c r="AA632" s="81"/>
      <c r="AB632" s="81"/>
      <c r="AC632" s="81"/>
      <c r="AD632" s="81"/>
      <c r="AE632" s="81"/>
    </row>
    <row r="633">
      <c r="A633" s="16"/>
      <c r="B633" s="127"/>
      <c r="C633" s="127"/>
      <c r="D633" s="108"/>
      <c r="E633" s="109"/>
      <c r="F633" s="58"/>
      <c r="G633" s="135"/>
      <c r="H633" s="129"/>
      <c r="I633" s="129"/>
      <c r="J633" s="130" t="b">
        <v>0</v>
      </c>
      <c r="K633" s="58"/>
      <c r="L633" s="131" t="str">
        <f t="shared" si="8"/>
        <v/>
      </c>
      <c r="M633" s="108"/>
      <c r="N633" s="109"/>
      <c r="O633" s="109"/>
      <c r="P633" s="109"/>
      <c r="Q633" s="58"/>
      <c r="R633" s="136" t="b">
        <v>0</v>
      </c>
      <c r="S633" s="58"/>
      <c r="T633" s="80"/>
      <c r="U633" s="80"/>
      <c r="V633" s="80"/>
      <c r="W633" s="80"/>
      <c r="X633" s="80"/>
      <c r="Y633" s="80"/>
      <c r="Z633" s="80"/>
      <c r="AA633" s="81"/>
      <c r="AB633" s="81"/>
      <c r="AC633" s="81"/>
      <c r="AD633" s="81"/>
      <c r="AE633" s="81"/>
    </row>
    <row r="634">
      <c r="A634" s="16"/>
      <c r="B634" s="127"/>
      <c r="C634" s="127"/>
      <c r="D634" s="108"/>
      <c r="E634" s="109"/>
      <c r="F634" s="58"/>
      <c r="G634" s="135"/>
      <c r="H634" s="129"/>
      <c r="I634" s="129"/>
      <c r="J634" s="130" t="b">
        <v>0</v>
      </c>
      <c r="K634" s="58"/>
      <c r="L634" s="131" t="str">
        <f t="shared" si="8"/>
        <v/>
      </c>
      <c r="M634" s="108"/>
      <c r="N634" s="109"/>
      <c r="O634" s="109"/>
      <c r="P634" s="109"/>
      <c r="Q634" s="58"/>
      <c r="R634" s="136" t="b">
        <v>0</v>
      </c>
      <c r="S634" s="58"/>
      <c r="T634" s="80"/>
      <c r="U634" s="80"/>
      <c r="V634" s="80"/>
      <c r="W634" s="80"/>
      <c r="X634" s="80"/>
      <c r="Y634" s="80"/>
      <c r="Z634" s="80"/>
      <c r="AA634" s="81"/>
      <c r="AB634" s="81"/>
      <c r="AC634" s="81"/>
      <c r="AD634" s="81"/>
      <c r="AE634" s="81"/>
    </row>
    <row r="635">
      <c r="A635" s="16"/>
      <c r="B635" s="127"/>
      <c r="C635" s="127"/>
      <c r="D635" s="108"/>
      <c r="E635" s="109"/>
      <c r="F635" s="58"/>
      <c r="G635" s="135"/>
      <c r="H635" s="129"/>
      <c r="I635" s="129"/>
      <c r="J635" s="130" t="b">
        <v>0</v>
      </c>
      <c r="K635" s="58"/>
      <c r="L635" s="131" t="str">
        <f t="shared" si="8"/>
        <v/>
      </c>
      <c r="M635" s="108"/>
      <c r="N635" s="109"/>
      <c r="O635" s="109"/>
      <c r="P635" s="109"/>
      <c r="Q635" s="58"/>
      <c r="R635" s="136" t="b">
        <v>0</v>
      </c>
      <c r="S635" s="58"/>
      <c r="T635" s="80"/>
      <c r="U635" s="80"/>
      <c r="V635" s="80"/>
      <c r="W635" s="80"/>
      <c r="X635" s="80"/>
      <c r="Y635" s="80"/>
      <c r="Z635" s="80"/>
      <c r="AA635" s="81"/>
      <c r="AB635" s="81"/>
      <c r="AC635" s="81"/>
      <c r="AD635" s="81"/>
      <c r="AE635" s="81"/>
    </row>
    <row r="636">
      <c r="A636" s="16"/>
      <c r="B636" s="127"/>
      <c r="C636" s="127"/>
      <c r="D636" s="108"/>
      <c r="E636" s="109"/>
      <c r="F636" s="58"/>
      <c r="G636" s="135"/>
      <c r="H636" s="129"/>
      <c r="I636" s="129"/>
      <c r="J636" s="130" t="b">
        <v>0</v>
      </c>
      <c r="K636" s="58"/>
      <c r="L636" s="131" t="str">
        <f t="shared" si="8"/>
        <v/>
      </c>
      <c r="M636" s="108"/>
      <c r="N636" s="109"/>
      <c r="O636" s="109"/>
      <c r="P636" s="109"/>
      <c r="Q636" s="58"/>
      <c r="R636" s="136" t="b">
        <v>0</v>
      </c>
      <c r="S636" s="58"/>
      <c r="T636" s="80"/>
      <c r="U636" s="80"/>
      <c r="V636" s="80"/>
      <c r="W636" s="80"/>
      <c r="X636" s="80"/>
      <c r="Y636" s="80"/>
      <c r="Z636" s="80"/>
      <c r="AA636" s="81"/>
      <c r="AB636" s="81"/>
      <c r="AC636" s="81"/>
      <c r="AD636" s="81"/>
      <c r="AE636" s="81"/>
    </row>
    <row r="637">
      <c r="A637" s="16"/>
      <c r="B637" s="127"/>
      <c r="C637" s="127"/>
      <c r="D637" s="108"/>
      <c r="E637" s="109"/>
      <c r="F637" s="58"/>
      <c r="G637" s="135"/>
      <c r="H637" s="129"/>
      <c r="I637" s="129"/>
      <c r="J637" s="130" t="b">
        <v>0</v>
      </c>
      <c r="K637" s="58"/>
      <c r="L637" s="131" t="str">
        <f t="shared" si="8"/>
        <v/>
      </c>
      <c r="M637" s="108"/>
      <c r="N637" s="109"/>
      <c r="O637" s="109"/>
      <c r="P637" s="109"/>
      <c r="Q637" s="58"/>
      <c r="R637" s="136" t="b">
        <v>0</v>
      </c>
      <c r="S637" s="58"/>
      <c r="T637" s="80"/>
      <c r="U637" s="80"/>
      <c r="V637" s="80"/>
      <c r="W637" s="80"/>
      <c r="X637" s="80"/>
      <c r="Y637" s="80"/>
      <c r="Z637" s="80"/>
      <c r="AA637" s="81"/>
      <c r="AB637" s="81"/>
      <c r="AC637" s="81"/>
      <c r="AD637" s="81"/>
      <c r="AE637" s="81"/>
    </row>
    <row r="638">
      <c r="A638" s="16"/>
      <c r="B638" s="127"/>
      <c r="C638" s="127"/>
      <c r="D638" s="108"/>
      <c r="E638" s="109"/>
      <c r="F638" s="58"/>
      <c r="G638" s="135"/>
      <c r="H638" s="129"/>
      <c r="I638" s="129"/>
      <c r="J638" s="130" t="b">
        <v>0</v>
      </c>
      <c r="K638" s="58"/>
      <c r="L638" s="131" t="str">
        <f t="shared" si="8"/>
        <v/>
      </c>
      <c r="M638" s="108"/>
      <c r="N638" s="109"/>
      <c r="O638" s="109"/>
      <c r="P638" s="109"/>
      <c r="Q638" s="58"/>
      <c r="R638" s="136" t="b">
        <v>0</v>
      </c>
      <c r="S638" s="58"/>
      <c r="T638" s="80"/>
      <c r="U638" s="80"/>
      <c r="V638" s="80"/>
      <c r="W638" s="80"/>
      <c r="X638" s="80"/>
      <c r="Y638" s="80"/>
      <c r="Z638" s="80"/>
      <c r="AA638" s="81"/>
      <c r="AB638" s="81"/>
      <c r="AC638" s="81"/>
      <c r="AD638" s="81"/>
      <c r="AE638" s="81"/>
    </row>
    <row r="639">
      <c r="A639" s="16"/>
      <c r="B639" s="127"/>
      <c r="C639" s="127"/>
      <c r="D639" s="108"/>
      <c r="E639" s="109"/>
      <c r="F639" s="58"/>
      <c r="G639" s="135"/>
      <c r="H639" s="129"/>
      <c r="I639" s="129"/>
      <c r="J639" s="130" t="b">
        <v>0</v>
      </c>
      <c r="K639" s="58"/>
      <c r="L639" s="131" t="str">
        <f t="shared" si="8"/>
        <v/>
      </c>
      <c r="M639" s="108"/>
      <c r="N639" s="109"/>
      <c r="O639" s="109"/>
      <c r="P639" s="109"/>
      <c r="Q639" s="58"/>
      <c r="R639" s="136" t="b">
        <v>0</v>
      </c>
      <c r="S639" s="58"/>
      <c r="T639" s="80"/>
      <c r="U639" s="80"/>
      <c r="V639" s="80"/>
      <c r="W639" s="80"/>
      <c r="X639" s="80"/>
      <c r="Y639" s="80"/>
      <c r="Z639" s="80"/>
      <c r="AA639" s="81"/>
      <c r="AB639" s="81"/>
      <c r="AC639" s="81"/>
      <c r="AD639" s="81"/>
      <c r="AE639" s="81"/>
    </row>
    <row r="640">
      <c r="A640" s="16"/>
      <c r="B640" s="127"/>
      <c r="C640" s="127"/>
      <c r="D640" s="108"/>
      <c r="E640" s="109"/>
      <c r="F640" s="58"/>
      <c r="G640" s="135"/>
      <c r="H640" s="129"/>
      <c r="I640" s="129"/>
      <c r="J640" s="130" t="b">
        <v>0</v>
      </c>
      <c r="K640" s="58"/>
      <c r="L640" s="131" t="str">
        <f t="shared" si="8"/>
        <v/>
      </c>
      <c r="M640" s="108"/>
      <c r="N640" s="109"/>
      <c r="O640" s="109"/>
      <c r="P640" s="109"/>
      <c r="Q640" s="58"/>
      <c r="R640" s="136" t="b">
        <v>0</v>
      </c>
      <c r="S640" s="58"/>
      <c r="T640" s="80"/>
      <c r="U640" s="80"/>
      <c r="V640" s="80"/>
      <c r="W640" s="80"/>
      <c r="X640" s="80"/>
      <c r="Y640" s="80"/>
      <c r="Z640" s="80"/>
      <c r="AA640" s="81"/>
      <c r="AB640" s="81"/>
      <c r="AC640" s="81"/>
      <c r="AD640" s="81"/>
      <c r="AE640" s="81"/>
    </row>
    <row r="641">
      <c r="A641" s="16"/>
      <c r="B641" s="127"/>
      <c r="C641" s="127"/>
      <c r="D641" s="108"/>
      <c r="E641" s="109"/>
      <c r="F641" s="58"/>
      <c r="G641" s="135"/>
      <c r="H641" s="129"/>
      <c r="I641" s="129"/>
      <c r="J641" s="130" t="b">
        <v>0</v>
      </c>
      <c r="K641" s="58"/>
      <c r="L641" s="131" t="str">
        <f t="shared" si="8"/>
        <v/>
      </c>
      <c r="M641" s="108"/>
      <c r="N641" s="109"/>
      <c r="O641" s="109"/>
      <c r="P641" s="109"/>
      <c r="Q641" s="58"/>
      <c r="R641" s="136" t="b">
        <v>0</v>
      </c>
      <c r="S641" s="58"/>
      <c r="T641" s="80"/>
      <c r="U641" s="80"/>
      <c r="V641" s="80"/>
      <c r="W641" s="80"/>
      <c r="X641" s="80"/>
      <c r="Y641" s="80"/>
      <c r="Z641" s="80"/>
      <c r="AA641" s="81"/>
      <c r="AB641" s="81"/>
      <c r="AC641" s="81"/>
      <c r="AD641" s="81"/>
      <c r="AE641" s="81"/>
    </row>
    <row r="642">
      <c r="A642" s="16"/>
      <c r="B642" s="127"/>
      <c r="C642" s="127"/>
      <c r="D642" s="108"/>
      <c r="E642" s="109"/>
      <c r="F642" s="58"/>
      <c r="G642" s="135"/>
      <c r="H642" s="129"/>
      <c r="I642" s="129"/>
      <c r="J642" s="130" t="b">
        <v>0</v>
      </c>
      <c r="K642" s="58"/>
      <c r="L642" s="131" t="str">
        <f t="shared" si="8"/>
        <v/>
      </c>
      <c r="M642" s="108"/>
      <c r="N642" s="109"/>
      <c r="O642" s="109"/>
      <c r="P642" s="109"/>
      <c r="Q642" s="58"/>
      <c r="R642" s="136" t="b">
        <v>0</v>
      </c>
      <c r="S642" s="58"/>
      <c r="T642" s="80"/>
      <c r="U642" s="80"/>
      <c r="V642" s="80"/>
      <c r="W642" s="80"/>
      <c r="X642" s="80"/>
      <c r="Y642" s="80"/>
      <c r="Z642" s="80"/>
      <c r="AA642" s="81"/>
      <c r="AB642" s="81"/>
      <c r="AC642" s="81"/>
      <c r="AD642" s="81"/>
      <c r="AE642" s="81"/>
    </row>
    <row r="643">
      <c r="A643" s="16"/>
      <c r="B643" s="127"/>
      <c r="C643" s="127"/>
      <c r="D643" s="108"/>
      <c r="E643" s="109"/>
      <c r="F643" s="58"/>
      <c r="G643" s="135"/>
      <c r="H643" s="129"/>
      <c r="I643" s="129"/>
      <c r="J643" s="130" t="b">
        <v>0</v>
      </c>
      <c r="K643" s="58"/>
      <c r="L643" s="131" t="str">
        <f t="shared" si="8"/>
        <v/>
      </c>
      <c r="M643" s="108"/>
      <c r="N643" s="109"/>
      <c r="O643" s="109"/>
      <c r="P643" s="109"/>
      <c r="Q643" s="58"/>
      <c r="R643" s="136" t="b">
        <v>0</v>
      </c>
      <c r="S643" s="58"/>
      <c r="T643" s="80"/>
      <c r="U643" s="80"/>
      <c r="V643" s="80"/>
      <c r="W643" s="80"/>
      <c r="X643" s="80"/>
      <c r="Y643" s="80"/>
      <c r="Z643" s="80"/>
      <c r="AA643" s="81"/>
      <c r="AB643" s="81"/>
      <c r="AC643" s="81"/>
      <c r="AD643" s="81"/>
      <c r="AE643" s="81"/>
    </row>
    <row r="644">
      <c r="A644" s="16"/>
      <c r="B644" s="127"/>
      <c r="C644" s="127"/>
      <c r="D644" s="108"/>
      <c r="E644" s="109"/>
      <c r="F644" s="58"/>
      <c r="G644" s="135"/>
      <c r="H644" s="129"/>
      <c r="I644" s="129"/>
      <c r="J644" s="130" t="b">
        <v>0</v>
      </c>
      <c r="K644" s="58"/>
      <c r="L644" s="131" t="str">
        <f t="shared" si="8"/>
        <v/>
      </c>
      <c r="M644" s="108"/>
      <c r="N644" s="109"/>
      <c r="O644" s="109"/>
      <c r="P644" s="109"/>
      <c r="Q644" s="58"/>
      <c r="R644" s="136" t="b">
        <v>0</v>
      </c>
      <c r="S644" s="58"/>
      <c r="T644" s="80"/>
      <c r="U644" s="80"/>
      <c r="V644" s="80"/>
      <c r="W644" s="80"/>
      <c r="X644" s="80"/>
      <c r="Y644" s="80"/>
      <c r="Z644" s="80"/>
      <c r="AA644" s="81"/>
      <c r="AB644" s="81"/>
      <c r="AC644" s="81"/>
      <c r="AD644" s="81"/>
      <c r="AE644" s="81"/>
    </row>
    <row r="645">
      <c r="A645" s="16"/>
      <c r="B645" s="127"/>
      <c r="C645" s="127"/>
      <c r="D645" s="108"/>
      <c r="E645" s="109"/>
      <c r="F645" s="58"/>
      <c r="G645" s="135"/>
      <c r="H645" s="129"/>
      <c r="I645" s="129"/>
      <c r="J645" s="130" t="b">
        <v>0</v>
      </c>
      <c r="K645" s="58"/>
      <c r="L645" s="131" t="str">
        <f t="shared" si="8"/>
        <v/>
      </c>
      <c r="M645" s="108"/>
      <c r="N645" s="109"/>
      <c r="O645" s="109"/>
      <c r="P645" s="109"/>
      <c r="Q645" s="58"/>
      <c r="R645" s="136" t="b">
        <v>0</v>
      </c>
      <c r="S645" s="58"/>
      <c r="T645" s="80"/>
      <c r="U645" s="80"/>
      <c r="V645" s="80"/>
      <c r="W645" s="80"/>
      <c r="X645" s="80"/>
      <c r="Y645" s="80"/>
      <c r="Z645" s="80"/>
      <c r="AA645" s="81"/>
      <c r="AB645" s="81"/>
      <c r="AC645" s="81"/>
      <c r="AD645" s="81"/>
      <c r="AE645" s="81"/>
    </row>
    <row r="646">
      <c r="A646" s="16"/>
      <c r="B646" s="127"/>
      <c r="C646" s="127"/>
      <c r="D646" s="108"/>
      <c r="E646" s="109"/>
      <c r="F646" s="58"/>
      <c r="G646" s="135"/>
      <c r="H646" s="129"/>
      <c r="I646" s="129"/>
      <c r="J646" s="130" t="b">
        <v>0</v>
      </c>
      <c r="K646" s="58"/>
      <c r="L646" s="131" t="str">
        <f t="shared" si="8"/>
        <v/>
      </c>
      <c r="M646" s="108"/>
      <c r="N646" s="109"/>
      <c r="O646" s="109"/>
      <c r="P646" s="109"/>
      <c r="Q646" s="58"/>
      <c r="R646" s="136" t="b">
        <v>0</v>
      </c>
      <c r="S646" s="58"/>
      <c r="T646" s="80"/>
      <c r="U646" s="80"/>
      <c r="V646" s="80"/>
      <c r="W646" s="80"/>
      <c r="X646" s="80"/>
      <c r="Y646" s="80"/>
      <c r="Z646" s="80"/>
      <c r="AA646" s="81"/>
      <c r="AB646" s="81"/>
      <c r="AC646" s="81"/>
      <c r="AD646" s="81"/>
      <c r="AE646" s="81"/>
    </row>
    <row r="647">
      <c r="A647" s="16"/>
      <c r="B647" s="127"/>
      <c r="C647" s="127"/>
      <c r="D647" s="108"/>
      <c r="E647" s="109"/>
      <c r="F647" s="58"/>
      <c r="G647" s="135"/>
      <c r="H647" s="129"/>
      <c r="I647" s="129"/>
      <c r="J647" s="130" t="b">
        <v>0</v>
      </c>
      <c r="K647" s="58"/>
      <c r="L647" s="131" t="str">
        <f t="shared" si="8"/>
        <v/>
      </c>
      <c r="M647" s="108"/>
      <c r="N647" s="109"/>
      <c r="O647" s="109"/>
      <c r="P647" s="109"/>
      <c r="Q647" s="58"/>
      <c r="R647" s="136" t="b">
        <v>0</v>
      </c>
      <c r="S647" s="58"/>
      <c r="T647" s="80"/>
      <c r="U647" s="80"/>
      <c r="V647" s="80"/>
      <c r="W647" s="80"/>
      <c r="X647" s="80"/>
      <c r="Y647" s="80"/>
      <c r="Z647" s="80"/>
      <c r="AA647" s="81"/>
      <c r="AB647" s="81"/>
      <c r="AC647" s="81"/>
      <c r="AD647" s="81"/>
      <c r="AE647" s="81"/>
    </row>
    <row r="648">
      <c r="A648" s="16"/>
      <c r="B648" s="127"/>
      <c r="C648" s="127"/>
      <c r="D648" s="108"/>
      <c r="E648" s="109"/>
      <c r="F648" s="58"/>
      <c r="G648" s="135"/>
      <c r="H648" s="129"/>
      <c r="I648" s="129"/>
      <c r="J648" s="130" t="b">
        <v>0</v>
      </c>
      <c r="K648" s="58"/>
      <c r="L648" s="131" t="str">
        <f t="shared" si="8"/>
        <v/>
      </c>
      <c r="M648" s="108"/>
      <c r="N648" s="109"/>
      <c r="O648" s="109"/>
      <c r="P648" s="109"/>
      <c r="Q648" s="58"/>
      <c r="R648" s="136" t="b">
        <v>0</v>
      </c>
      <c r="S648" s="58"/>
      <c r="T648" s="80"/>
      <c r="U648" s="80"/>
      <c r="V648" s="80"/>
      <c r="W648" s="80"/>
      <c r="X648" s="80"/>
      <c r="Y648" s="80"/>
      <c r="Z648" s="80"/>
      <c r="AA648" s="81"/>
      <c r="AB648" s="81"/>
      <c r="AC648" s="81"/>
      <c r="AD648" s="81"/>
      <c r="AE648" s="81"/>
    </row>
    <row r="649">
      <c r="A649" s="16"/>
      <c r="B649" s="127"/>
      <c r="C649" s="127"/>
      <c r="D649" s="108"/>
      <c r="E649" s="109"/>
      <c r="F649" s="58"/>
      <c r="G649" s="135"/>
      <c r="H649" s="129"/>
      <c r="I649" s="129"/>
      <c r="J649" s="130" t="b">
        <v>0</v>
      </c>
      <c r="K649" s="58"/>
      <c r="L649" s="131" t="str">
        <f t="shared" si="8"/>
        <v/>
      </c>
      <c r="M649" s="108"/>
      <c r="N649" s="109"/>
      <c r="O649" s="109"/>
      <c r="P649" s="109"/>
      <c r="Q649" s="58"/>
      <c r="R649" s="136" t="b">
        <v>0</v>
      </c>
      <c r="S649" s="58"/>
      <c r="T649" s="80"/>
      <c r="U649" s="80"/>
      <c r="V649" s="80"/>
      <c r="W649" s="80"/>
      <c r="X649" s="80"/>
      <c r="Y649" s="80"/>
      <c r="Z649" s="80"/>
      <c r="AA649" s="81"/>
      <c r="AB649" s="81"/>
      <c r="AC649" s="81"/>
      <c r="AD649" s="81"/>
      <c r="AE649" s="81"/>
    </row>
    <row r="650">
      <c r="A650" s="16"/>
      <c r="B650" s="127"/>
      <c r="C650" s="127"/>
      <c r="D650" s="108"/>
      <c r="E650" s="109"/>
      <c r="F650" s="58"/>
      <c r="G650" s="135"/>
      <c r="H650" s="129"/>
      <c r="I650" s="129"/>
      <c r="J650" s="130" t="b">
        <v>0</v>
      </c>
      <c r="K650" s="58"/>
      <c r="L650" s="131" t="str">
        <f t="shared" si="8"/>
        <v/>
      </c>
      <c r="M650" s="108"/>
      <c r="N650" s="109"/>
      <c r="O650" s="109"/>
      <c r="P650" s="109"/>
      <c r="Q650" s="58"/>
      <c r="R650" s="136" t="b">
        <v>0</v>
      </c>
      <c r="S650" s="58"/>
      <c r="T650" s="80"/>
      <c r="U650" s="80"/>
      <c r="V650" s="80"/>
      <c r="W650" s="80"/>
      <c r="X650" s="80"/>
      <c r="Y650" s="80"/>
      <c r="Z650" s="80"/>
      <c r="AA650" s="81"/>
      <c r="AB650" s="81"/>
      <c r="AC650" s="81"/>
      <c r="AD650" s="81"/>
      <c r="AE650" s="81"/>
    </row>
    <row r="651">
      <c r="A651" s="16"/>
      <c r="B651" s="127"/>
      <c r="C651" s="127"/>
      <c r="D651" s="108"/>
      <c r="E651" s="109"/>
      <c r="F651" s="58"/>
      <c r="G651" s="135"/>
      <c r="H651" s="129"/>
      <c r="I651" s="129"/>
      <c r="J651" s="130" t="b">
        <v>0</v>
      </c>
      <c r="K651" s="58"/>
      <c r="L651" s="131" t="str">
        <f t="shared" si="8"/>
        <v/>
      </c>
      <c r="M651" s="108"/>
      <c r="N651" s="109"/>
      <c r="O651" s="109"/>
      <c r="P651" s="109"/>
      <c r="Q651" s="58"/>
      <c r="R651" s="136" t="b">
        <v>0</v>
      </c>
      <c r="S651" s="58"/>
      <c r="T651" s="80"/>
      <c r="U651" s="80"/>
      <c r="V651" s="80"/>
      <c r="W651" s="80"/>
      <c r="X651" s="80"/>
      <c r="Y651" s="80"/>
      <c r="Z651" s="80"/>
      <c r="AA651" s="81"/>
      <c r="AB651" s="81"/>
      <c r="AC651" s="81"/>
      <c r="AD651" s="81"/>
      <c r="AE651" s="81"/>
    </row>
    <row r="652">
      <c r="A652" s="16"/>
      <c r="B652" s="127"/>
      <c r="C652" s="127"/>
      <c r="D652" s="108"/>
      <c r="E652" s="109"/>
      <c r="F652" s="58"/>
      <c r="G652" s="135"/>
      <c r="H652" s="129"/>
      <c r="I652" s="129"/>
      <c r="J652" s="130" t="b">
        <v>0</v>
      </c>
      <c r="K652" s="58"/>
      <c r="L652" s="131" t="str">
        <f t="shared" si="8"/>
        <v/>
      </c>
      <c r="M652" s="108"/>
      <c r="N652" s="109"/>
      <c r="O652" s="109"/>
      <c r="P652" s="109"/>
      <c r="Q652" s="58"/>
      <c r="R652" s="136" t="b">
        <v>0</v>
      </c>
      <c r="S652" s="58"/>
      <c r="T652" s="80"/>
      <c r="U652" s="80"/>
      <c r="V652" s="80"/>
      <c r="W652" s="80"/>
      <c r="X652" s="80"/>
      <c r="Y652" s="80"/>
      <c r="Z652" s="80"/>
      <c r="AA652" s="81"/>
      <c r="AB652" s="81"/>
      <c r="AC652" s="81"/>
      <c r="AD652" s="81"/>
      <c r="AE652" s="81"/>
    </row>
    <row r="653">
      <c r="A653" s="16"/>
      <c r="B653" s="127"/>
      <c r="C653" s="127"/>
      <c r="D653" s="108"/>
      <c r="E653" s="109"/>
      <c r="F653" s="58"/>
      <c r="G653" s="135"/>
      <c r="H653" s="129"/>
      <c r="I653" s="129"/>
      <c r="J653" s="130" t="b">
        <v>0</v>
      </c>
      <c r="K653" s="58"/>
      <c r="L653" s="131" t="str">
        <f t="shared" si="8"/>
        <v/>
      </c>
      <c r="M653" s="108"/>
      <c r="N653" s="109"/>
      <c r="O653" s="109"/>
      <c r="P653" s="109"/>
      <c r="Q653" s="58"/>
      <c r="R653" s="136" t="b">
        <v>0</v>
      </c>
      <c r="S653" s="58"/>
      <c r="T653" s="80"/>
      <c r="U653" s="80"/>
      <c r="V653" s="80"/>
      <c r="W653" s="80"/>
      <c r="X653" s="80"/>
      <c r="Y653" s="80"/>
      <c r="Z653" s="80"/>
      <c r="AA653" s="81"/>
      <c r="AB653" s="81"/>
      <c r="AC653" s="81"/>
      <c r="AD653" s="81"/>
      <c r="AE653" s="81"/>
    </row>
    <row r="654">
      <c r="A654" s="16"/>
      <c r="B654" s="127"/>
      <c r="C654" s="127"/>
      <c r="D654" s="108"/>
      <c r="E654" s="109"/>
      <c r="F654" s="58"/>
      <c r="G654" s="135"/>
      <c r="H654" s="129"/>
      <c r="I654" s="129"/>
      <c r="J654" s="130" t="b">
        <v>0</v>
      </c>
      <c r="K654" s="58"/>
      <c r="L654" s="131" t="str">
        <f t="shared" si="8"/>
        <v/>
      </c>
      <c r="M654" s="108"/>
      <c r="N654" s="109"/>
      <c r="O654" s="109"/>
      <c r="P654" s="109"/>
      <c r="Q654" s="58"/>
      <c r="R654" s="136" t="b">
        <v>0</v>
      </c>
      <c r="S654" s="58"/>
      <c r="T654" s="80"/>
      <c r="U654" s="80"/>
      <c r="V654" s="80"/>
      <c r="W654" s="80"/>
      <c r="X654" s="80"/>
      <c r="Y654" s="80"/>
      <c r="Z654" s="80"/>
      <c r="AA654" s="81"/>
      <c r="AB654" s="81"/>
      <c r="AC654" s="81"/>
      <c r="AD654" s="81"/>
      <c r="AE654" s="81"/>
    </row>
    <row r="655">
      <c r="A655" s="16"/>
      <c r="B655" s="127"/>
      <c r="C655" s="127"/>
      <c r="D655" s="108"/>
      <c r="E655" s="109"/>
      <c r="F655" s="58"/>
      <c r="G655" s="135"/>
      <c r="H655" s="129"/>
      <c r="I655" s="129"/>
      <c r="J655" s="130" t="b">
        <v>0</v>
      </c>
      <c r="K655" s="58"/>
      <c r="L655" s="131" t="str">
        <f t="shared" si="8"/>
        <v/>
      </c>
      <c r="M655" s="108"/>
      <c r="N655" s="109"/>
      <c r="O655" s="109"/>
      <c r="P655" s="109"/>
      <c r="Q655" s="58"/>
      <c r="R655" s="136" t="b">
        <v>0</v>
      </c>
      <c r="S655" s="58"/>
      <c r="T655" s="80"/>
      <c r="U655" s="80"/>
      <c r="V655" s="80"/>
      <c r="W655" s="80"/>
      <c r="X655" s="80"/>
      <c r="Y655" s="80"/>
      <c r="Z655" s="80"/>
      <c r="AA655" s="81"/>
      <c r="AB655" s="81"/>
      <c r="AC655" s="81"/>
      <c r="AD655" s="81"/>
      <c r="AE655" s="81"/>
    </row>
    <row r="656">
      <c r="A656" s="16"/>
      <c r="B656" s="127"/>
      <c r="C656" s="127"/>
      <c r="D656" s="108"/>
      <c r="E656" s="109"/>
      <c r="F656" s="58"/>
      <c r="G656" s="135"/>
      <c r="H656" s="129"/>
      <c r="I656" s="129"/>
      <c r="J656" s="130" t="b">
        <v>0</v>
      </c>
      <c r="K656" s="58"/>
      <c r="L656" s="131" t="str">
        <f t="shared" si="8"/>
        <v/>
      </c>
      <c r="M656" s="108"/>
      <c r="N656" s="109"/>
      <c r="O656" s="109"/>
      <c r="P656" s="109"/>
      <c r="Q656" s="58"/>
      <c r="R656" s="136" t="b">
        <v>0</v>
      </c>
      <c r="S656" s="58"/>
      <c r="T656" s="80"/>
      <c r="U656" s="80"/>
      <c r="V656" s="80"/>
      <c r="W656" s="80"/>
      <c r="X656" s="80"/>
      <c r="Y656" s="80"/>
      <c r="Z656" s="80"/>
      <c r="AA656" s="81"/>
      <c r="AB656" s="81"/>
      <c r="AC656" s="81"/>
      <c r="AD656" s="81"/>
      <c r="AE656" s="81"/>
    </row>
    <row r="657">
      <c r="A657" s="16"/>
      <c r="B657" s="127"/>
      <c r="C657" s="127"/>
      <c r="D657" s="108"/>
      <c r="E657" s="109"/>
      <c r="F657" s="58"/>
      <c r="G657" s="135"/>
      <c r="H657" s="129"/>
      <c r="I657" s="129"/>
      <c r="J657" s="130" t="b">
        <v>0</v>
      </c>
      <c r="K657" s="58"/>
      <c r="L657" s="131" t="str">
        <f t="shared" si="8"/>
        <v/>
      </c>
      <c r="M657" s="108"/>
      <c r="N657" s="109"/>
      <c r="O657" s="109"/>
      <c r="P657" s="109"/>
      <c r="Q657" s="58"/>
      <c r="R657" s="136" t="b">
        <v>0</v>
      </c>
      <c r="S657" s="58"/>
      <c r="T657" s="80"/>
      <c r="U657" s="80"/>
      <c r="V657" s="80"/>
      <c r="W657" s="80"/>
      <c r="X657" s="80"/>
      <c r="Y657" s="80"/>
      <c r="Z657" s="80"/>
      <c r="AA657" s="81"/>
      <c r="AB657" s="81"/>
      <c r="AC657" s="81"/>
      <c r="AD657" s="81"/>
      <c r="AE657" s="81"/>
    </row>
    <row r="658">
      <c r="A658" s="16"/>
      <c r="B658" s="127"/>
      <c r="C658" s="127"/>
      <c r="D658" s="108"/>
      <c r="E658" s="109"/>
      <c r="F658" s="58"/>
      <c r="G658" s="135"/>
      <c r="H658" s="129"/>
      <c r="I658" s="129"/>
      <c r="J658" s="130" t="b">
        <v>0</v>
      </c>
      <c r="K658" s="58"/>
      <c r="L658" s="131" t="str">
        <f t="shared" si="8"/>
        <v/>
      </c>
      <c r="M658" s="108"/>
      <c r="N658" s="109"/>
      <c r="O658" s="109"/>
      <c r="P658" s="109"/>
      <c r="Q658" s="58"/>
      <c r="R658" s="136" t="b">
        <v>0</v>
      </c>
      <c r="S658" s="58"/>
      <c r="T658" s="80"/>
      <c r="U658" s="80"/>
      <c r="V658" s="80"/>
      <c r="W658" s="80"/>
      <c r="X658" s="80"/>
      <c r="Y658" s="80"/>
      <c r="Z658" s="80"/>
      <c r="AA658" s="81"/>
      <c r="AB658" s="81"/>
      <c r="AC658" s="81"/>
      <c r="AD658" s="81"/>
      <c r="AE658" s="81"/>
    </row>
    <row r="659">
      <c r="A659" s="16"/>
      <c r="B659" s="127"/>
      <c r="C659" s="127"/>
      <c r="D659" s="108"/>
      <c r="E659" s="109"/>
      <c r="F659" s="58"/>
      <c r="G659" s="135"/>
      <c r="H659" s="129"/>
      <c r="I659" s="129"/>
      <c r="J659" s="130" t="b">
        <v>0</v>
      </c>
      <c r="K659" s="58"/>
      <c r="L659" s="131" t="str">
        <f t="shared" si="8"/>
        <v/>
      </c>
      <c r="M659" s="108"/>
      <c r="N659" s="109"/>
      <c r="O659" s="109"/>
      <c r="P659" s="109"/>
      <c r="Q659" s="58"/>
      <c r="R659" s="136" t="b">
        <v>0</v>
      </c>
      <c r="S659" s="58"/>
      <c r="T659" s="80"/>
      <c r="U659" s="80"/>
      <c r="V659" s="80"/>
      <c r="W659" s="80"/>
      <c r="X659" s="80"/>
      <c r="Y659" s="80"/>
      <c r="Z659" s="80"/>
      <c r="AA659" s="81"/>
      <c r="AB659" s="81"/>
      <c r="AC659" s="81"/>
      <c r="AD659" s="81"/>
      <c r="AE659" s="81"/>
    </row>
    <row r="660">
      <c r="A660" s="16"/>
      <c r="B660" s="127"/>
      <c r="C660" s="127"/>
      <c r="D660" s="108"/>
      <c r="E660" s="109"/>
      <c r="F660" s="58"/>
      <c r="G660" s="135"/>
      <c r="H660" s="129"/>
      <c r="I660" s="129"/>
      <c r="J660" s="130" t="b">
        <v>0</v>
      </c>
      <c r="K660" s="58"/>
      <c r="L660" s="131" t="str">
        <f t="shared" si="8"/>
        <v/>
      </c>
      <c r="M660" s="108"/>
      <c r="N660" s="109"/>
      <c r="O660" s="109"/>
      <c r="P660" s="109"/>
      <c r="Q660" s="58"/>
      <c r="R660" s="136" t="b">
        <v>0</v>
      </c>
      <c r="S660" s="58"/>
      <c r="T660" s="80"/>
      <c r="U660" s="80"/>
      <c r="V660" s="80"/>
      <c r="W660" s="80"/>
      <c r="X660" s="80"/>
      <c r="Y660" s="80"/>
      <c r="Z660" s="80"/>
      <c r="AA660" s="81"/>
      <c r="AB660" s="81"/>
      <c r="AC660" s="81"/>
      <c r="AD660" s="81"/>
      <c r="AE660" s="81"/>
    </row>
    <row r="661">
      <c r="A661" s="16"/>
      <c r="B661" s="127"/>
      <c r="C661" s="127"/>
      <c r="D661" s="108"/>
      <c r="E661" s="109"/>
      <c r="F661" s="58"/>
      <c r="G661" s="135"/>
      <c r="H661" s="129"/>
      <c r="I661" s="129"/>
      <c r="J661" s="130" t="b">
        <v>0</v>
      </c>
      <c r="K661" s="58"/>
      <c r="L661" s="131" t="str">
        <f t="shared" si="8"/>
        <v/>
      </c>
      <c r="M661" s="108"/>
      <c r="N661" s="109"/>
      <c r="O661" s="109"/>
      <c r="P661" s="109"/>
      <c r="Q661" s="58"/>
      <c r="R661" s="136" t="b">
        <v>0</v>
      </c>
      <c r="S661" s="58"/>
      <c r="T661" s="80"/>
      <c r="U661" s="80"/>
      <c r="V661" s="80"/>
      <c r="W661" s="80"/>
      <c r="X661" s="80"/>
      <c r="Y661" s="80"/>
      <c r="Z661" s="80"/>
      <c r="AA661" s="81"/>
      <c r="AB661" s="81"/>
      <c r="AC661" s="81"/>
      <c r="AD661" s="81"/>
      <c r="AE661" s="81"/>
    </row>
    <row r="662">
      <c r="A662" s="16"/>
      <c r="B662" s="127"/>
      <c r="C662" s="127"/>
      <c r="D662" s="108"/>
      <c r="E662" s="109"/>
      <c r="F662" s="58"/>
      <c r="G662" s="135"/>
      <c r="H662" s="129"/>
      <c r="I662" s="129"/>
      <c r="J662" s="130" t="b">
        <v>0</v>
      </c>
      <c r="K662" s="58"/>
      <c r="L662" s="131" t="str">
        <f t="shared" si="8"/>
        <v/>
      </c>
      <c r="M662" s="108"/>
      <c r="N662" s="109"/>
      <c r="O662" s="109"/>
      <c r="P662" s="109"/>
      <c r="Q662" s="58"/>
      <c r="R662" s="136" t="b">
        <v>0</v>
      </c>
      <c r="S662" s="58"/>
      <c r="T662" s="80"/>
      <c r="U662" s="80"/>
      <c r="V662" s="80"/>
      <c r="W662" s="80"/>
      <c r="X662" s="80"/>
      <c r="Y662" s="80"/>
      <c r="Z662" s="80"/>
      <c r="AA662" s="81"/>
      <c r="AB662" s="81"/>
      <c r="AC662" s="81"/>
      <c r="AD662" s="81"/>
      <c r="AE662" s="81"/>
    </row>
    <row r="663">
      <c r="A663" s="16"/>
      <c r="B663" s="127"/>
      <c r="C663" s="127"/>
      <c r="D663" s="108"/>
      <c r="E663" s="109"/>
      <c r="F663" s="58"/>
      <c r="G663" s="135"/>
      <c r="H663" s="129"/>
      <c r="I663" s="129"/>
      <c r="J663" s="130" t="b">
        <v>0</v>
      </c>
      <c r="K663" s="58"/>
      <c r="L663" s="131" t="str">
        <f t="shared" si="8"/>
        <v/>
      </c>
      <c r="M663" s="108"/>
      <c r="N663" s="109"/>
      <c r="O663" s="109"/>
      <c r="P663" s="109"/>
      <c r="Q663" s="58"/>
      <c r="R663" s="136" t="b">
        <v>0</v>
      </c>
      <c r="S663" s="58"/>
      <c r="T663" s="80"/>
      <c r="U663" s="80"/>
      <c r="V663" s="80"/>
      <c r="W663" s="80"/>
      <c r="X663" s="80"/>
      <c r="Y663" s="80"/>
      <c r="Z663" s="80"/>
      <c r="AA663" s="81"/>
      <c r="AB663" s="81"/>
      <c r="AC663" s="81"/>
      <c r="AD663" s="81"/>
      <c r="AE663" s="81"/>
    </row>
    <row r="664">
      <c r="A664" s="16"/>
      <c r="B664" s="127"/>
      <c r="C664" s="127"/>
      <c r="D664" s="108"/>
      <c r="E664" s="109"/>
      <c r="F664" s="58"/>
      <c r="G664" s="135"/>
      <c r="H664" s="129"/>
      <c r="I664" s="129"/>
      <c r="J664" s="130" t="b">
        <v>0</v>
      </c>
      <c r="K664" s="58"/>
      <c r="L664" s="131" t="str">
        <f t="shared" si="8"/>
        <v/>
      </c>
      <c r="M664" s="108"/>
      <c r="N664" s="109"/>
      <c r="O664" s="109"/>
      <c r="P664" s="109"/>
      <c r="Q664" s="58"/>
      <c r="R664" s="136" t="b">
        <v>0</v>
      </c>
      <c r="S664" s="58"/>
      <c r="T664" s="80"/>
      <c r="U664" s="80"/>
      <c r="V664" s="80"/>
      <c r="W664" s="80"/>
      <c r="X664" s="80"/>
      <c r="Y664" s="80"/>
      <c r="Z664" s="80"/>
      <c r="AA664" s="81"/>
      <c r="AB664" s="81"/>
      <c r="AC664" s="81"/>
      <c r="AD664" s="81"/>
      <c r="AE664" s="81"/>
    </row>
    <row r="665">
      <c r="A665" s="16"/>
      <c r="B665" s="127"/>
      <c r="C665" s="127"/>
      <c r="D665" s="108"/>
      <c r="E665" s="109"/>
      <c r="F665" s="58"/>
      <c r="G665" s="135"/>
      <c r="H665" s="129"/>
      <c r="I665" s="129"/>
      <c r="J665" s="130" t="b">
        <v>0</v>
      </c>
      <c r="K665" s="58"/>
      <c r="L665" s="131" t="str">
        <f t="shared" si="8"/>
        <v/>
      </c>
      <c r="M665" s="108"/>
      <c r="N665" s="109"/>
      <c r="O665" s="109"/>
      <c r="P665" s="109"/>
      <c r="Q665" s="58"/>
      <c r="R665" s="136" t="b">
        <v>0</v>
      </c>
      <c r="S665" s="58"/>
      <c r="T665" s="80"/>
      <c r="U665" s="80"/>
      <c r="V665" s="80"/>
      <c r="W665" s="80"/>
      <c r="X665" s="80"/>
      <c r="Y665" s="80"/>
      <c r="Z665" s="80"/>
      <c r="AA665" s="81"/>
      <c r="AB665" s="81"/>
      <c r="AC665" s="81"/>
      <c r="AD665" s="81"/>
      <c r="AE665" s="81"/>
    </row>
    <row r="666">
      <c r="A666" s="16"/>
      <c r="B666" s="127"/>
      <c r="C666" s="127"/>
      <c r="D666" s="108"/>
      <c r="E666" s="109"/>
      <c r="F666" s="58"/>
      <c r="G666" s="135"/>
      <c r="H666" s="129"/>
      <c r="I666" s="129"/>
      <c r="J666" s="130" t="b">
        <v>0</v>
      </c>
      <c r="K666" s="58"/>
      <c r="L666" s="131" t="str">
        <f t="shared" si="8"/>
        <v/>
      </c>
      <c r="M666" s="108"/>
      <c r="N666" s="109"/>
      <c r="O666" s="109"/>
      <c r="P666" s="109"/>
      <c r="Q666" s="58"/>
      <c r="R666" s="136" t="b">
        <v>0</v>
      </c>
      <c r="S666" s="58"/>
      <c r="T666" s="80"/>
      <c r="U666" s="80"/>
      <c r="V666" s="80"/>
      <c r="W666" s="80"/>
      <c r="X666" s="80"/>
      <c r="Y666" s="80"/>
      <c r="Z666" s="80"/>
      <c r="AA666" s="81"/>
      <c r="AB666" s="81"/>
      <c r="AC666" s="81"/>
      <c r="AD666" s="81"/>
      <c r="AE666" s="81"/>
    </row>
    <row r="667">
      <c r="A667" s="16"/>
      <c r="B667" s="127"/>
      <c r="C667" s="127"/>
      <c r="D667" s="108"/>
      <c r="E667" s="109"/>
      <c r="F667" s="58"/>
      <c r="G667" s="135"/>
      <c r="H667" s="129"/>
      <c r="I667" s="129"/>
      <c r="J667" s="130" t="b">
        <v>0</v>
      </c>
      <c r="K667" s="58"/>
      <c r="L667" s="131" t="str">
        <f t="shared" si="8"/>
        <v/>
      </c>
      <c r="M667" s="108"/>
      <c r="N667" s="109"/>
      <c r="O667" s="109"/>
      <c r="P667" s="109"/>
      <c r="Q667" s="58"/>
      <c r="R667" s="136" t="b">
        <v>0</v>
      </c>
      <c r="S667" s="58"/>
      <c r="T667" s="80"/>
      <c r="U667" s="80"/>
      <c r="V667" s="80"/>
      <c r="W667" s="80"/>
      <c r="X667" s="80"/>
      <c r="Y667" s="80"/>
      <c r="Z667" s="80"/>
      <c r="AA667" s="81"/>
      <c r="AB667" s="81"/>
      <c r="AC667" s="81"/>
      <c r="AD667" s="81"/>
      <c r="AE667" s="81"/>
    </row>
    <row r="668">
      <c r="A668" s="16"/>
      <c r="B668" s="127"/>
      <c r="C668" s="127"/>
      <c r="D668" s="108"/>
      <c r="E668" s="109"/>
      <c r="F668" s="58"/>
      <c r="G668" s="135"/>
      <c r="H668" s="129"/>
      <c r="I668" s="129"/>
      <c r="J668" s="130" t="b">
        <v>0</v>
      </c>
      <c r="K668" s="58"/>
      <c r="L668" s="131" t="str">
        <f t="shared" si="8"/>
        <v/>
      </c>
      <c r="M668" s="108"/>
      <c r="N668" s="109"/>
      <c r="O668" s="109"/>
      <c r="P668" s="109"/>
      <c r="Q668" s="58"/>
      <c r="R668" s="136" t="b">
        <v>0</v>
      </c>
      <c r="S668" s="58"/>
      <c r="T668" s="80"/>
      <c r="U668" s="80"/>
      <c r="V668" s="80"/>
      <c r="W668" s="80"/>
      <c r="X668" s="80"/>
      <c r="Y668" s="80"/>
      <c r="Z668" s="80"/>
      <c r="AA668" s="81"/>
      <c r="AB668" s="81"/>
      <c r="AC668" s="81"/>
      <c r="AD668" s="81"/>
      <c r="AE668" s="81"/>
    </row>
    <row r="669">
      <c r="A669" s="16"/>
      <c r="B669" s="127"/>
      <c r="C669" s="127"/>
      <c r="D669" s="108"/>
      <c r="E669" s="109"/>
      <c r="F669" s="58"/>
      <c r="G669" s="135"/>
      <c r="H669" s="129"/>
      <c r="I669" s="129"/>
      <c r="J669" s="130" t="b">
        <v>0</v>
      </c>
      <c r="K669" s="58"/>
      <c r="L669" s="131" t="str">
        <f t="shared" si="8"/>
        <v/>
      </c>
      <c r="M669" s="108"/>
      <c r="N669" s="109"/>
      <c r="O669" s="109"/>
      <c r="P669" s="109"/>
      <c r="Q669" s="58"/>
      <c r="R669" s="136" t="b">
        <v>0</v>
      </c>
      <c r="S669" s="58"/>
      <c r="T669" s="80"/>
      <c r="U669" s="80"/>
      <c r="V669" s="80"/>
      <c r="W669" s="80"/>
      <c r="X669" s="80"/>
      <c r="Y669" s="80"/>
      <c r="Z669" s="80"/>
      <c r="AA669" s="81"/>
      <c r="AB669" s="81"/>
      <c r="AC669" s="81"/>
      <c r="AD669" s="81"/>
      <c r="AE669" s="81"/>
    </row>
    <row r="670">
      <c r="A670" s="16"/>
      <c r="B670" s="127"/>
      <c r="C670" s="127"/>
      <c r="D670" s="108"/>
      <c r="E670" s="109"/>
      <c r="F670" s="58"/>
      <c r="G670" s="135"/>
      <c r="H670" s="129"/>
      <c r="I670" s="129"/>
      <c r="J670" s="130" t="b">
        <v>0</v>
      </c>
      <c r="K670" s="58"/>
      <c r="L670" s="131" t="str">
        <f t="shared" si="8"/>
        <v/>
      </c>
      <c r="M670" s="108"/>
      <c r="N670" s="109"/>
      <c r="O670" s="109"/>
      <c r="P670" s="109"/>
      <c r="Q670" s="58"/>
      <c r="R670" s="136" t="b">
        <v>0</v>
      </c>
      <c r="S670" s="58"/>
      <c r="T670" s="80"/>
      <c r="U670" s="80"/>
      <c r="V670" s="80"/>
      <c r="W670" s="80"/>
      <c r="X670" s="80"/>
      <c r="Y670" s="80"/>
      <c r="Z670" s="80"/>
      <c r="AA670" s="81"/>
      <c r="AB670" s="81"/>
      <c r="AC670" s="81"/>
      <c r="AD670" s="81"/>
      <c r="AE670" s="81"/>
    </row>
    <row r="671">
      <c r="A671" s="16"/>
      <c r="B671" s="127"/>
      <c r="C671" s="127"/>
      <c r="D671" s="108"/>
      <c r="E671" s="109"/>
      <c r="F671" s="58"/>
      <c r="G671" s="135"/>
      <c r="H671" s="129"/>
      <c r="I671" s="129"/>
      <c r="J671" s="130" t="b">
        <v>0</v>
      </c>
      <c r="K671" s="58"/>
      <c r="L671" s="131" t="str">
        <f t="shared" si="8"/>
        <v/>
      </c>
      <c r="M671" s="108"/>
      <c r="N671" s="109"/>
      <c r="O671" s="109"/>
      <c r="P671" s="109"/>
      <c r="Q671" s="58"/>
      <c r="R671" s="136" t="b">
        <v>0</v>
      </c>
      <c r="S671" s="58"/>
      <c r="T671" s="80"/>
      <c r="U671" s="80"/>
      <c r="V671" s="80"/>
      <c r="W671" s="80"/>
      <c r="X671" s="80"/>
      <c r="Y671" s="80"/>
      <c r="Z671" s="80"/>
      <c r="AA671" s="81"/>
      <c r="AB671" s="81"/>
      <c r="AC671" s="81"/>
      <c r="AD671" s="81"/>
      <c r="AE671" s="81"/>
    </row>
    <row r="672">
      <c r="A672" s="16"/>
      <c r="B672" s="127"/>
      <c r="C672" s="127"/>
      <c r="D672" s="108"/>
      <c r="E672" s="109"/>
      <c r="F672" s="58"/>
      <c r="G672" s="135"/>
      <c r="H672" s="129"/>
      <c r="I672" s="129"/>
      <c r="J672" s="130" t="b">
        <v>0</v>
      </c>
      <c r="K672" s="58"/>
      <c r="L672" s="131" t="str">
        <f t="shared" si="8"/>
        <v/>
      </c>
      <c r="M672" s="108"/>
      <c r="N672" s="109"/>
      <c r="O672" s="109"/>
      <c r="P672" s="109"/>
      <c r="Q672" s="58"/>
      <c r="R672" s="136" t="b">
        <v>0</v>
      </c>
      <c r="S672" s="58"/>
      <c r="T672" s="80"/>
      <c r="U672" s="80"/>
      <c r="V672" s="80"/>
      <c r="W672" s="80"/>
      <c r="X672" s="80"/>
      <c r="Y672" s="80"/>
      <c r="Z672" s="80"/>
      <c r="AA672" s="81"/>
      <c r="AB672" s="81"/>
      <c r="AC672" s="81"/>
      <c r="AD672" s="81"/>
      <c r="AE672" s="81"/>
    </row>
    <row r="673">
      <c r="A673" s="16"/>
      <c r="B673" s="127"/>
      <c r="C673" s="127"/>
      <c r="D673" s="108"/>
      <c r="E673" s="109"/>
      <c r="F673" s="58"/>
      <c r="G673" s="135"/>
      <c r="H673" s="129"/>
      <c r="I673" s="129"/>
      <c r="J673" s="130" t="b">
        <v>0</v>
      </c>
      <c r="K673" s="58"/>
      <c r="L673" s="131" t="str">
        <f t="shared" si="8"/>
        <v/>
      </c>
      <c r="M673" s="108"/>
      <c r="N673" s="109"/>
      <c r="O673" s="109"/>
      <c r="P673" s="109"/>
      <c r="Q673" s="58"/>
      <c r="R673" s="136" t="b">
        <v>0</v>
      </c>
      <c r="S673" s="58"/>
      <c r="T673" s="80"/>
      <c r="U673" s="80"/>
      <c r="V673" s="80"/>
      <c r="W673" s="80"/>
      <c r="X673" s="80"/>
      <c r="Y673" s="80"/>
      <c r="Z673" s="80"/>
      <c r="AA673" s="81"/>
      <c r="AB673" s="81"/>
      <c r="AC673" s="81"/>
      <c r="AD673" s="81"/>
      <c r="AE673" s="81"/>
    </row>
    <row r="674">
      <c r="A674" s="16"/>
      <c r="B674" s="127"/>
      <c r="C674" s="127"/>
      <c r="D674" s="108"/>
      <c r="E674" s="109"/>
      <c r="F674" s="58"/>
      <c r="G674" s="135"/>
      <c r="H674" s="129"/>
      <c r="I674" s="129"/>
      <c r="J674" s="130" t="b">
        <v>0</v>
      </c>
      <c r="K674" s="58"/>
      <c r="L674" s="131" t="str">
        <f t="shared" si="8"/>
        <v/>
      </c>
      <c r="M674" s="108"/>
      <c r="N674" s="109"/>
      <c r="O674" s="109"/>
      <c r="P674" s="109"/>
      <c r="Q674" s="58"/>
      <c r="R674" s="136" t="b">
        <v>0</v>
      </c>
      <c r="S674" s="58"/>
      <c r="T674" s="80"/>
      <c r="U674" s="80"/>
      <c r="V674" s="80"/>
      <c r="W674" s="80"/>
      <c r="X674" s="80"/>
      <c r="Y674" s="80"/>
      <c r="Z674" s="80"/>
      <c r="AA674" s="81"/>
      <c r="AB674" s="81"/>
      <c r="AC674" s="81"/>
      <c r="AD674" s="81"/>
      <c r="AE674" s="81"/>
    </row>
    <row r="675">
      <c r="A675" s="16"/>
      <c r="B675" s="127"/>
      <c r="C675" s="127"/>
      <c r="D675" s="108"/>
      <c r="E675" s="109"/>
      <c r="F675" s="58"/>
      <c r="G675" s="135"/>
      <c r="H675" s="129"/>
      <c r="I675" s="129"/>
      <c r="J675" s="130" t="b">
        <v>0</v>
      </c>
      <c r="K675" s="58"/>
      <c r="L675" s="131" t="str">
        <f t="shared" si="8"/>
        <v/>
      </c>
      <c r="M675" s="108"/>
      <c r="N675" s="109"/>
      <c r="O675" s="109"/>
      <c r="P675" s="109"/>
      <c r="Q675" s="58"/>
      <c r="R675" s="136" t="b">
        <v>0</v>
      </c>
      <c r="S675" s="58"/>
      <c r="T675" s="80"/>
      <c r="U675" s="80"/>
      <c r="V675" s="80"/>
      <c r="W675" s="80"/>
      <c r="X675" s="80"/>
      <c r="Y675" s="80"/>
      <c r="Z675" s="80"/>
      <c r="AA675" s="81"/>
      <c r="AB675" s="81"/>
      <c r="AC675" s="81"/>
      <c r="AD675" s="81"/>
      <c r="AE675" s="81"/>
    </row>
    <row r="676">
      <c r="A676" s="16"/>
      <c r="B676" s="127"/>
      <c r="C676" s="127"/>
      <c r="D676" s="108"/>
      <c r="E676" s="109"/>
      <c r="F676" s="58"/>
      <c r="G676" s="135"/>
      <c r="H676" s="129"/>
      <c r="I676" s="129"/>
      <c r="J676" s="130" t="b">
        <v>0</v>
      </c>
      <c r="K676" s="58"/>
      <c r="L676" s="131" t="str">
        <f t="shared" si="8"/>
        <v/>
      </c>
      <c r="M676" s="108"/>
      <c r="N676" s="109"/>
      <c r="O676" s="109"/>
      <c r="P676" s="109"/>
      <c r="Q676" s="58"/>
      <c r="R676" s="136" t="b">
        <v>0</v>
      </c>
      <c r="S676" s="58"/>
      <c r="T676" s="80"/>
      <c r="U676" s="80"/>
      <c r="V676" s="80"/>
      <c r="W676" s="80"/>
      <c r="X676" s="80"/>
      <c r="Y676" s="80"/>
      <c r="Z676" s="80"/>
      <c r="AA676" s="81"/>
      <c r="AB676" s="81"/>
      <c r="AC676" s="81"/>
      <c r="AD676" s="81"/>
      <c r="AE676" s="81"/>
    </row>
    <row r="677">
      <c r="A677" s="16"/>
      <c r="B677" s="127"/>
      <c r="C677" s="127"/>
      <c r="D677" s="108"/>
      <c r="E677" s="109"/>
      <c r="F677" s="58"/>
      <c r="G677" s="135"/>
      <c r="H677" s="129"/>
      <c r="I677" s="129"/>
      <c r="J677" s="130" t="b">
        <v>0</v>
      </c>
      <c r="K677" s="58"/>
      <c r="L677" s="131" t="str">
        <f t="shared" si="8"/>
        <v/>
      </c>
      <c r="M677" s="108"/>
      <c r="N677" s="109"/>
      <c r="O677" s="109"/>
      <c r="P677" s="109"/>
      <c r="Q677" s="58"/>
      <c r="R677" s="136" t="b">
        <v>0</v>
      </c>
      <c r="S677" s="58"/>
      <c r="T677" s="80"/>
      <c r="U677" s="80"/>
      <c r="V677" s="80"/>
      <c r="W677" s="80"/>
      <c r="X677" s="80"/>
      <c r="Y677" s="80"/>
      <c r="Z677" s="80"/>
      <c r="AA677" s="81"/>
      <c r="AB677" s="81"/>
      <c r="AC677" s="81"/>
      <c r="AD677" s="81"/>
      <c r="AE677" s="81"/>
    </row>
    <row r="678">
      <c r="A678" s="16"/>
      <c r="B678" s="127"/>
      <c r="C678" s="127"/>
      <c r="D678" s="108"/>
      <c r="E678" s="109"/>
      <c r="F678" s="58"/>
      <c r="G678" s="135"/>
      <c r="H678" s="129"/>
      <c r="I678" s="129"/>
      <c r="J678" s="130" t="b">
        <v>0</v>
      </c>
      <c r="K678" s="58"/>
      <c r="L678" s="131" t="str">
        <f t="shared" si="8"/>
        <v/>
      </c>
      <c r="M678" s="108"/>
      <c r="N678" s="109"/>
      <c r="O678" s="109"/>
      <c r="P678" s="109"/>
      <c r="Q678" s="58"/>
      <c r="R678" s="136" t="b">
        <v>0</v>
      </c>
      <c r="S678" s="58"/>
      <c r="T678" s="80"/>
      <c r="U678" s="80"/>
      <c r="V678" s="80"/>
      <c r="W678" s="80"/>
      <c r="X678" s="80"/>
      <c r="Y678" s="80"/>
      <c r="Z678" s="80"/>
      <c r="AA678" s="81"/>
      <c r="AB678" s="81"/>
      <c r="AC678" s="81"/>
      <c r="AD678" s="81"/>
      <c r="AE678" s="81"/>
    </row>
    <row r="679">
      <c r="A679" s="16"/>
      <c r="B679" s="127"/>
      <c r="C679" s="127"/>
      <c r="D679" s="108"/>
      <c r="E679" s="109"/>
      <c r="F679" s="58"/>
      <c r="G679" s="135"/>
      <c r="H679" s="129"/>
      <c r="I679" s="129"/>
      <c r="J679" s="130" t="b">
        <v>0</v>
      </c>
      <c r="K679" s="58"/>
      <c r="L679" s="131" t="str">
        <f t="shared" si="8"/>
        <v/>
      </c>
      <c r="M679" s="108"/>
      <c r="N679" s="109"/>
      <c r="O679" s="109"/>
      <c r="P679" s="109"/>
      <c r="Q679" s="58"/>
      <c r="R679" s="136" t="b">
        <v>0</v>
      </c>
      <c r="S679" s="58"/>
      <c r="T679" s="80"/>
      <c r="U679" s="80"/>
      <c r="V679" s="80"/>
      <c r="W679" s="80"/>
      <c r="X679" s="80"/>
      <c r="Y679" s="80"/>
      <c r="Z679" s="80"/>
      <c r="AA679" s="81"/>
      <c r="AB679" s="81"/>
      <c r="AC679" s="81"/>
      <c r="AD679" s="81"/>
      <c r="AE679" s="81"/>
    </row>
    <row r="680">
      <c r="A680" s="16"/>
      <c r="B680" s="127"/>
      <c r="C680" s="127"/>
      <c r="D680" s="108"/>
      <c r="E680" s="109"/>
      <c r="F680" s="58"/>
      <c r="G680" s="135"/>
      <c r="H680" s="129"/>
      <c r="I680" s="129"/>
      <c r="J680" s="130" t="b">
        <v>0</v>
      </c>
      <c r="K680" s="58"/>
      <c r="L680" s="131" t="str">
        <f t="shared" si="8"/>
        <v/>
      </c>
      <c r="M680" s="108"/>
      <c r="N680" s="109"/>
      <c r="O680" s="109"/>
      <c r="P680" s="109"/>
      <c r="Q680" s="58"/>
      <c r="R680" s="136" t="b">
        <v>0</v>
      </c>
      <c r="S680" s="58"/>
      <c r="T680" s="80"/>
      <c r="U680" s="80"/>
      <c r="V680" s="80"/>
      <c r="W680" s="80"/>
      <c r="X680" s="80"/>
      <c r="Y680" s="80"/>
      <c r="Z680" s="80"/>
      <c r="AA680" s="81"/>
      <c r="AB680" s="81"/>
      <c r="AC680" s="81"/>
      <c r="AD680" s="81"/>
      <c r="AE680" s="81"/>
    </row>
    <row r="681">
      <c r="A681" s="16"/>
      <c r="B681" s="127"/>
      <c r="C681" s="127"/>
      <c r="D681" s="108"/>
      <c r="E681" s="109"/>
      <c r="F681" s="58"/>
      <c r="G681" s="135"/>
      <c r="H681" s="129"/>
      <c r="I681" s="129"/>
      <c r="J681" s="130" t="b">
        <v>0</v>
      </c>
      <c r="K681" s="58"/>
      <c r="L681" s="131" t="str">
        <f t="shared" si="8"/>
        <v/>
      </c>
      <c r="M681" s="108"/>
      <c r="N681" s="109"/>
      <c r="O681" s="109"/>
      <c r="P681" s="109"/>
      <c r="Q681" s="58"/>
      <c r="R681" s="136" t="b">
        <v>0</v>
      </c>
      <c r="S681" s="58"/>
      <c r="T681" s="80"/>
      <c r="U681" s="80"/>
      <c r="V681" s="80"/>
      <c r="W681" s="80"/>
      <c r="X681" s="80"/>
      <c r="Y681" s="80"/>
      <c r="Z681" s="80"/>
      <c r="AA681" s="81"/>
      <c r="AB681" s="81"/>
      <c r="AC681" s="81"/>
      <c r="AD681" s="81"/>
      <c r="AE681" s="81"/>
    </row>
    <row r="682">
      <c r="A682" s="16"/>
      <c r="B682" s="127"/>
      <c r="C682" s="127"/>
      <c r="D682" s="108"/>
      <c r="E682" s="109"/>
      <c r="F682" s="58"/>
      <c r="G682" s="135"/>
      <c r="H682" s="129"/>
      <c r="I682" s="129"/>
      <c r="J682" s="130" t="b">
        <v>0</v>
      </c>
      <c r="K682" s="58"/>
      <c r="L682" s="131" t="str">
        <f t="shared" si="8"/>
        <v/>
      </c>
      <c r="M682" s="108"/>
      <c r="N682" s="109"/>
      <c r="O682" s="109"/>
      <c r="P682" s="109"/>
      <c r="Q682" s="58"/>
      <c r="R682" s="136" t="b">
        <v>0</v>
      </c>
      <c r="S682" s="58"/>
      <c r="T682" s="80"/>
      <c r="U682" s="80"/>
      <c r="V682" s="80"/>
      <c r="W682" s="80"/>
      <c r="X682" s="80"/>
      <c r="Y682" s="80"/>
      <c r="Z682" s="80"/>
      <c r="AA682" s="81"/>
      <c r="AB682" s="81"/>
      <c r="AC682" s="81"/>
      <c r="AD682" s="81"/>
      <c r="AE682" s="81"/>
    </row>
    <row r="683">
      <c r="A683" s="16"/>
      <c r="B683" s="127"/>
      <c r="C683" s="127"/>
      <c r="D683" s="108"/>
      <c r="E683" s="109"/>
      <c r="F683" s="58"/>
      <c r="G683" s="135"/>
      <c r="H683" s="129"/>
      <c r="I683" s="129"/>
      <c r="J683" s="130" t="b">
        <v>0</v>
      </c>
      <c r="K683" s="58"/>
      <c r="L683" s="131" t="str">
        <f t="shared" si="8"/>
        <v/>
      </c>
      <c r="M683" s="108"/>
      <c r="N683" s="109"/>
      <c r="O683" s="109"/>
      <c r="P683" s="109"/>
      <c r="Q683" s="58"/>
      <c r="R683" s="136" t="b">
        <v>0</v>
      </c>
      <c r="S683" s="58"/>
      <c r="T683" s="80"/>
      <c r="U683" s="80"/>
      <c r="V683" s="80"/>
      <c r="W683" s="80"/>
      <c r="X683" s="80"/>
      <c r="Y683" s="80"/>
      <c r="Z683" s="80"/>
      <c r="AA683" s="81"/>
      <c r="AB683" s="81"/>
      <c r="AC683" s="81"/>
      <c r="AD683" s="81"/>
      <c r="AE683" s="81"/>
    </row>
    <row r="684">
      <c r="A684" s="16"/>
      <c r="B684" s="127"/>
      <c r="C684" s="127"/>
      <c r="D684" s="108"/>
      <c r="E684" s="109"/>
      <c r="F684" s="58"/>
      <c r="G684" s="135"/>
      <c r="H684" s="129"/>
      <c r="I684" s="129"/>
      <c r="J684" s="130" t="b">
        <v>0</v>
      </c>
      <c r="K684" s="58"/>
      <c r="L684" s="131" t="str">
        <f t="shared" si="8"/>
        <v/>
      </c>
      <c r="M684" s="108"/>
      <c r="N684" s="109"/>
      <c r="O684" s="109"/>
      <c r="P684" s="109"/>
      <c r="Q684" s="58"/>
      <c r="R684" s="136" t="b">
        <v>0</v>
      </c>
      <c r="S684" s="58"/>
      <c r="T684" s="80"/>
      <c r="U684" s="80"/>
      <c r="V684" s="80"/>
      <c r="W684" s="80"/>
      <c r="X684" s="80"/>
      <c r="Y684" s="80"/>
      <c r="Z684" s="80"/>
      <c r="AA684" s="81"/>
      <c r="AB684" s="81"/>
      <c r="AC684" s="81"/>
      <c r="AD684" s="81"/>
      <c r="AE684" s="81"/>
    </row>
    <row r="685">
      <c r="A685" s="16"/>
      <c r="B685" s="127"/>
      <c r="C685" s="127"/>
      <c r="D685" s="108"/>
      <c r="E685" s="109"/>
      <c r="F685" s="58"/>
      <c r="G685" s="135"/>
      <c r="H685" s="129"/>
      <c r="I685" s="129"/>
      <c r="J685" s="130" t="b">
        <v>0</v>
      </c>
      <c r="K685" s="58"/>
      <c r="L685" s="131" t="str">
        <f t="shared" si="8"/>
        <v/>
      </c>
      <c r="M685" s="108"/>
      <c r="N685" s="109"/>
      <c r="O685" s="109"/>
      <c r="P685" s="109"/>
      <c r="Q685" s="58"/>
      <c r="R685" s="136" t="b">
        <v>0</v>
      </c>
      <c r="S685" s="58"/>
      <c r="T685" s="80"/>
      <c r="U685" s="80"/>
      <c r="V685" s="80"/>
      <c r="W685" s="80"/>
      <c r="X685" s="80"/>
      <c r="Y685" s="80"/>
      <c r="Z685" s="80"/>
      <c r="AA685" s="81"/>
      <c r="AB685" s="81"/>
      <c r="AC685" s="81"/>
      <c r="AD685" s="81"/>
      <c r="AE685" s="81"/>
    </row>
    <row r="686">
      <c r="A686" s="16"/>
      <c r="B686" s="127"/>
      <c r="C686" s="127"/>
      <c r="D686" s="108"/>
      <c r="E686" s="109"/>
      <c r="F686" s="58"/>
      <c r="G686" s="135"/>
      <c r="H686" s="129"/>
      <c r="I686" s="129"/>
      <c r="J686" s="130" t="b">
        <v>0</v>
      </c>
      <c r="K686" s="58"/>
      <c r="L686" s="131" t="str">
        <f t="shared" si="8"/>
        <v/>
      </c>
      <c r="M686" s="108"/>
      <c r="N686" s="109"/>
      <c r="O686" s="109"/>
      <c r="P686" s="109"/>
      <c r="Q686" s="58"/>
      <c r="R686" s="136" t="b">
        <v>0</v>
      </c>
      <c r="S686" s="58"/>
      <c r="T686" s="80"/>
      <c r="U686" s="80"/>
      <c r="V686" s="80"/>
      <c r="W686" s="80"/>
      <c r="X686" s="80"/>
      <c r="Y686" s="80"/>
      <c r="Z686" s="80"/>
      <c r="AA686" s="81"/>
      <c r="AB686" s="81"/>
      <c r="AC686" s="81"/>
      <c r="AD686" s="81"/>
      <c r="AE686" s="81"/>
    </row>
    <row r="687">
      <c r="A687" s="16"/>
      <c r="B687" s="127"/>
      <c r="C687" s="127"/>
      <c r="D687" s="108"/>
      <c r="E687" s="109"/>
      <c r="F687" s="58"/>
      <c r="G687" s="135"/>
      <c r="H687" s="129"/>
      <c r="I687" s="129"/>
      <c r="J687" s="130" t="b">
        <v>0</v>
      </c>
      <c r="K687" s="58"/>
      <c r="L687" s="131" t="str">
        <f t="shared" si="8"/>
        <v/>
      </c>
      <c r="M687" s="108"/>
      <c r="N687" s="109"/>
      <c r="O687" s="109"/>
      <c r="P687" s="109"/>
      <c r="Q687" s="58"/>
      <c r="R687" s="136" t="b">
        <v>0</v>
      </c>
      <c r="S687" s="58"/>
      <c r="T687" s="80"/>
      <c r="U687" s="80"/>
      <c r="V687" s="80"/>
      <c r="W687" s="80"/>
      <c r="X687" s="80"/>
      <c r="Y687" s="80"/>
      <c r="Z687" s="80"/>
      <c r="AA687" s="81"/>
      <c r="AB687" s="81"/>
      <c r="AC687" s="81"/>
      <c r="AD687" s="81"/>
      <c r="AE687" s="81"/>
    </row>
    <row r="688">
      <c r="A688" s="16"/>
      <c r="B688" s="127"/>
      <c r="C688" s="127"/>
      <c r="D688" s="108"/>
      <c r="E688" s="109"/>
      <c r="F688" s="58"/>
      <c r="G688" s="135"/>
      <c r="H688" s="129"/>
      <c r="I688" s="129"/>
      <c r="J688" s="130" t="b">
        <v>0</v>
      </c>
      <c r="K688" s="58"/>
      <c r="L688" s="131" t="str">
        <f t="shared" si="8"/>
        <v/>
      </c>
      <c r="M688" s="108"/>
      <c r="N688" s="109"/>
      <c r="O688" s="109"/>
      <c r="P688" s="109"/>
      <c r="Q688" s="58"/>
      <c r="R688" s="136" t="b">
        <v>0</v>
      </c>
      <c r="S688" s="58"/>
      <c r="T688" s="80"/>
      <c r="U688" s="80"/>
      <c r="V688" s="80"/>
      <c r="W688" s="80"/>
      <c r="X688" s="80"/>
      <c r="Y688" s="80"/>
      <c r="Z688" s="80"/>
      <c r="AA688" s="81"/>
      <c r="AB688" s="81"/>
      <c r="AC688" s="81"/>
      <c r="AD688" s="81"/>
      <c r="AE688" s="81"/>
    </row>
    <row r="689">
      <c r="A689" s="16"/>
      <c r="B689" s="127"/>
      <c r="C689" s="127"/>
      <c r="D689" s="108"/>
      <c r="E689" s="109"/>
      <c r="F689" s="58"/>
      <c r="G689" s="135"/>
      <c r="H689" s="129"/>
      <c r="I689" s="129"/>
      <c r="J689" s="130" t="b">
        <v>0</v>
      </c>
      <c r="K689" s="58"/>
      <c r="L689" s="131" t="str">
        <f t="shared" si="8"/>
        <v/>
      </c>
      <c r="M689" s="108"/>
      <c r="N689" s="109"/>
      <c r="O689" s="109"/>
      <c r="P689" s="109"/>
      <c r="Q689" s="58"/>
      <c r="R689" s="136" t="b">
        <v>0</v>
      </c>
      <c r="S689" s="58"/>
      <c r="T689" s="80"/>
      <c r="U689" s="80"/>
      <c r="V689" s="80"/>
      <c r="W689" s="80"/>
      <c r="X689" s="80"/>
      <c r="Y689" s="80"/>
      <c r="Z689" s="80"/>
      <c r="AA689" s="81"/>
      <c r="AB689" s="81"/>
      <c r="AC689" s="81"/>
      <c r="AD689" s="81"/>
      <c r="AE689" s="81"/>
    </row>
    <row r="690">
      <c r="A690" s="16"/>
      <c r="B690" s="127"/>
      <c r="C690" s="127"/>
      <c r="D690" s="108"/>
      <c r="E690" s="109"/>
      <c r="F690" s="58"/>
      <c r="G690" s="135"/>
      <c r="H690" s="129"/>
      <c r="I690" s="129"/>
      <c r="J690" s="130" t="b">
        <v>0</v>
      </c>
      <c r="K690" s="58"/>
      <c r="L690" s="131" t="str">
        <f t="shared" si="8"/>
        <v/>
      </c>
      <c r="M690" s="108"/>
      <c r="N690" s="109"/>
      <c r="O690" s="109"/>
      <c r="P690" s="109"/>
      <c r="Q690" s="58"/>
      <c r="R690" s="136" t="b">
        <v>0</v>
      </c>
      <c r="S690" s="58"/>
      <c r="T690" s="80"/>
      <c r="U690" s="80"/>
      <c r="V690" s="80"/>
      <c r="W690" s="80"/>
      <c r="X690" s="80"/>
      <c r="Y690" s="80"/>
      <c r="Z690" s="80"/>
      <c r="AA690" s="81"/>
      <c r="AB690" s="81"/>
      <c r="AC690" s="81"/>
      <c r="AD690" s="81"/>
      <c r="AE690" s="81"/>
    </row>
    <row r="691">
      <c r="A691" s="16"/>
      <c r="B691" s="127"/>
      <c r="C691" s="127"/>
      <c r="D691" s="108"/>
      <c r="E691" s="109"/>
      <c r="F691" s="58"/>
      <c r="G691" s="135"/>
      <c r="H691" s="129"/>
      <c r="I691" s="129"/>
      <c r="J691" s="130" t="b">
        <v>0</v>
      </c>
      <c r="K691" s="58"/>
      <c r="L691" s="131" t="str">
        <f t="shared" si="8"/>
        <v/>
      </c>
      <c r="M691" s="108"/>
      <c r="N691" s="109"/>
      <c r="O691" s="109"/>
      <c r="P691" s="109"/>
      <c r="Q691" s="58"/>
      <c r="R691" s="136" t="b">
        <v>0</v>
      </c>
      <c r="S691" s="58"/>
      <c r="T691" s="80"/>
      <c r="U691" s="80"/>
      <c r="V691" s="80"/>
      <c r="W691" s="80"/>
      <c r="X691" s="80"/>
      <c r="Y691" s="80"/>
      <c r="Z691" s="80"/>
      <c r="AA691" s="81"/>
      <c r="AB691" s="81"/>
      <c r="AC691" s="81"/>
      <c r="AD691" s="81"/>
      <c r="AE691" s="81"/>
    </row>
    <row r="692">
      <c r="A692" s="16"/>
      <c r="B692" s="127"/>
      <c r="C692" s="127"/>
      <c r="D692" s="108"/>
      <c r="E692" s="109"/>
      <c r="F692" s="58"/>
      <c r="G692" s="135"/>
      <c r="H692" s="129"/>
      <c r="I692" s="129"/>
      <c r="J692" s="130" t="b">
        <v>0</v>
      </c>
      <c r="K692" s="58"/>
      <c r="L692" s="131" t="str">
        <f t="shared" si="8"/>
        <v/>
      </c>
      <c r="M692" s="108"/>
      <c r="N692" s="109"/>
      <c r="O692" s="109"/>
      <c r="P692" s="109"/>
      <c r="Q692" s="58"/>
      <c r="R692" s="136" t="b">
        <v>0</v>
      </c>
      <c r="S692" s="58"/>
      <c r="T692" s="80"/>
      <c r="U692" s="80"/>
      <c r="V692" s="80"/>
      <c r="W692" s="80"/>
      <c r="X692" s="80"/>
      <c r="Y692" s="80"/>
      <c r="Z692" s="80"/>
      <c r="AA692" s="81"/>
      <c r="AB692" s="81"/>
      <c r="AC692" s="81"/>
      <c r="AD692" s="81"/>
      <c r="AE692" s="81"/>
    </row>
    <row r="693">
      <c r="A693" s="16"/>
      <c r="B693" s="127"/>
      <c r="C693" s="127"/>
      <c r="D693" s="108"/>
      <c r="E693" s="109"/>
      <c r="F693" s="58"/>
      <c r="G693" s="135"/>
      <c r="H693" s="129"/>
      <c r="I693" s="129"/>
      <c r="J693" s="130" t="b">
        <v>0</v>
      </c>
      <c r="K693" s="58"/>
      <c r="L693" s="131" t="str">
        <f t="shared" si="8"/>
        <v/>
      </c>
      <c r="M693" s="108"/>
      <c r="N693" s="109"/>
      <c r="O693" s="109"/>
      <c r="P693" s="109"/>
      <c r="Q693" s="58"/>
      <c r="R693" s="136" t="b">
        <v>0</v>
      </c>
      <c r="S693" s="58"/>
      <c r="T693" s="80"/>
      <c r="U693" s="80"/>
      <c r="V693" s="80"/>
      <c r="W693" s="80"/>
      <c r="X693" s="80"/>
      <c r="Y693" s="80"/>
      <c r="Z693" s="80"/>
      <c r="AA693" s="81"/>
      <c r="AB693" s="81"/>
      <c r="AC693" s="81"/>
      <c r="AD693" s="81"/>
      <c r="AE693" s="81"/>
    </row>
    <row r="694">
      <c r="A694" s="16"/>
      <c r="B694" s="127"/>
      <c r="C694" s="127"/>
      <c r="D694" s="108"/>
      <c r="E694" s="109"/>
      <c r="F694" s="58"/>
      <c r="G694" s="135"/>
      <c r="H694" s="129"/>
      <c r="I694" s="129"/>
      <c r="J694" s="130" t="b">
        <v>0</v>
      </c>
      <c r="K694" s="58"/>
      <c r="L694" s="131" t="str">
        <f t="shared" si="8"/>
        <v/>
      </c>
      <c r="M694" s="108"/>
      <c r="N694" s="109"/>
      <c r="O694" s="109"/>
      <c r="P694" s="109"/>
      <c r="Q694" s="58"/>
      <c r="R694" s="136" t="b">
        <v>0</v>
      </c>
      <c r="S694" s="58"/>
      <c r="T694" s="80"/>
      <c r="U694" s="80"/>
      <c r="V694" s="80"/>
      <c r="W694" s="80"/>
      <c r="X694" s="80"/>
      <c r="Y694" s="80"/>
      <c r="Z694" s="80"/>
      <c r="AA694" s="81"/>
      <c r="AB694" s="81"/>
      <c r="AC694" s="81"/>
      <c r="AD694" s="81"/>
      <c r="AE694" s="81"/>
    </row>
    <row r="695">
      <c r="A695" s="16"/>
      <c r="B695" s="127"/>
      <c r="C695" s="127"/>
      <c r="D695" s="108"/>
      <c r="E695" s="109"/>
      <c r="F695" s="58"/>
      <c r="G695" s="135"/>
      <c r="H695" s="129"/>
      <c r="I695" s="129"/>
      <c r="J695" s="130" t="b">
        <v>0</v>
      </c>
      <c r="K695" s="58"/>
      <c r="L695" s="131" t="str">
        <f t="shared" si="8"/>
        <v/>
      </c>
      <c r="M695" s="108"/>
      <c r="N695" s="109"/>
      <c r="O695" s="109"/>
      <c r="P695" s="109"/>
      <c r="Q695" s="58"/>
      <c r="R695" s="136" t="b">
        <v>0</v>
      </c>
      <c r="S695" s="58"/>
      <c r="T695" s="80"/>
      <c r="U695" s="80"/>
      <c r="V695" s="80"/>
      <c r="W695" s="80"/>
      <c r="X695" s="80"/>
      <c r="Y695" s="80"/>
      <c r="Z695" s="80"/>
      <c r="AA695" s="81"/>
      <c r="AB695" s="81"/>
      <c r="AC695" s="81"/>
      <c r="AD695" s="81"/>
      <c r="AE695" s="81"/>
    </row>
    <row r="696">
      <c r="A696" s="16"/>
      <c r="B696" s="127"/>
      <c r="C696" s="127"/>
      <c r="D696" s="108"/>
      <c r="E696" s="109"/>
      <c r="F696" s="58"/>
      <c r="G696" s="135"/>
      <c r="H696" s="129"/>
      <c r="I696" s="129"/>
      <c r="J696" s="130" t="b">
        <v>0</v>
      </c>
      <c r="K696" s="58"/>
      <c r="L696" s="131" t="str">
        <f t="shared" si="8"/>
        <v/>
      </c>
      <c r="M696" s="108"/>
      <c r="N696" s="109"/>
      <c r="O696" s="109"/>
      <c r="P696" s="109"/>
      <c r="Q696" s="58"/>
      <c r="R696" s="136" t="b">
        <v>0</v>
      </c>
      <c r="S696" s="58"/>
      <c r="T696" s="80"/>
      <c r="U696" s="80"/>
      <c r="V696" s="80"/>
      <c r="W696" s="80"/>
      <c r="X696" s="80"/>
      <c r="Y696" s="80"/>
      <c r="Z696" s="80"/>
      <c r="AA696" s="81"/>
      <c r="AB696" s="81"/>
      <c r="AC696" s="81"/>
      <c r="AD696" s="81"/>
      <c r="AE696" s="81"/>
    </row>
    <row r="697">
      <c r="A697" s="16"/>
      <c r="B697" s="127"/>
      <c r="C697" s="127"/>
      <c r="D697" s="108"/>
      <c r="E697" s="109"/>
      <c r="F697" s="58"/>
      <c r="G697" s="135"/>
      <c r="H697" s="129"/>
      <c r="I697" s="129"/>
      <c r="J697" s="130" t="b">
        <v>0</v>
      </c>
      <c r="K697" s="58"/>
      <c r="L697" s="131" t="str">
        <f t="shared" si="8"/>
        <v/>
      </c>
      <c r="M697" s="108"/>
      <c r="N697" s="109"/>
      <c r="O697" s="109"/>
      <c r="P697" s="109"/>
      <c r="Q697" s="58"/>
      <c r="R697" s="136" t="b">
        <v>0</v>
      </c>
      <c r="S697" s="58"/>
      <c r="T697" s="80"/>
      <c r="U697" s="80"/>
      <c r="V697" s="80"/>
      <c r="W697" s="80"/>
      <c r="X697" s="80"/>
      <c r="Y697" s="80"/>
      <c r="Z697" s="80"/>
      <c r="AA697" s="81"/>
      <c r="AB697" s="81"/>
      <c r="AC697" s="81"/>
      <c r="AD697" s="81"/>
      <c r="AE697" s="81"/>
    </row>
    <row r="698">
      <c r="A698" s="16"/>
      <c r="B698" s="127"/>
      <c r="C698" s="127"/>
      <c r="D698" s="108"/>
      <c r="E698" s="109"/>
      <c r="F698" s="58"/>
      <c r="G698" s="135"/>
      <c r="H698" s="129"/>
      <c r="I698" s="129"/>
      <c r="J698" s="130" t="b">
        <v>0</v>
      </c>
      <c r="K698" s="58"/>
      <c r="L698" s="131" t="str">
        <f t="shared" si="8"/>
        <v/>
      </c>
      <c r="M698" s="108"/>
      <c r="N698" s="109"/>
      <c r="O698" s="109"/>
      <c r="P698" s="109"/>
      <c r="Q698" s="58"/>
      <c r="R698" s="136" t="b">
        <v>0</v>
      </c>
      <c r="S698" s="58"/>
      <c r="T698" s="80"/>
      <c r="U698" s="80"/>
      <c r="V698" s="80"/>
      <c r="W698" s="80"/>
      <c r="X698" s="80"/>
      <c r="Y698" s="80"/>
      <c r="Z698" s="80"/>
      <c r="AA698" s="81"/>
      <c r="AB698" s="81"/>
      <c r="AC698" s="81"/>
      <c r="AD698" s="81"/>
      <c r="AE698" s="81"/>
    </row>
    <row r="699">
      <c r="A699" s="16"/>
      <c r="B699" s="127"/>
      <c r="C699" s="127"/>
      <c r="D699" s="108"/>
      <c r="E699" s="109"/>
      <c r="F699" s="58"/>
      <c r="G699" s="135"/>
      <c r="H699" s="129"/>
      <c r="I699" s="129"/>
      <c r="J699" s="130" t="b">
        <v>0</v>
      </c>
      <c r="K699" s="58"/>
      <c r="L699" s="131" t="str">
        <f t="shared" si="8"/>
        <v/>
      </c>
      <c r="M699" s="108"/>
      <c r="N699" s="109"/>
      <c r="O699" s="109"/>
      <c r="P699" s="109"/>
      <c r="Q699" s="58"/>
      <c r="R699" s="136" t="b">
        <v>0</v>
      </c>
      <c r="S699" s="58"/>
      <c r="T699" s="80"/>
      <c r="U699" s="80"/>
      <c r="V699" s="80"/>
      <c r="W699" s="80"/>
      <c r="X699" s="80"/>
      <c r="Y699" s="80"/>
      <c r="Z699" s="80"/>
      <c r="AA699" s="81"/>
      <c r="AB699" s="81"/>
      <c r="AC699" s="81"/>
      <c r="AD699" s="81"/>
      <c r="AE699" s="81"/>
    </row>
    <row r="700">
      <c r="A700" s="16"/>
      <c r="B700" s="127"/>
      <c r="C700" s="127"/>
      <c r="D700" s="108"/>
      <c r="E700" s="109"/>
      <c r="F700" s="58"/>
      <c r="G700" s="135"/>
      <c r="H700" s="129"/>
      <c r="I700" s="129"/>
      <c r="J700" s="130" t="b">
        <v>0</v>
      </c>
      <c r="K700" s="58"/>
      <c r="L700" s="131" t="str">
        <f t="shared" si="8"/>
        <v/>
      </c>
      <c r="M700" s="108"/>
      <c r="N700" s="109"/>
      <c r="O700" s="109"/>
      <c r="P700" s="109"/>
      <c r="Q700" s="58"/>
      <c r="R700" s="136" t="b">
        <v>0</v>
      </c>
      <c r="S700" s="58"/>
      <c r="T700" s="80"/>
      <c r="U700" s="80"/>
      <c r="V700" s="80"/>
      <c r="W700" s="80"/>
      <c r="X700" s="80"/>
      <c r="Y700" s="80"/>
      <c r="Z700" s="80"/>
      <c r="AA700" s="81"/>
      <c r="AB700" s="81"/>
      <c r="AC700" s="81"/>
      <c r="AD700" s="81"/>
      <c r="AE700" s="81"/>
    </row>
    <row r="701">
      <c r="A701" s="16"/>
      <c r="B701" s="127"/>
      <c r="C701" s="127"/>
      <c r="D701" s="108"/>
      <c r="E701" s="109"/>
      <c r="F701" s="58"/>
      <c r="G701" s="135"/>
      <c r="H701" s="129"/>
      <c r="I701" s="129"/>
      <c r="J701" s="130" t="b">
        <v>0</v>
      </c>
      <c r="K701" s="58"/>
      <c r="L701" s="131" t="str">
        <f t="shared" si="8"/>
        <v/>
      </c>
      <c r="M701" s="108"/>
      <c r="N701" s="109"/>
      <c r="O701" s="109"/>
      <c r="P701" s="109"/>
      <c r="Q701" s="58"/>
      <c r="R701" s="136" t="b">
        <v>0</v>
      </c>
      <c r="S701" s="58"/>
      <c r="T701" s="80"/>
      <c r="U701" s="80"/>
      <c r="V701" s="80"/>
      <c r="W701" s="80"/>
      <c r="X701" s="80"/>
      <c r="Y701" s="80"/>
      <c r="Z701" s="80"/>
      <c r="AA701" s="81"/>
      <c r="AB701" s="81"/>
      <c r="AC701" s="81"/>
      <c r="AD701" s="81"/>
      <c r="AE701" s="81"/>
    </row>
    <row r="702">
      <c r="A702" s="16"/>
      <c r="B702" s="127"/>
      <c r="C702" s="127"/>
      <c r="D702" s="108"/>
      <c r="E702" s="109"/>
      <c r="F702" s="58"/>
      <c r="G702" s="135"/>
      <c r="H702" s="129"/>
      <c r="I702" s="129"/>
      <c r="J702" s="130" t="b">
        <v>0</v>
      </c>
      <c r="K702" s="58"/>
      <c r="L702" s="131" t="str">
        <f t="shared" si="8"/>
        <v/>
      </c>
      <c r="M702" s="108"/>
      <c r="N702" s="109"/>
      <c r="O702" s="109"/>
      <c r="P702" s="109"/>
      <c r="Q702" s="58"/>
      <c r="R702" s="136" t="b">
        <v>0</v>
      </c>
      <c r="S702" s="58"/>
      <c r="T702" s="80"/>
      <c r="U702" s="80"/>
      <c r="V702" s="80"/>
      <c r="W702" s="80"/>
      <c r="X702" s="80"/>
      <c r="Y702" s="80"/>
      <c r="Z702" s="80"/>
      <c r="AA702" s="81"/>
      <c r="AB702" s="81"/>
      <c r="AC702" s="81"/>
      <c r="AD702" s="81"/>
      <c r="AE702" s="81"/>
    </row>
    <row r="703">
      <c r="A703" s="16"/>
      <c r="B703" s="127"/>
      <c r="C703" s="127"/>
      <c r="D703" s="108"/>
      <c r="E703" s="109"/>
      <c r="F703" s="58"/>
      <c r="G703" s="135"/>
      <c r="H703" s="129"/>
      <c r="I703" s="129"/>
      <c r="J703" s="130" t="b">
        <v>0</v>
      </c>
      <c r="K703" s="58"/>
      <c r="L703" s="131" t="str">
        <f t="shared" si="8"/>
        <v/>
      </c>
      <c r="M703" s="108"/>
      <c r="N703" s="109"/>
      <c r="O703" s="109"/>
      <c r="P703" s="109"/>
      <c r="Q703" s="58"/>
      <c r="R703" s="136" t="b">
        <v>0</v>
      </c>
      <c r="S703" s="58"/>
      <c r="T703" s="80"/>
      <c r="U703" s="80"/>
      <c r="V703" s="80"/>
      <c r="W703" s="80"/>
      <c r="X703" s="80"/>
      <c r="Y703" s="80"/>
      <c r="Z703" s="80"/>
      <c r="AA703" s="81"/>
      <c r="AB703" s="81"/>
      <c r="AC703" s="81"/>
      <c r="AD703" s="81"/>
      <c r="AE703" s="81"/>
    </row>
    <row r="704">
      <c r="A704" s="16"/>
      <c r="B704" s="127"/>
      <c r="C704" s="127"/>
      <c r="D704" s="108"/>
      <c r="E704" s="109"/>
      <c r="F704" s="58"/>
      <c r="G704" s="135"/>
      <c r="H704" s="129"/>
      <c r="I704" s="129"/>
      <c r="J704" s="130" t="b">
        <v>0</v>
      </c>
      <c r="K704" s="58"/>
      <c r="L704" s="131" t="str">
        <f t="shared" si="8"/>
        <v/>
      </c>
      <c r="M704" s="108"/>
      <c r="N704" s="109"/>
      <c r="O704" s="109"/>
      <c r="P704" s="109"/>
      <c r="Q704" s="58"/>
      <c r="R704" s="136" t="b">
        <v>0</v>
      </c>
      <c r="S704" s="58"/>
      <c r="T704" s="80"/>
      <c r="U704" s="80"/>
      <c r="V704" s="80"/>
      <c r="W704" s="80"/>
      <c r="X704" s="80"/>
      <c r="Y704" s="80"/>
      <c r="Z704" s="80"/>
      <c r="AA704" s="81"/>
      <c r="AB704" s="81"/>
      <c r="AC704" s="81"/>
      <c r="AD704" s="81"/>
      <c r="AE704" s="81"/>
    </row>
    <row r="705">
      <c r="A705" s="16"/>
      <c r="B705" s="127"/>
      <c r="C705" s="127"/>
      <c r="D705" s="108"/>
      <c r="E705" s="109"/>
      <c r="F705" s="58"/>
      <c r="G705" s="135"/>
      <c r="H705" s="129"/>
      <c r="I705" s="129"/>
      <c r="J705" s="130" t="b">
        <v>0</v>
      </c>
      <c r="K705" s="58"/>
      <c r="L705" s="131" t="str">
        <f t="shared" si="8"/>
        <v/>
      </c>
      <c r="M705" s="108"/>
      <c r="N705" s="109"/>
      <c r="O705" s="109"/>
      <c r="P705" s="109"/>
      <c r="Q705" s="58"/>
      <c r="R705" s="136" t="b">
        <v>0</v>
      </c>
      <c r="S705" s="58"/>
      <c r="T705" s="80"/>
      <c r="U705" s="80"/>
      <c r="V705" s="80"/>
      <c r="W705" s="80"/>
      <c r="X705" s="80"/>
      <c r="Y705" s="80"/>
      <c r="Z705" s="80"/>
      <c r="AA705" s="81"/>
      <c r="AB705" s="81"/>
      <c r="AC705" s="81"/>
      <c r="AD705" s="81"/>
      <c r="AE705" s="81"/>
    </row>
    <row r="706">
      <c r="A706" s="16"/>
      <c r="B706" s="127"/>
      <c r="C706" s="127"/>
      <c r="D706" s="108"/>
      <c r="E706" s="109"/>
      <c r="F706" s="58"/>
      <c r="G706" s="135"/>
      <c r="H706" s="129"/>
      <c r="I706" s="129"/>
      <c r="J706" s="130" t="b">
        <v>0</v>
      </c>
      <c r="K706" s="58"/>
      <c r="L706" s="131" t="str">
        <f t="shared" si="8"/>
        <v/>
      </c>
      <c r="M706" s="108"/>
      <c r="N706" s="109"/>
      <c r="O706" s="109"/>
      <c r="P706" s="109"/>
      <c r="Q706" s="58"/>
      <c r="R706" s="136" t="b">
        <v>0</v>
      </c>
      <c r="S706" s="58"/>
      <c r="T706" s="80"/>
      <c r="U706" s="80"/>
      <c r="V706" s="80"/>
      <c r="W706" s="80"/>
      <c r="X706" s="80"/>
      <c r="Y706" s="80"/>
      <c r="Z706" s="80"/>
      <c r="AA706" s="81"/>
      <c r="AB706" s="81"/>
      <c r="AC706" s="81"/>
      <c r="AD706" s="81"/>
      <c r="AE706" s="81"/>
    </row>
    <row r="707">
      <c r="A707" s="16"/>
      <c r="B707" s="127"/>
      <c r="C707" s="127"/>
      <c r="D707" s="108"/>
      <c r="E707" s="109"/>
      <c r="F707" s="58"/>
      <c r="G707" s="135"/>
      <c r="H707" s="129"/>
      <c r="I707" s="129"/>
      <c r="J707" s="130" t="b">
        <v>0</v>
      </c>
      <c r="K707" s="58"/>
      <c r="L707" s="131" t="str">
        <f t="shared" si="8"/>
        <v/>
      </c>
      <c r="M707" s="108"/>
      <c r="N707" s="109"/>
      <c r="O707" s="109"/>
      <c r="P707" s="109"/>
      <c r="Q707" s="58"/>
      <c r="R707" s="136" t="b">
        <v>0</v>
      </c>
      <c r="S707" s="58"/>
      <c r="T707" s="80"/>
      <c r="U707" s="80"/>
      <c r="V707" s="80"/>
      <c r="W707" s="80"/>
      <c r="X707" s="80"/>
      <c r="Y707" s="80"/>
      <c r="Z707" s="80"/>
      <c r="AA707" s="81"/>
      <c r="AB707" s="81"/>
      <c r="AC707" s="81"/>
      <c r="AD707" s="81"/>
      <c r="AE707" s="81"/>
    </row>
    <row r="708">
      <c r="A708" s="16"/>
      <c r="B708" s="127"/>
      <c r="C708" s="127"/>
      <c r="D708" s="108"/>
      <c r="E708" s="109"/>
      <c r="F708" s="58"/>
      <c r="G708" s="135"/>
      <c r="H708" s="129"/>
      <c r="I708" s="129"/>
      <c r="J708" s="130" t="b">
        <v>0</v>
      </c>
      <c r="K708" s="58"/>
      <c r="L708" s="131" t="str">
        <f t="shared" si="8"/>
        <v/>
      </c>
      <c r="M708" s="108"/>
      <c r="N708" s="109"/>
      <c r="O708" s="109"/>
      <c r="P708" s="109"/>
      <c r="Q708" s="58"/>
      <c r="R708" s="136" t="b">
        <v>0</v>
      </c>
      <c r="S708" s="58"/>
      <c r="T708" s="80"/>
      <c r="U708" s="80"/>
      <c r="V708" s="80"/>
      <c r="W708" s="80"/>
      <c r="X708" s="80"/>
      <c r="Y708" s="80"/>
      <c r="Z708" s="80"/>
      <c r="AA708" s="81"/>
      <c r="AB708" s="81"/>
      <c r="AC708" s="81"/>
      <c r="AD708" s="81"/>
      <c r="AE708" s="81"/>
    </row>
    <row r="709">
      <c r="A709" s="16"/>
      <c r="B709" s="127"/>
      <c r="C709" s="127"/>
      <c r="D709" s="108"/>
      <c r="E709" s="109"/>
      <c r="F709" s="58"/>
      <c r="G709" s="135"/>
      <c r="H709" s="129"/>
      <c r="I709" s="129"/>
      <c r="J709" s="130" t="b">
        <v>0</v>
      </c>
      <c r="K709" s="58"/>
      <c r="L709" s="131" t="str">
        <f t="shared" si="8"/>
        <v/>
      </c>
      <c r="M709" s="108"/>
      <c r="N709" s="109"/>
      <c r="O709" s="109"/>
      <c r="P709" s="109"/>
      <c r="Q709" s="58"/>
      <c r="R709" s="136" t="b">
        <v>0</v>
      </c>
      <c r="S709" s="58"/>
      <c r="T709" s="80"/>
      <c r="U709" s="80"/>
      <c r="V709" s="80"/>
      <c r="W709" s="80"/>
      <c r="X709" s="80"/>
      <c r="Y709" s="80"/>
      <c r="Z709" s="80"/>
      <c r="AA709" s="81"/>
      <c r="AB709" s="81"/>
      <c r="AC709" s="81"/>
      <c r="AD709" s="81"/>
      <c r="AE709" s="81"/>
    </row>
    <row r="710">
      <c r="A710" s="16"/>
      <c r="B710" s="127"/>
      <c r="C710" s="127"/>
      <c r="D710" s="108"/>
      <c r="E710" s="109"/>
      <c r="F710" s="58"/>
      <c r="G710" s="135"/>
      <c r="H710" s="129"/>
      <c r="I710" s="129"/>
      <c r="J710" s="130" t="b">
        <v>0</v>
      </c>
      <c r="K710" s="58"/>
      <c r="L710" s="131" t="str">
        <f t="shared" si="8"/>
        <v/>
      </c>
      <c r="M710" s="108"/>
      <c r="N710" s="109"/>
      <c r="O710" s="109"/>
      <c r="P710" s="109"/>
      <c r="Q710" s="58"/>
      <c r="R710" s="136" t="b">
        <v>0</v>
      </c>
      <c r="S710" s="58"/>
      <c r="T710" s="80"/>
      <c r="U710" s="80"/>
      <c r="V710" s="80"/>
      <c r="W710" s="80"/>
      <c r="X710" s="80"/>
      <c r="Y710" s="80"/>
      <c r="Z710" s="80"/>
      <c r="AA710" s="81"/>
      <c r="AB710" s="81"/>
      <c r="AC710" s="81"/>
      <c r="AD710" s="81"/>
      <c r="AE710" s="81"/>
    </row>
    <row r="711">
      <c r="A711" s="16"/>
      <c r="B711" s="127"/>
      <c r="C711" s="127"/>
      <c r="D711" s="108"/>
      <c r="E711" s="109"/>
      <c r="F711" s="58"/>
      <c r="G711" s="135"/>
      <c r="H711" s="129"/>
      <c r="I711" s="129"/>
      <c r="J711" s="130" t="b">
        <v>0</v>
      </c>
      <c r="K711" s="58"/>
      <c r="L711" s="131" t="str">
        <f t="shared" si="8"/>
        <v/>
      </c>
      <c r="M711" s="108"/>
      <c r="N711" s="109"/>
      <c r="O711" s="109"/>
      <c r="P711" s="109"/>
      <c r="Q711" s="58"/>
      <c r="R711" s="136" t="b">
        <v>0</v>
      </c>
      <c r="S711" s="58"/>
      <c r="T711" s="80"/>
      <c r="U711" s="80"/>
      <c r="V711" s="80"/>
      <c r="W711" s="80"/>
      <c r="X711" s="80"/>
      <c r="Y711" s="80"/>
      <c r="Z711" s="80"/>
      <c r="AA711" s="81"/>
      <c r="AB711" s="81"/>
      <c r="AC711" s="81"/>
      <c r="AD711" s="81"/>
      <c r="AE711" s="81"/>
    </row>
    <row r="712">
      <c r="A712" s="16"/>
      <c r="B712" s="127"/>
      <c r="C712" s="127"/>
      <c r="D712" s="108"/>
      <c r="E712" s="109"/>
      <c r="F712" s="58"/>
      <c r="G712" s="135"/>
      <c r="H712" s="129"/>
      <c r="I712" s="129"/>
      <c r="J712" s="130" t="b">
        <v>0</v>
      </c>
      <c r="K712" s="58"/>
      <c r="L712" s="131" t="str">
        <f t="shared" si="8"/>
        <v/>
      </c>
      <c r="M712" s="108"/>
      <c r="N712" s="109"/>
      <c r="O712" s="109"/>
      <c r="P712" s="109"/>
      <c r="Q712" s="58"/>
      <c r="R712" s="136" t="b">
        <v>0</v>
      </c>
      <c r="S712" s="58"/>
      <c r="T712" s="80"/>
      <c r="U712" s="80"/>
      <c r="V712" s="80"/>
      <c r="W712" s="80"/>
      <c r="X712" s="80"/>
      <c r="Y712" s="80"/>
      <c r="Z712" s="80"/>
      <c r="AA712" s="81"/>
      <c r="AB712" s="81"/>
      <c r="AC712" s="81"/>
      <c r="AD712" s="81"/>
      <c r="AE712" s="81"/>
    </row>
    <row r="713">
      <c r="A713" s="16"/>
      <c r="B713" s="127"/>
      <c r="C713" s="127"/>
      <c r="D713" s="108"/>
      <c r="E713" s="109"/>
      <c r="F713" s="58"/>
      <c r="G713" s="135"/>
      <c r="H713" s="129"/>
      <c r="I713" s="129"/>
      <c r="J713" s="130" t="b">
        <v>0</v>
      </c>
      <c r="K713" s="58"/>
      <c r="L713" s="131" t="str">
        <f t="shared" si="8"/>
        <v/>
      </c>
      <c r="M713" s="108"/>
      <c r="N713" s="109"/>
      <c r="O713" s="109"/>
      <c r="P713" s="109"/>
      <c r="Q713" s="58"/>
      <c r="R713" s="136" t="b">
        <v>0</v>
      </c>
      <c r="S713" s="58"/>
      <c r="T713" s="80"/>
      <c r="U713" s="80"/>
      <c r="V713" s="80"/>
      <c r="W713" s="80"/>
      <c r="X713" s="80"/>
      <c r="Y713" s="80"/>
      <c r="Z713" s="80"/>
      <c r="AA713" s="81"/>
      <c r="AB713" s="81"/>
      <c r="AC713" s="81"/>
      <c r="AD713" s="81"/>
      <c r="AE713" s="81"/>
    </row>
    <row r="714">
      <c r="A714" s="16"/>
      <c r="B714" s="127"/>
      <c r="C714" s="127"/>
      <c r="D714" s="108"/>
      <c r="E714" s="109"/>
      <c r="F714" s="58"/>
      <c r="G714" s="135"/>
      <c r="H714" s="129"/>
      <c r="I714" s="129"/>
      <c r="J714" s="130" t="b">
        <v>0</v>
      </c>
      <c r="K714" s="58"/>
      <c r="L714" s="131" t="str">
        <f t="shared" si="8"/>
        <v/>
      </c>
      <c r="M714" s="108"/>
      <c r="N714" s="109"/>
      <c r="O714" s="109"/>
      <c r="P714" s="109"/>
      <c r="Q714" s="58"/>
      <c r="R714" s="136" t="b">
        <v>0</v>
      </c>
      <c r="S714" s="58"/>
      <c r="T714" s="80"/>
      <c r="U714" s="80"/>
      <c r="V714" s="80"/>
      <c r="W714" s="80"/>
      <c r="X714" s="80"/>
      <c r="Y714" s="80"/>
      <c r="Z714" s="80"/>
      <c r="AA714" s="81"/>
      <c r="AB714" s="81"/>
      <c r="AC714" s="81"/>
      <c r="AD714" s="81"/>
      <c r="AE714" s="81"/>
    </row>
    <row r="715">
      <c r="A715" s="16"/>
      <c r="B715" s="127"/>
      <c r="C715" s="127"/>
      <c r="D715" s="108"/>
      <c r="E715" s="109"/>
      <c r="F715" s="58"/>
      <c r="G715" s="135"/>
      <c r="H715" s="129"/>
      <c r="I715" s="129"/>
      <c r="J715" s="130" t="b">
        <v>0</v>
      </c>
      <c r="K715" s="58"/>
      <c r="L715" s="131" t="str">
        <f t="shared" si="8"/>
        <v/>
      </c>
      <c r="M715" s="108"/>
      <c r="N715" s="109"/>
      <c r="O715" s="109"/>
      <c r="P715" s="109"/>
      <c r="Q715" s="58"/>
      <c r="R715" s="136" t="b">
        <v>0</v>
      </c>
      <c r="S715" s="58"/>
      <c r="T715" s="80"/>
      <c r="U715" s="80"/>
      <c r="V715" s="80"/>
      <c r="W715" s="80"/>
      <c r="X715" s="80"/>
      <c r="Y715" s="80"/>
      <c r="Z715" s="80"/>
      <c r="AA715" s="81"/>
      <c r="AB715" s="81"/>
      <c r="AC715" s="81"/>
      <c r="AD715" s="81"/>
      <c r="AE715" s="81"/>
    </row>
    <row r="716">
      <c r="A716" s="16"/>
      <c r="B716" s="127"/>
      <c r="C716" s="127"/>
      <c r="D716" s="108"/>
      <c r="E716" s="109"/>
      <c r="F716" s="58"/>
      <c r="G716" s="135"/>
      <c r="H716" s="129"/>
      <c r="I716" s="129"/>
      <c r="J716" s="130" t="b">
        <v>0</v>
      </c>
      <c r="K716" s="58"/>
      <c r="L716" s="131" t="str">
        <f t="shared" si="8"/>
        <v/>
      </c>
      <c r="M716" s="108"/>
      <c r="N716" s="109"/>
      <c r="O716" s="109"/>
      <c r="P716" s="109"/>
      <c r="Q716" s="58"/>
      <c r="R716" s="136" t="b">
        <v>0</v>
      </c>
      <c r="S716" s="58"/>
      <c r="T716" s="80"/>
      <c r="U716" s="80"/>
      <c r="V716" s="80"/>
      <c r="W716" s="80"/>
      <c r="X716" s="80"/>
      <c r="Y716" s="80"/>
      <c r="Z716" s="80"/>
      <c r="AA716" s="81"/>
      <c r="AB716" s="81"/>
      <c r="AC716" s="81"/>
      <c r="AD716" s="81"/>
      <c r="AE716" s="81"/>
    </row>
    <row r="717">
      <c r="A717" s="16"/>
      <c r="B717" s="127"/>
      <c r="C717" s="127"/>
      <c r="D717" s="108"/>
      <c r="E717" s="109"/>
      <c r="F717" s="58"/>
      <c r="G717" s="135"/>
      <c r="H717" s="129"/>
      <c r="I717" s="129"/>
      <c r="J717" s="130" t="b">
        <v>0</v>
      </c>
      <c r="K717" s="58"/>
      <c r="L717" s="131" t="str">
        <f t="shared" si="8"/>
        <v/>
      </c>
      <c r="M717" s="108"/>
      <c r="N717" s="109"/>
      <c r="O717" s="109"/>
      <c r="P717" s="109"/>
      <c r="Q717" s="58"/>
      <c r="R717" s="136" t="b">
        <v>0</v>
      </c>
      <c r="S717" s="58"/>
      <c r="T717" s="80"/>
      <c r="U717" s="80"/>
      <c r="V717" s="80"/>
      <c r="W717" s="80"/>
      <c r="X717" s="80"/>
      <c r="Y717" s="80"/>
      <c r="Z717" s="80"/>
      <c r="AA717" s="81"/>
      <c r="AB717" s="81"/>
      <c r="AC717" s="81"/>
      <c r="AD717" s="81"/>
      <c r="AE717" s="81"/>
    </row>
    <row r="718">
      <c r="A718" s="16"/>
      <c r="B718" s="127"/>
      <c r="C718" s="127"/>
      <c r="D718" s="108"/>
      <c r="E718" s="109"/>
      <c r="F718" s="58"/>
      <c r="G718" s="135"/>
      <c r="H718" s="129"/>
      <c r="I718" s="129"/>
      <c r="J718" s="130" t="b">
        <v>0</v>
      </c>
      <c r="K718" s="58"/>
      <c r="L718" s="131" t="str">
        <f t="shared" si="8"/>
        <v/>
      </c>
      <c r="M718" s="108"/>
      <c r="N718" s="109"/>
      <c r="O718" s="109"/>
      <c r="P718" s="109"/>
      <c r="Q718" s="58"/>
      <c r="R718" s="136" t="b">
        <v>0</v>
      </c>
      <c r="S718" s="58"/>
      <c r="T718" s="80"/>
      <c r="U718" s="80"/>
      <c r="V718" s="80"/>
      <c r="W718" s="80"/>
      <c r="X718" s="80"/>
      <c r="Y718" s="80"/>
      <c r="Z718" s="80"/>
      <c r="AA718" s="81"/>
      <c r="AB718" s="81"/>
      <c r="AC718" s="81"/>
      <c r="AD718" s="81"/>
      <c r="AE718" s="81"/>
    </row>
    <row r="719">
      <c r="A719" s="16"/>
      <c r="B719" s="127"/>
      <c r="C719" s="127"/>
      <c r="D719" s="108"/>
      <c r="E719" s="109"/>
      <c r="F719" s="58"/>
      <c r="G719" s="135"/>
      <c r="H719" s="129"/>
      <c r="I719" s="129"/>
      <c r="J719" s="130" t="b">
        <v>0</v>
      </c>
      <c r="K719" s="58"/>
      <c r="L719" s="131" t="str">
        <f t="shared" si="8"/>
        <v/>
      </c>
      <c r="M719" s="108"/>
      <c r="N719" s="109"/>
      <c r="O719" s="109"/>
      <c r="P719" s="109"/>
      <c r="Q719" s="58"/>
      <c r="R719" s="136" t="b">
        <v>0</v>
      </c>
      <c r="S719" s="58"/>
      <c r="T719" s="80"/>
      <c r="U719" s="80"/>
      <c r="V719" s="80"/>
      <c r="W719" s="80"/>
      <c r="X719" s="80"/>
      <c r="Y719" s="80"/>
      <c r="Z719" s="80"/>
      <c r="AA719" s="81"/>
      <c r="AB719" s="81"/>
      <c r="AC719" s="81"/>
      <c r="AD719" s="81"/>
      <c r="AE719" s="81"/>
    </row>
    <row r="720">
      <c r="A720" s="16"/>
      <c r="B720" s="127"/>
      <c r="C720" s="127"/>
      <c r="D720" s="108"/>
      <c r="E720" s="109"/>
      <c r="F720" s="58"/>
      <c r="G720" s="135"/>
      <c r="H720" s="129"/>
      <c r="I720" s="129"/>
      <c r="J720" s="130" t="b">
        <v>0</v>
      </c>
      <c r="K720" s="58"/>
      <c r="L720" s="131" t="str">
        <f t="shared" si="8"/>
        <v/>
      </c>
      <c r="M720" s="108"/>
      <c r="N720" s="109"/>
      <c r="O720" s="109"/>
      <c r="P720" s="109"/>
      <c r="Q720" s="58"/>
      <c r="R720" s="136" t="b">
        <v>0</v>
      </c>
      <c r="S720" s="58"/>
      <c r="T720" s="80"/>
      <c r="U720" s="80"/>
      <c r="V720" s="80"/>
      <c r="W720" s="80"/>
      <c r="X720" s="80"/>
      <c r="Y720" s="80"/>
      <c r="Z720" s="80"/>
      <c r="AA720" s="81"/>
      <c r="AB720" s="81"/>
      <c r="AC720" s="81"/>
      <c r="AD720" s="81"/>
      <c r="AE720" s="81"/>
    </row>
    <row r="721">
      <c r="A721" s="16"/>
      <c r="B721" s="127"/>
      <c r="C721" s="127"/>
      <c r="D721" s="108"/>
      <c r="E721" s="109"/>
      <c r="F721" s="58"/>
      <c r="G721" s="135"/>
      <c r="H721" s="129"/>
      <c r="I721" s="129"/>
      <c r="J721" s="130" t="b">
        <v>0</v>
      </c>
      <c r="K721" s="58"/>
      <c r="L721" s="131" t="str">
        <f t="shared" si="8"/>
        <v/>
      </c>
      <c r="M721" s="108"/>
      <c r="N721" s="109"/>
      <c r="O721" s="109"/>
      <c r="P721" s="109"/>
      <c r="Q721" s="58"/>
      <c r="R721" s="136" t="b">
        <v>0</v>
      </c>
      <c r="S721" s="58"/>
      <c r="T721" s="80"/>
      <c r="U721" s="80"/>
      <c r="V721" s="80"/>
      <c r="W721" s="80"/>
      <c r="X721" s="80"/>
      <c r="Y721" s="80"/>
      <c r="Z721" s="80"/>
      <c r="AA721" s="81"/>
      <c r="AB721" s="81"/>
      <c r="AC721" s="81"/>
      <c r="AD721" s="81"/>
      <c r="AE721" s="81"/>
    </row>
    <row r="722">
      <c r="A722" s="16"/>
      <c r="B722" s="127"/>
      <c r="C722" s="127"/>
      <c r="D722" s="108"/>
      <c r="E722" s="109"/>
      <c r="F722" s="58"/>
      <c r="G722" s="135"/>
      <c r="H722" s="129"/>
      <c r="I722" s="129"/>
      <c r="J722" s="130" t="b">
        <v>0</v>
      </c>
      <c r="K722" s="58"/>
      <c r="L722" s="131" t="str">
        <f t="shared" si="8"/>
        <v/>
      </c>
      <c r="M722" s="108"/>
      <c r="N722" s="109"/>
      <c r="O722" s="109"/>
      <c r="P722" s="109"/>
      <c r="Q722" s="58"/>
      <c r="R722" s="136" t="b">
        <v>0</v>
      </c>
      <c r="S722" s="58"/>
      <c r="T722" s="80"/>
      <c r="U722" s="80"/>
      <c r="V722" s="80"/>
      <c r="W722" s="80"/>
      <c r="X722" s="80"/>
      <c r="Y722" s="80"/>
      <c r="Z722" s="80"/>
      <c r="AA722" s="81"/>
      <c r="AB722" s="81"/>
      <c r="AC722" s="81"/>
      <c r="AD722" s="81"/>
      <c r="AE722" s="81"/>
    </row>
    <row r="723">
      <c r="A723" s="16"/>
      <c r="B723" s="127"/>
      <c r="C723" s="127"/>
      <c r="D723" s="108"/>
      <c r="E723" s="109"/>
      <c r="F723" s="58"/>
      <c r="G723" s="135"/>
      <c r="H723" s="129"/>
      <c r="I723" s="129"/>
      <c r="J723" s="130" t="b">
        <v>0</v>
      </c>
      <c r="K723" s="58"/>
      <c r="L723" s="131" t="str">
        <f t="shared" si="8"/>
        <v/>
      </c>
      <c r="M723" s="108"/>
      <c r="N723" s="109"/>
      <c r="O723" s="109"/>
      <c r="P723" s="109"/>
      <c r="Q723" s="58"/>
      <c r="R723" s="136" t="b">
        <v>0</v>
      </c>
      <c r="S723" s="58"/>
      <c r="T723" s="80"/>
      <c r="U723" s="80"/>
      <c r="V723" s="80"/>
      <c r="W723" s="80"/>
      <c r="X723" s="80"/>
      <c r="Y723" s="80"/>
      <c r="Z723" s="80"/>
      <c r="AA723" s="81"/>
      <c r="AB723" s="81"/>
      <c r="AC723" s="81"/>
      <c r="AD723" s="81"/>
      <c r="AE723" s="81"/>
    </row>
    <row r="724">
      <c r="A724" s="16"/>
      <c r="B724" s="127"/>
      <c r="C724" s="127"/>
      <c r="D724" s="108"/>
      <c r="E724" s="109"/>
      <c r="F724" s="58"/>
      <c r="G724" s="135"/>
      <c r="H724" s="129"/>
      <c r="I724" s="129"/>
      <c r="J724" s="130" t="b">
        <v>0</v>
      </c>
      <c r="K724" s="58"/>
      <c r="L724" s="131" t="str">
        <f t="shared" si="8"/>
        <v/>
      </c>
      <c r="M724" s="108"/>
      <c r="N724" s="109"/>
      <c r="O724" s="109"/>
      <c r="P724" s="109"/>
      <c r="Q724" s="58"/>
      <c r="R724" s="136" t="b">
        <v>0</v>
      </c>
      <c r="S724" s="58"/>
      <c r="T724" s="80"/>
      <c r="U724" s="80"/>
      <c r="V724" s="80"/>
      <c r="W724" s="80"/>
      <c r="X724" s="80"/>
      <c r="Y724" s="80"/>
      <c r="Z724" s="80"/>
      <c r="AA724" s="81"/>
      <c r="AB724" s="81"/>
      <c r="AC724" s="81"/>
      <c r="AD724" s="81"/>
      <c r="AE724" s="81"/>
    </row>
    <row r="725">
      <c r="A725" s="16"/>
      <c r="B725" s="127"/>
      <c r="C725" s="127"/>
      <c r="D725" s="108"/>
      <c r="E725" s="109"/>
      <c r="F725" s="58"/>
      <c r="G725" s="135"/>
      <c r="H725" s="129"/>
      <c r="I725" s="129"/>
      <c r="J725" s="130" t="b">
        <v>0</v>
      </c>
      <c r="K725" s="58"/>
      <c r="L725" s="131" t="str">
        <f t="shared" si="8"/>
        <v/>
      </c>
      <c r="M725" s="108"/>
      <c r="N725" s="109"/>
      <c r="O725" s="109"/>
      <c r="P725" s="109"/>
      <c r="Q725" s="58"/>
      <c r="R725" s="136" t="b">
        <v>0</v>
      </c>
      <c r="S725" s="58"/>
      <c r="T725" s="80"/>
      <c r="U725" s="80"/>
      <c r="V725" s="80"/>
      <c r="W725" s="80"/>
      <c r="X725" s="80"/>
      <c r="Y725" s="80"/>
      <c r="Z725" s="80"/>
      <c r="AA725" s="81"/>
      <c r="AB725" s="81"/>
      <c r="AC725" s="81"/>
      <c r="AD725" s="81"/>
      <c r="AE725" s="81"/>
    </row>
    <row r="726">
      <c r="A726" s="16"/>
      <c r="B726" s="127"/>
      <c r="C726" s="127"/>
      <c r="D726" s="108"/>
      <c r="E726" s="109"/>
      <c r="F726" s="58"/>
      <c r="G726" s="135"/>
      <c r="H726" s="129"/>
      <c r="I726" s="129"/>
      <c r="J726" s="130" t="b">
        <v>0</v>
      </c>
      <c r="K726" s="58"/>
      <c r="L726" s="131" t="str">
        <f t="shared" si="8"/>
        <v/>
      </c>
      <c r="M726" s="108"/>
      <c r="N726" s="109"/>
      <c r="O726" s="109"/>
      <c r="P726" s="109"/>
      <c r="Q726" s="58"/>
      <c r="R726" s="136" t="b">
        <v>0</v>
      </c>
      <c r="S726" s="58"/>
      <c r="T726" s="80"/>
      <c r="U726" s="80"/>
      <c r="V726" s="80"/>
      <c r="W726" s="80"/>
      <c r="X726" s="80"/>
      <c r="Y726" s="80"/>
      <c r="Z726" s="80"/>
      <c r="AA726" s="81"/>
      <c r="AB726" s="81"/>
      <c r="AC726" s="81"/>
      <c r="AD726" s="81"/>
      <c r="AE726" s="81"/>
    </row>
    <row r="727">
      <c r="A727" s="16"/>
      <c r="B727" s="127"/>
      <c r="C727" s="127"/>
      <c r="D727" s="108"/>
      <c r="E727" s="109"/>
      <c r="F727" s="58"/>
      <c r="G727" s="135"/>
      <c r="H727" s="129"/>
      <c r="I727" s="129"/>
      <c r="J727" s="130" t="b">
        <v>0</v>
      </c>
      <c r="K727" s="58"/>
      <c r="L727" s="131" t="str">
        <f t="shared" si="8"/>
        <v/>
      </c>
      <c r="M727" s="108"/>
      <c r="N727" s="109"/>
      <c r="O727" s="109"/>
      <c r="P727" s="109"/>
      <c r="Q727" s="58"/>
      <c r="R727" s="136" t="b">
        <v>0</v>
      </c>
      <c r="S727" s="58"/>
      <c r="T727" s="80"/>
      <c r="U727" s="80"/>
      <c r="V727" s="80"/>
      <c r="W727" s="80"/>
      <c r="X727" s="80"/>
      <c r="Y727" s="80"/>
      <c r="Z727" s="80"/>
      <c r="AA727" s="81"/>
      <c r="AB727" s="81"/>
      <c r="AC727" s="81"/>
      <c r="AD727" s="81"/>
      <c r="AE727" s="81"/>
    </row>
    <row r="728">
      <c r="A728" s="16"/>
      <c r="B728" s="127"/>
      <c r="C728" s="127"/>
      <c r="D728" s="108"/>
      <c r="E728" s="109"/>
      <c r="F728" s="58"/>
      <c r="G728" s="135"/>
      <c r="H728" s="129"/>
      <c r="I728" s="129"/>
      <c r="J728" s="130" t="b">
        <v>0</v>
      </c>
      <c r="K728" s="58"/>
      <c r="L728" s="131" t="str">
        <f t="shared" si="8"/>
        <v/>
      </c>
      <c r="M728" s="108"/>
      <c r="N728" s="109"/>
      <c r="O728" s="109"/>
      <c r="P728" s="109"/>
      <c r="Q728" s="58"/>
      <c r="R728" s="136" t="b">
        <v>0</v>
      </c>
      <c r="S728" s="58"/>
      <c r="T728" s="80"/>
      <c r="U728" s="80"/>
      <c r="V728" s="80"/>
      <c r="W728" s="80"/>
      <c r="X728" s="80"/>
      <c r="Y728" s="80"/>
      <c r="Z728" s="80"/>
      <c r="AA728" s="81"/>
      <c r="AB728" s="81"/>
      <c r="AC728" s="81"/>
      <c r="AD728" s="81"/>
      <c r="AE728" s="81"/>
    </row>
    <row r="729">
      <c r="A729" s="16"/>
      <c r="B729" s="127"/>
      <c r="C729" s="127"/>
      <c r="D729" s="108"/>
      <c r="E729" s="109"/>
      <c r="F729" s="58"/>
      <c r="G729" s="135"/>
      <c r="H729" s="129"/>
      <c r="I729" s="129"/>
      <c r="J729" s="130" t="b">
        <v>0</v>
      </c>
      <c r="K729" s="58"/>
      <c r="L729" s="131" t="str">
        <f t="shared" si="8"/>
        <v/>
      </c>
      <c r="M729" s="108"/>
      <c r="N729" s="109"/>
      <c r="O729" s="109"/>
      <c r="P729" s="109"/>
      <c r="Q729" s="58"/>
      <c r="R729" s="136" t="b">
        <v>0</v>
      </c>
      <c r="S729" s="58"/>
      <c r="T729" s="80"/>
      <c r="U729" s="80"/>
      <c r="V729" s="80"/>
      <c r="W729" s="80"/>
      <c r="X729" s="80"/>
      <c r="Y729" s="80"/>
      <c r="Z729" s="80"/>
      <c r="AA729" s="81"/>
      <c r="AB729" s="81"/>
      <c r="AC729" s="81"/>
      <c r="AD729" s="81"/>
      <c r="AE729" s="81"/>
    </row>
    <row r="730">
      <c r="A730" s="16"/>
      <c r="B730" s="127"/>
      <c r="C730" s="127"/>
      <c r="D730" s="108"/>
      <c r="E730" s="109"/>
      <c r="F730" s="58"/>
      <c r="G730" s="135"/>
      <c r="H730" s="129"/>
      <c r="I730" s="129"/>
      <c r="J730" s="130" t="b">
        <v>0</v>
      </c>
      <c r="K730" s="58"/>
      <c r="L730" s="131" t="str">
        <f t="shared" si="8"/>
        <v/>
      </c>
      <c r="M730" s="108"/>
      <c r="N730" s="109"/>
      <c r="O730" s="109"/>
      <c r="P730" s="109"/>
      <c r="Q730" s="58"/>
      <c r="R730" s="136" t="b">
        <v>0</v>
      </c>
      <c r="S730" s="58"/>
      <c r="T730" s="80"/>
      <c r="U730" s="80"/>
      <c r="V730" s="80"/>
      <c r="W730" s="80"/>
      <c r="X730" s="80"/>
      <c r="Y730" s="80"/>
      <c r="Z730" s="80"/>
      <c r="AA730" s="81"/>
      <c r="AB730" s="81"/>
      <c r="AC730" s="81"/>
      <c r="AD730" s="81"/>
      <c r="AE730" s="81"/>
    </row>
    <row r="731">
      <c r="A731" s="16"/>
      <c r="B731" s="127"/>
      <c r="C731" s="127"/>
      <c r="D731" s="108"/>
      <c r="E731" s="109"/>
      <c r="F731" s="58"/>
      <c r="G731" s="135"/>
      <c r="H731" s="129"/>
      <c r="I731" s="129"/>
      <c r="J731" s="130" t="b">
        <v>0</v>
      </c>
      <c r="K731" s="58"/>
      <c r="L731" s="131" t="str">
        <f t="shared" si="8"/>
        <v/>
      </c>
      <c r="M731" s="108"/>
      <c r="N731" s="109"/>
      <c r="O731" s="109"/>
      <c r="P731" s="109"/>
      <c r="Q731" s="58"/>
      <c r="R731" s="136" t="b">
        <v>0</v>
      </c>
      <c r="S731" s="58"/>
      <c r="T731" s="80"/>
      <c r="U731" s="80"/>
      <c r="V731" s="80"/>
      <c r="W731" s="80"/>
      <c r="X731" s="80"/>
      <c r="Y731" s="80"/>
      <c r="Z731" s="80"/>
      <c r="AA731" s="81"/>
      <c r="AB731" s="81"/>
      <c r="AC731" s="81"/>
      <c r="AD731" s="81"/>
      <c r="AE731" s="81"/>
    </row>
    <row r="732">
      <c r="A732" s="16"/>
      <c r="B732" s="127"/>
      <c r="C732" s="127"/>
      <c r="D732" s="108"/>
      <c r="E732" s="109"/>
      <c r="F732" s="58"/>
      <c r="G732" s="135"/>
      <c r="H732" s="129"/>
      <c r="I732" s="129"/>
      <c r="J732" s="130" t="b">
        <v>0</v>
      </c>
      <c r="K732" s="58"/>
      <c r="L732" s="131" t="str">
        <f t="shared" si="8"/>
        <v/>
      </c>
      <c r="M732" s="108"/>
      <c r="N732" s="109"/>
      <c r="O732" s="109"/>
      <c r="P732" s="109"/>
      <c r="Q732" s="58"/>
      <c r="R732" s="136" t="b">
        <v>0</v>
      </c>
      <c r="S732" s="58"/>
      <c r="T732" s="80"/>
      <c r="U732" s="80"/>
      <c r="V732" s="80"/>
      <c r="W732" s="80"/>
      <c r="X732" s="80"/>
      <c r="Y732" s="80"/>
      <c r="Z732" s="80"/>
      <c r="AA732" s="81"/>
      <c r="AB732" s="81"/>
      <c r="AC732" s="81"/>
      <c r="AD732" s="81"/>
      <c r="AE732" s="81"/>
    </row>
    <row r="733">
      <c r="A733" s="16"/>
      <c r="B733" s="127"/>
      <c r="C733" s="127"/>
      <c r="D733" s="108"/>
      <c r="E733" s="109"/>
      <c r="F733" s="58"/>
      <c r="G733" s="135"/>
      <c r="H733" s="129"/>
      <c r="I733" s="129"/>
      <c r="J733" s="130" t="b">
        <v>0</v>
      </c>
      <c r="K733" s="58"/>
      <c r="L733" s="131" t="str">
        <f t="shared" si="8"/>
        <v/>
      </c>
      <c r="M733" s="108"/>
      <c r="N733" s="109"/>
      <c r="O733" s="109"/>
      <c r="P733" s="109"/>
      <c r="Q733" s="58"/>
      <c r="R733" s="136" t="b">
        <v>0</v>
      </c>
      <c r="S733" s="58"/>
      <c r="T733" s="80"/>
      <c r="U733" s="80"/>
      <c r="V733" s="80"/>
      <c r="W733" s="80"/>
      <c r="X733" s="80"/>
      <c r="Y733" s="80"/>
      <c r="Z733" s="80"/>
      <c r="AA733" s="81"/>
      <c r="AB733" s="81"/>
      <c r="AC733" s="81"/>
      <c r="AD733" s="81"/>
      <c r="AE733" s="81"/>
    </row>
    <row r="734">
      <c r="A734" s="16"/>
      <c r="B734" s="127"/>
      <c r="C734" s="127"/>
      <c r="D734" s="108"/>
      <c r="E734" s="109"/>
      <c r="F734" s="58"/>
      <c r="G734" s="135"/>
      <c r="H734" s="129"/>
      <c r="I734" s="129"/>
      <c r="J734" s="130" t="b">
        <v>0</v>
      </c>
      <c r="K734" s="58"/>
      <c r="L734" s="131" t="str">
        <f t="shared" si="8"/>
        <v/>
      </c>
      <c r="M734" s="108"/>
      <c r="N734" s="109"/>
      <c r="O734" s="109"/>
      <c r="P734" s="109"/>
      <c r="Q734" s="58"/>
      <c r="R734" s="136" t="b">
        <v>0</v>
      </c>
      <c r="S734" s="58"/>
      <c r="T734" s="80"/>
      <c r="U734" s="80"/>
      <c r="V734" s="80"/>
      <c r="W734" s="80"/>
      <c r="X734" s="80"/>
      <c r="Y734" s="80"/>
      <c r="Z734" s="80"/>
      <c r="AA734" s="81"/>
      <c r="AB734" s="81"/>
      <c r="AC734" s="81"/>
      <c r="AD734" s="81"/>
      <c r="AE734" s="81"/>
    </row>
    <row r="735">
      <c r="A735" s="16"/>
      <c r="B735" s="127"/>
      <c r="C735" s="127"/>
      <c r="D735" s="108"/>
      <c r="E735" s="109"/>
      <c r="F735" s="58"/>
      <c r="G735" s="135"/>
      <c r="H735" s="129"/>
      <c r="I735" s="129"/>
      <c r="J735" s="130" t="b">
        <v>0</v>
      </c>
      <c r="K735" s="58"/>
      <c r="L735" s="131" t="str">
        <f t="shared" si="8"/>
        <v/>
      </c>
      <c r="M735" s="108"/>
      <c r="N735" s="109"/>
      <c r="O735" s="109"/>
      <c r="P735" s="109"/>
      <c r="Q735" s="58"/>
      <c r="R735" s="136" t="b">
        <v>0</v>
      </c>
      <c r="S735" s="58"/>
      <c r="T735" s="80"/>
      <c r="U735" s="80"/>
      <c r="V735" s="80"/>
      <c r="W735" s="80"/>
      <c r="X735" s="80"/>
      <c r="Y735" s="80"/>
      <c r="Z735" s="80"/>
      <c r="AA735" s="81"/>
      <c r="AB735" s="81"/>
      <c r="AC735" s="81"/>
      <c r="AD735" s="81"/>
      <c r="AE735" s="81"/>
    </row>
    <row r="736">
      <c r="A736" s="16"/>
      <c r="B736" s="127"/>
      <c r="C736" s="127"/>
      <c r="D736" s="108"/>
      <c r="E736" s="109"/>
      <c r="F736" s="58"/>
      <c r="G736" s="135"/>
      <c r="H736" s="129"/>
      <c r="I736" s="129"/>
      <c r="J736" s="130" t="b">
        <v>0</v>
      </c>
      <c r="K736" s="58"/>
      <c r="L736" s="131" t="str">
        <f t="shared" si="8"/>
        <v/>
      </c>
      <c r="M736" s="108"/>
      <c r="N736" s="109"/>
      <c r="O736" s="109"/>
      <c r="P736" s="109"/>
      <c r="Q736" s="58"/>
      <c r="R736" s="136" t="b">
        <v>0</v>
      </c>
      <c r="S736" s="58"/>
      <c r="T736" s="80"/>
      <c r="U736" s="80"/>
      <c r="V736" s="80"/>
      <c r="W736" s="80"/>
      <c r="X736" s="80"/>
      <c r="Y736" s="80"/>
      <c r="Z736" s="80"/>
      <c r="AA736" s="81"/>
      <c r="AB736" s="81"/>
      <c r="AC736" s="81"/>
      <c r="AD736" s="81"/>
      <c r="AE736" s="81"/>
    </row>
    <row r="737">
      <c r="A737" s="16"/>
      <c r="B737" s="127"/>
      <c r="C737" s="127"/>
      <c r="D737" s="108"/>
      <c r="E737" s="109"/>
      <c r="F737" s="58"/>
      <c r="G737" s="135"/>
      <c r="H737" s="129"/>
      <c r="I737" s="129"/>
      <c r="J737" s="130" t="b">
        <v>0</v>
      </c>
      <c r="K737" s="58"/>
      <c r="L737" s="131" t="str">
        <f t="shared" si="8"/>
        <v/>
      </c>
      <c r="M737" s="108"/>
      <c r="N737" s="109"/>
      <c r="O737" s="109"/>
      <c r="P737" s="109"/>
      <c r="Q737" s="58"/>
      <c r="R737" s="136" t="b">
        <v>0</v>
      </c>
      <c r="S737" s="58"/>
      <c r="T737" s="80"/>
      <c r="U737" s="80"/>
      <c r="V737" s="80"/>
      <c r="W737" s="80"/>
      <c r="X737" s="80"/>
      <c r="Y737" s="80"/>
      <c r="Z737" s="80"/>
      <c r="AA737" s="81"/>
      <c r="AB737" s="81"/>
      <c r="AC737" s="81"/>
      <c r="AD737" s="81"/>
      <c r="AE737" s="81"/>
    </row>
    <row r="738">
      <c r="A738" s="16"/>
      <c r="B738" s="127"/>
      <c r="C738" s="127"/>
      <c r="D738" s="108"/>
      <c r="E738" s="109"/>
      <c r="F738" s="58"/>
      <c r="G738" s="135"/>
      <c r="H738" s="129"/>
      <c r="I738" s="129"/>
      <c r="J738" s="130" t="b">
        <v>0</v>
      </c>
      <c r="K738" s="58"/>
      <c r="L738" s="131" t="str">
        <f t="shared" si="8"/>
        <v/>
      </c>
      <c r="M738" s="108"/>
      <c r="N738" s="109"/>
      <c r="O738" s="109"/>
      <c r="P738" s="109"/>
      <c r="Q738" s="58"/>
      <c r="R738" s="136" t="b">
        <v>0</v>
      </c>
      <c r="S738" s="58"/>
      <c r="T738" s="80"/>
      <c r="U738" s="80"/>
      <c r="V738" s="80"/>
      <c r="W738" s="80"/>
      <c r="X738" s="80"/>
      <c r="Y738" s="80"/>
      <c r="Z738" s="80"/>
      <c r="AA738" s="81"/>
      <c r="AB738" s="81"/>
      <c r="AC738" s="81"/>
      <c r="AD738" s="81"/>
      <c r="AE738" s="81"/>
    </row>
    <row r="739">
      <c r="A739" s="16"/>
      <c r="B739" s="127"/>
      <c r="C739" s="127"/>
      <c r="D739" s="108"/>
      <c r="E739" s="109"/>
      <c r="F739" s="58"/>
      <c r="G739" s="135"/>
      <c r="H739" s="129"/>
      <c r="I739" s="129"/>
      <c r="J739" s="130" t="b">
        <v>0</v>
      </c>
      <c r="K739" s="58"/>
      <c r="L739" s="131" t="str">
        <f t="shared" si="8"/>
        <v/>
      </c>
      <c r="M739" s="108"/>
      <c r="N739" s="109"/>
      <c r="O739" s="109"/>
      <c r="P739" s="109"/>
      <c r="Q739" s="58"/>
      <c r="R739" s="136" t="b">
        <v>0</v>
      </c>
      <c r="S739" s="58"/>
      <c r="T739" s="80"/>
      <c r="U739" s="80"/>
      <c r="V739" s="80"/>
      <c r="W739" s="80"/>
      <c r="X739" s="80"/>
      <c r="Y739" s="80"/>
      <c r="Z739" s="80"/>
      <c r="AA739" s="81"/>
      <c r="AB739" s="81"/>
      <c r="AC739" s="81"/>
      <c r="AD739" s="81"/>
      <c r="AE739" s="81"/>
    </row>
    <row r="740">
      <c r="A740" s="16"/>
      <c r="B740" s="127"/>
      <c r="C740" s="127"/>
      <c r="D740" s="108"/>
      <c r="E740" s="109"/>
      <c r="F740" s="58"/>
      <c r="G740" s="135"/>
      <c r="H740" s="129"/>
      <c r="I740" s="129"/>
      <c r="J740" s="130" t="b">
        <v>0</v>
      </c>
      <c r="K740" s="58"/>
      <c r="L740" s="131" t="str">
        <f t="shared" si="8"/>
        <v/>
      </c>
      <c r="M740" s="108"/>
      <c r="N740" s="109"/>
      <c r="O740" s="109"/>
      <c r="P740" s="109"/>
      <c r="Q740" s="58"/>
      <c r="R740" s="136" t="b">
        <v>0</v>
      </c>
      <c r="S740" s="58"/>
      <c r="T740" s="80"/>
      <c r="U740" s="80"/>
      <c r="V740" s="80"/>
      <c r="W740" s="80"/>
      <c r="X740" s="80"/>
      <c r="Y740" s="80"/>
      <c r="Z740" s="80"/>
      <c r="AA740" s="81"/>
      <c r="AB740" s="81"/>
      <c r="AC740" s="81"/>
      <c r="AD740" s="81"/>
      <c r="AE740" s="81"/>
    </row>
    <row r="741">
      <c r="A741" s="16"/>
      <c r="B741" s="127"/>
      <c r="C741" s="127"/>
      <c r="D741" s="108"/>
      <c r="E741" s="109"/>
      <c r="F741" s="58"/>
      <c r="G741" s="135"/>
      <c r="H741" s="129"/>
      <c r="I741" s="129"/>
      <c r="J741" s="130" t="b">
        <v>0</v>
      </c>
      <c r="K741" s="58"/>
      <c r="L741" s="131" t="str">
        <f t="shared" si="8"/>
        <v/>
      </c>
      <c r="M741" s="108"/>
      <c r="N741" s="109"/>
      <c r="O741" s="109"/>
      <c r="P741" s="109"/>
      <c r="Q741" s="58"/>
      <c r="R741" s="136" t="b">
        <v>0</v>
      </c>
      <c r="S741" s="58"/>
      <c r="T741" s="80"/>
      <c r="U741" s="80"/>
      <c r="V741" s="80"/>
      <c r="W741" s="80"/>
      <c r="X741" s="80"/>
      <c r="Y741" s="80"/>
      <c r="Z741" s="80"/>
      <c r="AA741" s="81"/>
      <c r="AB741" s="81"/>
      <c r="AC741" s="81"/>
      <c r="AD741" s="81"/>
      <c r="AE741" s="81"/>
    </row>
    <row r="742">
      <c r="A742" s="16"/>
      <c r="B742" s="127"/>
      <c r="C742" s="127"/>
      <c r="D742" s="108"/>
      <c r="E742" s="109"/>
      <c r="F742" s="58"/>
      <c r="G742" s="135"/>
      <c r="H742" s="129"/>
      <c r="I742" s="129"/>
      <c r="J742" s="130" t="b">
        <v>0</v>
      </c>
      <c r="K742" s="58"/>
      <c r="L742" s="131" t="str">
        <f t="shared" si="8"/>
        <v/>
      </c>
      <c r="M742" s="108"/>
      <c r="N742" s="109"/>
      <c r="O742" s="109"/>
      <c r="P742" s="109"/>
      <c r="Q742" s="58"/>
      <c r="R742" s="136" t="b">
        <v>0</v>
      </c>
      <c r="S742" s="58"/>
      <c r="T742" s="80"/>
      <c r="U742" s="80"/>
      <c r="V742" s="80"/>
      <c r="W742" s="80"/>
      <c r="X742" s="80"/>
      <c r="Y742" s="80"/>
      <c r="Z742" s="80"/>
      <c r="AA742" s="81"/>
      <c r="AB742" s="81"/>
      <c r="AC742" s="81"/>
      <c r="AD742" s="81"/>
      <c r="AE742" s="81"/>
    </row>
    <row r="743">
      <c r="A743" s="16"/>
      <c r="B743" s="127"/>
      <c r="C743" s="127"/>
      <c r="D743" s="108"/>
      <c r="E743" s="109"/>
      <c r="F743" s="58"/>
      <c r="G743" s="135"/>
      <c r="H743" s="129"/>
      <c r="I743" s="129"/>
      <c r="J743" s="130" t="b">
        <v>0</v>
      </c>
      <c r="K743" s="58"/>
      <c r="L743" s="131" t="str">
        <f t="shared" si="8"/>
        <v/>
      </c>
      <c r="M743" s="108"/>
      <c r="N743" s="109"/>
      <c r="O743" s="109"/>
      <c r="P743" s="109"/>
      <c r="Q743" s="58"/>
      <c r="R743" s="136" t="b">
        <v>0</v>
      </c>
      <c r="S743" s="58"/>
      <c r="T743" s="80"/>
      <c r="U743" s="80"/>
      <c r="V743" s="80"/>
      <c r="W743" s="80"/>
      <c r="X743" s="80"/>
      <c r="Y743" s="80"/>
      <c r="Z743" s="80"/>
      <c r="AA743" s="81"/>
      <c r="AB743" s="81"/>
      <c r="AC743" s="81"/>
      <c r="AD743" s="81"/>
      <c r="AE743" s="81"/>
    </row>
    <row r="744">
      <c r="A744" s="16"/>
      <c r="B744" s="127"/>
      <c r="C744" s="127"/>
      <c r="D744" s="108"/>
      <c r="E744" s="109"/>
      <c r="F744" s="58"/>
      <c r="G744" s="135"/>
      <c r="H744" s="129"/>
      <c r="I744" s="129"/>
      <c r="J744" s="130" t="b">
        <v>0</v>
      </c>
      <c r="K744" s="58"/>
      <c r="L744" s="131" t="str">
        <f t="shared" si="8"/>
        <v/>
      </c>
      <c r="M744" s="108"/>
      <c r="N744" s="109"/>
      <c r="O744" s="109"/>
      <c r="P744" s="109"/>
      <c r="Q744" s="58"/>
      <c r="R744" s="136" t="b">
        <v>0</v>
      </c>
      <c r="S744" s="58"/>
      <c r="T744" s="80"/>
      <c r="U744" s="80"/>
      <c r="V744" s="80"/>
      <c r="W744" s="80"/>
      <c r="X744" s="80"/>
      <c r="Y744" s="80"/>
      <c r="Z744" s="80"/>
      <c r="AA744" s="81"/>
      <c r="AB744" s="81"/>
      <c r="AC744" s="81"/>
      <c r="AD744" s="81"/>
      <c r="AE744" s="81"/>
    </row>
    <row r="745">
      <c r="A745" s="16"/>
      <c r="B745" s="127"/>
      <c r="C745" s="127"/>
      <c r="D745" s="108"/>
      <c r="E745" s="109"/>
      <c r="F745" s="58"/>
      <c r="G745" s="135"/>
      <c r="H745" s="129"/>
      <c r="I745" s="129"/>
      <c r="J745" s="130" t="b">
        <v>0</v>
      </c>
      <c r="K745" s="58"/>
      <c r="L745" s="131" t="str">
        <f t="shared" si="8"/>
        <v/>
      </c>
      <c r="M745" s="108"/>
      <c r="N745" s="109"/>
      <c r="O745" s="109"/>
      <c r="P745" s="109"/>
      <c r="Q745" s="58"/>
      <c r="R745" s="136" t="b">
        <v>0</v>
      </c>
      <c r="S745" s="58"/>
      <c r="T745" s="80"/>
      <c r="U745" s="80"/>
      <c r="V745" s="80"/>
      <c r="W745" s="80"/>
      <c r="X745" s="80"/>
      <c r="Y745" s="80"/>
      <c r="Z745" s="80"/>
      <c r="AA745" s="81"/>
      <c r="AB745" s="81"/>
      <c r="AC745" s="81"/>
      <c r="AD745" s="81"/>
      <c r="AE745" s="81"/>
    </row>
    <row r="746">
      <c r="A746" s="16"/>
      <c r="B746" s="127"/>
      <c r="C746" s="127"/>
      <c r="D746" s="108"/>
      <c r="E746" s="109"/>
      <c r="F746" s="58"/>
      <c r="G746" s="135"/>
      <c r="H746" s="129"/>
      <c r="I746" s="129"/>
      <c r="J746" s="130" t="b">
        <v>0</v>
      </c>
      <c r="K746" s="58"/>
      <c r="L746" s="131" t="str">
        <f t="shared" si="8"/>
        <v/>
      </c>
      <c r="M746" s="108"/>
      <c r="N746" s="109"/>
      <c r="O746" s="109"/>
      <c r="P746" s="109"/>
      <c r="Q746" s="58"/>
      <c r="R746" s="136" t="b">
        <v>0</v>
      </c>
      <c r="S746" s="58"/>
      <c r="T746" s="80"/>
      <c r="U746" s="80"/>
      <c r="V746" s="80"/>
      <c r="W746" s="80"/>
      <c r="X746" s="80"/>
      <c r="Y746" s="80"/>
      <c r="Z746" s="80"/>
      <c r="AA746" s="81"/>
      <c r="AB746" s="81"/>
      <c r="AC746" s="81"/>
      <c r="AD746" s="81"/>
      <c r="AE746" s="81"/>
    </row>
    <row r="747">
      <c r="A747" s="16"/>
      <c r="B747" s="127"/>
      <c r="C747" s="127"/>
      <c r="D747" s="108"/>
      <c r="E747" s="109"/>
      <c r="F747" s="58"/>
      <c r="G747" s="135"/>
      <c r="H747" s="129"/>
      <c r="I747" s="129"/>
      <c r="J747" s="130" t="b">
        <v>0</v>
      </c>
      <c r="K747" s="58"/>
      <c r="L747" s="131" t="str">
        <f t="shared" si="8"/>
        <v/>
      </c>
      <c r="M747" s="108"/>
      <c r="N747" s="109"/>
      <c r="O747" s="109"/>
      <c r="P747" s="109"/>
      <c r="Q747" s="58"/>
      <c r="R747" s="136" t="b">
        <v>0</v>
      </c>
      <c r="S747" s="58"/>
      <c r="T747" s="80"/>
      <c r="U747" s="80"/>
      <c r="V747" s="80"/>
      <c r="W747" s="80"/>
      <c r="X747" s="80"/>
      <c r="Y747" s="80"/>
      <c r="Z747" s="80"/>
      <c r="AA747" s="81"/>
      <c r="AB747" s="81"/>
      <c r="AC747" s="81"/>
      <c r="AD747" s="81"/>
      <c r="AE747" s="81"/>
    </row>
    <row r="748">
      <c r="A748" s="16"/>
      <c r="B748" s="127"/>
      <c r="C748" s="127"/>
      <c r="D748" s="108"/>
      <c r="E748" s="109"/>
      <c r="F748" s="58"/>
      <c r="G748" s="135"/>
      <c r="H748" s="129"/>
      <c r="I748" s="129"/>
      <c r="J748" s="130" t="b">
        <v>0</v>
      </c>
      <c r="K748" s="58"/>
      <c r="L748" s="131" t="str">
        <f t="shared" si="8"/>
        <v/>
      </c>
      <c r="M748" s="108"/>
      <c r="N748" s="109"/>
      <c r="O748" s="109"/>
      <c r="P748" s="109"/>
      <c r="Q748" s="58"/>
      <c r="R748" s="136" t="b">
        <v>0</v>
      </c>
      <c r="S748" s="58"/>
      <c r="T748" s="80"/>
      <c r="U748" s="80"/>
      <c r="V748" s="80"/>
      <c r="W748" s="80"/>
      <c r="X748" s="80"/>
      <c r="Y748" s="80"/>
      <c r="Z748" s="80"/>
      <c r="AA748" s="81"/>
      <c r="AB748" s="81"/>
      <c r="AC748" s="81"/>
      <c r="AD748" s="81"/>
      <c r="AE748" s="81"/>
    </row>
    <row r="749">
      <c r="A749" s="16"/>
      <c r="B749" s="127"/>
      <c r="C749" s="127"/>
      <c r="D749" s="108"/>
      <c r="E749" s="109"/>
      <c r="F749" s="58"/>
      <c r="G749" s="135"/>
      <c r="H749" s="129"/>
      <c r="I749" s="129"/>
      <c r="J749" s="130" t="b">
        <v>0</v>
      </c>
      <c r="K749" s="58"/>
      <c r="L749" s="131" t="str">
        <f t="shared" si="8"/>
        <v/>
      </c>
      <c r="M749" s="108"/>
      <c r="N749" s="109"/>
      <c r="O749" s="109"/>
      <c r="P749" s="109"/>
      <c r="Q749" s="58"/>
      <c r="R749" s="136" t="b">
        <v>0</v>
      </c>
      <c r="S749" s="58"/>
      <c r="T749" s="80"/>
      <c r="U749" s="80"/>
      <c r="V749" s="80"/>
      <c r="W749" s="80"/>
      <c r="X749" s="80"/>
      <c r="Y749" s="80"/>
      <c r="Z749" s="80"/>
      <c r="AA749" s="81"/>
      <c r="AB749" s="81"/>
      <c r="AC749" s="81"/>
      <c r="AD749" s="81"/>
      <c r="AE749" s="81"/>
    </row>
    <row r="750">
      <c r="A750" s="16"/>
      <c r="B750" s="127"/>
      <c r="C750" s="127"/>
      <c r="D750" s="108"/>
      <c r="E750" s="109"/>
      <c r="F750" s="58"/>
      <c r="G750" s="135"/>
      <c r="H750" s="129"/>
      <c r="I750" s="129"/>
      <c r="J750" s="130" t="b">
        <v>0</v>
      </c>
      <c r="K750" s="58"/>
      <c r="L750" s="131" t="str">
        <f t="shared" si="8"/>
        <v/>
      </c>
      <c r="M750" s="108"/>
      <c r="N750" s="109"/>
      <c r="O750" s="109"/>
      <c r="P750" s="109"/>
      <c r="Q750" s="58"/>
      <c r="R750" s="136" t="b">
        <v>0</v>
      </c>
      <c r="S750" s="58"/>
      <c r="T750" s="80"/>
      <c r="U750" s="80"/>
      <c r="V750" s="80"/>
      <c r="W750" s="80"/>
      <c r="X750" s="80"/>
      <c r="Y750" s="80"/>
      <c r="Z750" s="80"/>
      <c r="AA750" s="81"/>
      <c r="AB750" s="81"/>
      <c r="AC750" s="81"/>
      <c r="AD750" s="81"/>
      <c r="AE750" s="81"/>
    </row>
    <row r="751">
      <c r="A751" s="16"/>
      <c r="B751" s="127"/>
      <c r="C751" s="127"/>
      <c r="D751" s="108"/>
      <c r="E751" s="109"/>
      <c r="F751" s="58"/>
      <c r="G751" s="135"/>
      <c r="H751" s="129"/>
      <c r="I751" s="129"/>
      <c r="J751" s="130" t="b">
        <v>0</v>
      </c>
      <c r="K751" s="58"/>
      <c r="L751" s="131" t="str">
        <f t="shared" si="8"/>
        <v/>
      </c>
      <c r="M751" s="108"/>
      <c r="N751" s="109"/>
      <c r="O751" s="109"/>
      <c r="P751" s="109"/>
      <c r="Q751" s="58"/>
      <c r="R751" s="136" t="b">
        <v>0</v>
      </c>
      <c r="S751" s="58"/>
      <c r="T751" s="80"/>
      <c r="U751" s="80"/>
      <c r="V751" s="80"/>
      <c r="W751" s="80"/>
      <c r="X751" s="80"/>
      <c r="Y751" s="80"/>
      <c r="Z751" s="80"/>
      <c r="AA751" s="81"/>
      <c r="AB751" s="81"/>
      <c r="AC751" s="81"/>
      <c r="AD751" s="81"/>
      <c r="AE751" s="81"/>
    </row>
    <row r="752">
      <c r="A752" s="16"/>
      <c r="B752" s="127"/>
      <c r="C752" s="127"/>
      <c r="D752" s="108"/>
      <c r="E752" s="109"/>
      <c r="F752" s="58"/>
      <c r="G752" s="135"/>
      <c r="H752" s="129"/>
      <c r="I752" s="129"/>
      <c r="J752" s="130" t="b">
        <v>0</v>
      </c>
      <c r="K752" s="58"/>
      <c r="L752" s="131" t="str">
        <f t="shared" si="8"/>
        <v/>
      </c>
      <c r="M752" s="108"/>
      <c r="N752" s="109"/>
      <c r="O752" s="109"/>
      <c r="P752" s="109"/>
      <c r="Q752" s="58"/>
      <c r="R752" s="136" t="b">
        <v>0</v>
      </c>
      <c r="S752" s="58"/>
      <c r="T752" s="80"/>
      <c r="U752" s="80"/>
      <c r="V752" s="80"/>
      <c r="W752" s="80"/>
      <c r="X752" s="80"/>
      <c r="Y752" s="80"/>
      <c r="Z752" s="80"/>
      <c r="AA752" s="81"/>
      <c r="AB752" s="81"/>
      <c r="AC752" s="81"/>
      <c r="AD752" s="81"/>
      <c r="AE752" s="81"/>
    </row>
    <row r="753">
      <c r="A753" s="16"/>
      <c r="B753" s="127"/>
      <c r="C753" s="127"/>
      <c r="D753" s="108"/>
      <c r="E753" s="109"/>
      <c r="F753" s="58"/>
      <c r="G753" s="135"/>
      <c r="H753" s="129"/>
      <c r="I753" s="129"/>
      <c r="J753" s="130" t="b">
        <v>0</v>
      </c>
      <c r="K753" s="58"/>
      <c r="L753" s="131" t="str">
        <f t="shared" si="8"/>
        <v/>
      </c>
      <c r="M753" s="108"/>
      <c r="N753" s="109"/>
      <c r="O753" s="109"/>
      <c r="P753" s="109"/>
      <c r="Q753" s="58"/>
      <c r="R753" s="136" t="b">
        <v>0</v>
      </c>
      <c r="S753" s="58"/>
      <c r="T753" s="80"/>
      <c r="U753" s="80"/>
      <c r="V753" s="80"/>
      <c r="W753" s="80"/>
      <c r="X753" s="80"/>
      <c r="Y753" s="80"/>
      <c r="Z753" s="80"/>
      <c r="AA753" s="81"/>
      <c r="AB753" s="81"/>
      <c r="AC753" s="81"/>
      <c r="AD753" s="81"/>
      <c r="AE753" s="81"/>
    </row>
    <row r="754">
      <c r="A754" s="16"/>
      <c r="B754" s="127"/>
      <c r="C754" s="127"/>
      <c r="D754" s="108"/>
      <c r="E754" s="109"/>
      <c r="F754" s="58"/>
      <c r="G754" s="135"/>
      <c r="H754" s="129"/>
      <c r="I754" s="129"/>
      <c r="J754" s="130" t="b">
        <v>0</v>
      </c>
      <c r="K754" s="58"/>
      <c r="L754" s="131" t="str">
        <f t="shared" si="8"/>
        <v/>
      </c>
      <c r="M754" s="108"/>
      <c r="N754" s="109"/>
      <c r="O754" s="109"/>
      <c r="P754" s="109"/>
      <c r="Q754" s="58"/>
      <c r="R754" s="136" t="b">
        <v>0</v>
      </c>
      <c r="S754" s="58"/>
      <c r="T754" s="80"/>
      <c r="U754" s="80"/>
      <c r="V754" s="80"/>
      <c r="W754" s="80"/>
      <c r="X754" s="80"/>
      <c r="Y754" s="80"/>
      <c r="Z754" s="80"/>
      <c r="AA754" s="81"/>
      <c r="AB754" s="81"/>
      <c r="AC754" s="81"/>
      <c r="AD754" s="81"/>
      <c r="AE754" s="81"/>
    </row>
    <row r="755">
      <c r="A755" s="16"/>
      <c r="B755" s="127"/>
      <c r="C755" s="127"/>
      <c r="D755" s="108"/>
      <c r="E755" s="109"/>
      <c r="F755" s="58"/>
      <c r="G755" s="135"/>
      <c r="H755" s="129"/>
      <c r="I755" s="129"/>
      <c r="J755" s="130" t="b">
        <v>0</v>
      </c>
      <c r="K755" s="58"/>
      <c r="L755" s="131" t="str">
        <f t="shared" si="8"/>
        <v/>
      </c>
      <c r="M755" s="108"/>
      <c r="N755" s="109"/>
      <c r="O755" s="109"/>
      <c r="P755" s="109"/>
      <c r="Q755" s="58"/>
      <c r="R755" s="136" t="b">
        <v>0</v>
      </c>
      <c r="S755" s="58"/>
      <c r="T755" s="80"/>
      <c r="U755" s="80"/>
      <c r="V755" s="80"/>
      <c r="W755" s="80"/>
      <c r="X755" s="80"/>
      <c r="Y755" s="80"/>
      <c r="Z755" s="80"/>
      <c r="AA755" s="81"/>
      <c r="AB755" s="81"/>
      <c r="AC755" s="81"/>
      <c r="AD755" s="81"/>
      <c r="AE755" s="81"/>
    </row>
    <row r="756">
      <c r="A756" s="16"/>
      <c r="B756" s="127"/>
      <c r="C756" s="127"/>
      <c r="D756" s="108"/>
      <c r="E756" s="109"/>
      <c r="F756" s="58"/>
      <c r="G756" s="135"/>
      <c r="H756" s="129"/>
      <c r="I756" s="129"/>
      <c r="J756" s="130" t="b">
        <v>0</v>
      </c>
      <c r="K756" s="58"/>
      <c r="L756" s="131" t="str">
        <f t="shared" si="8"/>
        <v/>
      </c>
      <c r="M756" s="108"/>
      <c r="N756" s="109"/>
      <c r="O756" s="109"/>
      <c r="P756" s="109"/>
      <c r="Q756" s="58"/>
      <c r="R756" s="136" t="b">
        <v>0</v>
      </c>
      <c r="S756" s="58"/>
      <c r="T756" s="80"/>
      <c r="U756" s="80"/>
      <c r="V756" s="80"/>
      <c r="W756" s="80"/>
      <c r="X756" s="80"/>
      <c r="Y756" s="80"/>
      <c r="Z756" s="80"/>
      <c r="AA756" s="81"/>
      <c r="AB756" s="81"/>
      <c r="AC756" s="81"/>
      <c r="AD756" s="81"/>
      <c r="AE756" s="81"/>
    </row>
    <row r="757">
      <c r="A757" s="16"/>
      <c r="B757" s="127"/>
      <c r="C757" s="127"/>
      <c r="D757" s="108"/>
      <c r="E757" s="109"/>
      <c r="F757" s="58"/>
      <c r="G757" s="135"/>
      <c r="H757" s="129"/>
      <c r="I757" s="129"/>
      <c r="J757" s="130" t="b">
        <v>0</v>
      </c>
      <c r="K757" s="58"/>
      <c r="L757" s="131" t="str">
        <f t="shared" si="8"/>
        <v/>
      </c>
      <c r="M757" s="108"/>
      <c r="N757" s="109"/>
      <c r="O757" s="109"/>
      <c r="P757" s="109"/>
      <c r="Q757" s="58"/>
      <c r="R757" s="136" t="b">
        <v>0</v>
      </c>
      <c r="S757" s="58"/>
      <c r="T757" s="80"/>
      <c r="U757" s="80"/>
      <c r="V757" s="80"/>
      <c r="W757" s="80"/>
      <c r="X757" s="80"/>
      <c r="Y757" s="80"/>
      <c r="Z757" s="80"/>
      <c r="AA757" s="81"/>
      <c r="AB757" s="81"/>
      <c r="AC757" s="81"/>
      <c r="AD757" s="81"/>
      <c r="AE757" s="81"/>
    </row>
    <row r="758">
      <c r="A758" s="16"/>
      <c r="B758" s="127"/>
      <c r="C758" s="127"/>
      <c r="D758" s="108"/>
      <c r="E758" s="109"/>
      <c r="F758" s="58"/>
      <c r="G758" s="135"/>
      <c r="H758" s="129"/>
      <c r="I758" s="129"/>
      <c r="J758" s="130" t="b">
        <v>0</v>
      </c>
      <c r="K758" s="58"/>
      <c r="L758" s="131" t="str">
        <f t="shared" si="8"/>
        <v/>
      </c>
      <c r="M758" s="108"/>
      <c r="N758" s="109"/>
      <c r="O758" s="109"/>
      <c r="P758" s="109"/>
      <c r="Q758" s="58"/>
      <c r="R758" s="136" t="b">
        <v>0</v>
      </c>
      <c r="S758" s="58"/>
      <c r="T758" s="80"/>
      <c r="U758" s="80"/>
      <c r="V758" s="80"/>
      <c r="W758" s="80"/>
      <c r="X758" s="80"/>
      <c r="Y758" s="80"/>
      <c r="Z758" s="80"/>
      <c r="AA758" s="81"/>
      <c r="AB758" s="81"/>
      <c r="AC758" s="81"/>
      <c r="AD758" s="81"/>
      <c r="AE758" s="81"/>
    </row>
    <row r="759">
      <c r="A759" s="16"/>
      <c r="B759" s="127"/>
      <c r="C759" s="127"/>
      <c r="D759" s="108"/>
      <c r="E759" s="109"/>
      <c r="F759" s="58"/>
      <c r="G759" s="135"/>
      <c r="H759" s="129"/>
      <c r="I759" s="129"/>
      <c r="J759" s="130" t="b">
        <v>0</v>
      </c>
      <c r="K759" s="58"/>
      <c r="L759" s="131" t="str">
        <f t="shared" si="8"/>
        <v/>
      </c>
      <c r="M759" s="108"/>
      <c r="N759" s="109"/>
      <c r="O759" s="109"/>
      <c r="P759" s="109"/>
      <c r="Q759" s="58"/>
      <c r="R759" s="136" t="b">
        <v>0</v>
      </c>
      <c r="S759" s="58"/>
      <c r="T759" s="80"/>
      <c r="U759" s="80"/>
      <c r="V759" s="80"/>
      <c r="W759" s="80"/>
      <c r="X759" s="80"/>
      <c r="Y759" s="80"/>
      <c r="Z759" s="80"/>
      <c r="AA759" s="81"/>
      <c r="AB759" s="81"/>
      <c r="AC759" s="81"/>
      <c r="AD759" s="81"/>
      <c r="AE759" s="81"/>
    </row>
    <row r="760">
      <c r="A760" s="16"/>
      <c r="B760" s="127"/>
      <c r="C760" s="127"/>
      <c r="D760" s="108"/>
      <c r="E760" s="109"/>
      <c r="F760" s="58"/>
      <c r="G760" s="135"/>
      <c r="H760" s="129"/>
      <c r="I760" s="129"/>
      <c r="J760" s="130" t="b">
        <v>0</v>
      </c>
      <c r="K760" s="58"/>
      <c r="L760" s="131" t="str">
        <f t="shared" si="8"/>
        <v/>
      </c>
      <c r="M760" s="108"/>
      <c r="N760" s="109"/>
      <c r="O760" s="109"/>
      <c r="P760" s="109"/>
      <c r="Q760" s="58"/>
      <c r="R760" s="136" t="b">
        <v>0</v>
      </c>
      <c r="S760" s="58"/>
      <c r="T760" s="80"/>
      <c r="U760" s="80"/>
      <c r="V760" s="80"/>
      <c r="W760" s="80"/>
      <c r="X760" s="80"/>
      <c r="Y760" s="80"/>
      <c r="Z760" s="80"/>
      <c r="AA760" s="81"/>
      <c r="AB760" s="81"/>
      <c r="AC760" s="81"/>
      <c r="AD760" s="81"/>
      <c r="AE760" s="81"/>
    </row>
    <row r="761">
      <c r="A761" s="16"/>
      <c r="B761" s="127"/>
      <c r="C761" s="127"/>
      <c r="D761" s="108"/>
      <c r="E761" s="109"/>
      <c r="F761" s="58"/>
      <c r="G761" s="135"/>
      <c r="H761" s="129"/>
      <c r="I761" s="129"/>
      <c r="J761" s="130" t="b">
        <v>0</v>
      </c>
      <c r="K761" s="58"/>
      <c r="L761" s="131" t="str">
        <f t="shared" si="8"/>
        <v/>
      </c>
      <c r="M761" s="108"/>
      <c r="N761" s="109"/>
      <c r="O761" s="109"/>
      <c r="P761" s="109"/>
      <c r="Q761" s="58"/>
      <c r="R761" s="136" t="b">
        <v>0</v>
      </c>
      <c r="S761" s="58"/>
      <c r="T761" s="80"/>
      <c r="U761" s="80"/>
      <c r="V761" s="80"/>
      <c r="W761" s="80"/>
      <c r="X761" s="80"/>
      <c r="Y761" s="80"/>
      <c r="Z761" s="80"/>
      <c r="AA761" s="81"/>
      <c r="AB761" s="81"/>
      <c r="AC761" s="81"/>
      <c r="AD761" s="81"/>
      <c r="AE761" s="81"/>
    </row>
    <row r="762">
      <c r="A762" s="16"/>
      <c r="B762" s="127"/>
      <c r="C762" s="127"/>
      <c r="D762" s="108"/>
      <c r="E762" s="109"/>
      <c r="F762" s="58"/>
      <c r="G762" s="135"/>
      <c r="H762" s="129"/>
      <c r="I762" s="129"/>
      <c r="J762" s="130" t="b">
        <v>0</v>
      </c>
      <c r="K762" s="58"/>
      <c r="L762" s="131" t="str">
        <f t="shared" si="8"/>
        <v/>
      </c>
      <c r="M762" s="108"/>
      <c r="N762" s="109"/>
      <c r="O762" s="109"/>
      <c r="P762" s="109"/>
      <c r="Q762" s="58"/>
      <c r="R762" s="136" t="b">
        <v>0</v>
      </c>
      <c r="S762" s="58"/>
      <c r="T762" s="80"/>
      <c r="U762" s="80"/>
      <c r="V762" s="80"/>
      <c r="W762" s="80"/>
      <c r="X762" s="80"/>
      <c r="Y762" s="80"/>
      <c r="Z762" s="80"/>
      <c r="AA762" s="81"/>
      <c r="AB762" s="81"/>
      <c r="AC762" s="81"/>
      <c r="AD762" s="81"/>
      <c r="AE762" s="81"/>
    </row>
    <row r="763">
      <c r="A763" s="16"/>
      <c r="B763" s="127"/>
      <c r="C763" s="127"/>
      <c r="D763" s="108"/>
      <c r="E763" s="109"/>
      <c r="F763" s="58"/>
      <c r="G763" s="135"/>
      <c r="H763" s="129"/>
      <c r="I763" s="129"/>
      <c r="J763" s="130" t="b">
        <v>0</v>
      </c>
      <c r="K763" s="58"/>
      <c r="L763" s="131" t="str">
        <f t="shared" si="8"/>
        <v/>
      </c>
      <c r="M763" s="108"/>
      <c r="N763" s="109"/>
      <c r="O763" s="109"/>
      <c r="P763" s="109"/>
      <c r="Q763" s="58"/>
      <c r="R763" s="136" t="b">
        <v>0</v>
      </c>
      <c r="S763" s="58"/>
      <c r="T763" s="80"/>
      <c r="U763" s="80"/>
      <c r="V763" s="80"/>
      <c r="W763" s="80"/>
      <c r="X763" s="80"/>
      <c r="Y763" s="80"/>
      <c r="Z763" s="80"/>
      <c r="AA763" s="81"/>
      <c r="AB763" s="81"/>
      <c r="AC763" s="81"/>
      <c r="AD763" s="81"/>
      <c r="AE763" s="81"/>
    </row>
    <row r="764">
      <c r="A764" s="16"/>
      <c r="B764" s="127"/>
      <c r="C764" s="127"/>
      <c r="D764" s="108"/>
      <c r="E764" s="109"/>
      <c r="F764" s="58"/>
      <c r="G764" s="135"/>
      <c r="H764" s="129"/>
      <c r="I764" s="129"/>
      <c r="J764" s="130" t="b">
        <v>0</v>
      </c>
      <c r="K764" s="58"/>
      <c r="L764" s="131" t="str">
        <f t="shared" si="8"/>
        <v/>
      </c>
      <c r="M764" s="108"/>
      <c r="N764" s="109"/>
      <c r="O764" s="109"/>
      <c r="P764" s="109"/>
      <c r="Q764" s="58"/>
      <c r="R764" s="136" t="b">
        <v>0</v>
      </c>
      <c r="S764" s="58"/>
      <c r="T764" s="80"/>
      <c r="U764" s="80"/>
      <c r="V764" s="80"/>
      <c r="W764" s="80"/>
      <c r="X764" s="80"/>
      <c r="Y764" s="80"/>
      <c r="Z764" s="80"/>
      <c r="AA764" s="81"/>
      <c r="AB764" s="81"/>
      <c r="AC764" s="81"/>
      <c r="AD764" s="81"/>
      <c r="AE764" s="81"/>
    </row>
    <row r="765">
      <c r="A765" s="16"/>
      <c r="B765" s="127"/>
      <c r="C765" s="127"/>
      <c r="D765" s="108"/>
      <c r="E765" s="109"/>
      <c r="F765" s="58"/>
      <c r="G765" s="135"/>
      <c r="H765" s="129"/>
      <c r="I765" s="129"/>
      <c r="J765" s="130" t="b">
        <v>0</v>
      </c>
      <c r="K765" s="58"/>
      <c r="L765" s="131" t="str">
        <f t="shared" si="8"/>
        <v/>
      </c>
      <c r="M765" s="108"/>
      <c r="N765" s="109"/>
      <c r="O765" s="109"/>
      <c r="P765" s="109"/>
      <c r="Q765" s="58"/>
      <c r="R765" s="136" t="b">
        <v>0</v>
      </c>
      <c r="S765" s="58"/>
      <c r="T765" s="80"/>
      <c r="U765" s="80"/>
      <c r="V765" s="80"/>
      <c r="W765" s="80"/>
      <c r="X765" s="80"/>
      <c r="Y765" s="80"/>
      <c r="Z765" s="80"/>
      <c r="AA765" s="81"/>
      <c r="AB765" s="81"/>
      <c r="AC765" s="81"/>
      <c r="AD765" s="81"/>
      <c r="AE765" s="81"/>
    </row>
    <row r="766">
      <c r="A766" s="16"/>
      <c r="B766" s="127"/>
      <c r="C766" s="127"/>
      <c r="D766" s="108"/>
      <c r="E766" s="109"/>
      <c r="F766" s="58"/>
      <c r="G766" s="135"/>
      <c r="H766" s="129"/>
      <c r="I766" s="129"/>
      <c r="J766" s="130" t="b">
        <v>0</v>
      </c>
      <c r="K766" s="58"/>
      <c r="L766" s="131" t="str">
        <f t="shared" si="8"/>
        <v/>
      </c>
      <c r="M766" s="108"/>
      <c r="N766" s="109"/>
      <c r="O766" s="109"/>
      <c r="P766" s="109"/>
      <c r="Q766" s="58"/>
      <c r="R766" s="136" t="b">
        <v>0</v>
      </c>
      <c r="S766" s="58"/>
      <c r="T766" s="80"/>
      <c r="U766" s="80"/>
      <c r="V766" s="80"/>
      <c r="W766" s="80"/>
      <c r="X766" s="80"/>
      <c r="Y766" s="80"/>
      <c r="Z766" s="80"/>
      <c r="AA766" s="81"/>
      <c r="AB766" s="81"/>
      <c r="AC766" s="81"/>
      <c r="AD766" s="81"/>
      <c r="AE766" s="81"/>
    </row>
    <row r="767">
      <c r="A767" s="16"/>
      <c r="B767" s="127"/>
      <c r="C767" s="127"/>
      <c r="D767" s="108"/>
      <c r="E767" s="109"/>
      <c r="F767" s="58"/>
      <c r="G767" s="135"/>
      <c r="H767" s="129"/>
      <c r="I767" s="129"/>
      <c r="J767" s="130" t="b">
        <v>0</v>
      </c>
      <c r="K767" s="58"/>
      <c r="L767" s="131" t="str">
        <f t="shared" si="8"/>
        <v/>
      </c>
      <c r="M767" s="108"/>
      <c r="N767" s="109"/>
      <c r="O767" s="109"/>
      <c r="P767" s="109"/>
      <c r="Q767" s="58"/>
      <c r="R767" s="136" t="b">
        <v>0</v>
      </c>
      <c r="S767" s="58"/>
      <c r="T767" s="80"/>
      <c r="U767" s="80"/>
      <c r="V767" s="80"/>
      <c r="W767" s="80"/>
      <c r="X767" s="80"/>
      <c r="Y767" s="80"/>
      <c r="Z767" s="80"/>
      <c r="AA767" s="81"/>
      <c r="AB767" s="81"/>
      <c r="AC767" s="81"/>
      <c r="AD767" s="81"/>
      <c r="AE767" s="81"/>
    </row>
    <row r="768">
      <c r="A768" s="16"/>
      <c r="B768" s="127"/>
      <c r="C768" s="127"/>
      <c r="D768" s="108"/>
      <c r="E768" s="109"/>
      <c r="F768" s="58"/>
      <c r="G768" s="135"/>
      <c r="H768" s="129"/>
      <c r="I768" s="129"/>
      <c r="J768" s="130" t="b">
        <v>0</v>
      </c>
      <c r="K768" s="58"/>
      <c r="L768" s="131" t="str">
        <f t="shared" si="8"/>
        <v/>
      </c>
      <c r="M768" s="108"/>
      <c r="N768" s="109"/>
      <c r="O768" s="109"/>
      <c r="P768" s="109"/>
      <c r="Q768" s="58"/>
      <c r="R768" s="136" t="b">
        <v>0</v>
      </c>
      <c r="S768" s="58"/>
      <c r="T768" s="80"/>
      <c r="U768" s="80"/>
      <c r="V768" s="80"/>
      <c r="W768" s="80"/>
      <c r="X768" s="80"/>
      <c r="Y768" s="80"/>
      <c r="Z768" s="80"/>
      <c r="AA768" s="81"/>
      <c r="AB768" s="81"/>
      <c r="AC768" s="81"/>
      <c r="AD768" s="81"/>
      <c r="AE768" s="81"/>
    </row>
    <row r="769">
      <c r="A769" s="16"/>
      <c r="B769" s="127"/>
      <c r="C769" s="127"/>
      <c r="D769" s="108"/>
      <c r="E769" s="109"/>
      <c r="F769" s="58"/>
      <c r="G769" s="135"/>
      <c r="H769" s="129"/>
      <c r="I769" s="129"/>
      <c r="J769" s="130" t="b">
        <v>0</v>
      </c>
      <c r="K769" s="58"/>
      <c r="L769" s="131" t="str">
        <f t="shared" si="8"/>
        <v/>
      </c>
      <c r="M769" s="108"/>
      <c r="N769" s="109"/>
      <c r="O769" s="109"/>
      <c r="P769" s="109"/>
      <c r="Q769" s="58"/>
      <c r="R769" s="136" t="b">
        <v>0</v>
      </c>
      <c r="S769" s="58"/>
      <c r="T769" s="80"/>
      <c r="U769" s="80"/>
      <c r="V769" s="80"/>
      <c r="W769" s="80"/>
      <c r="X769" s="80"/>
      <c r="Y769" s="80"/>
      <c r="Z769" s="80"/>
      <c r="AA769" s="81"/>
      <c r="AB769" s="81"/>
      <c r="AC769" s="81"/>
      <c r="AD769" s="81"/>
      <c r="AE769" s="81"/>
    </row>
    <row r="770">
      <c r="A770" s="16"/>
      <c r="B770" s="127"/>
      <c r="C770" s="127"/>
      <c r="D770" s="108"/>
      <c r="E770" s="109"/>
      <c r="F770" s="58"/>
      <c r="G770" s="135"/>
      <c r="H770" s="129"/>
      <c r="I770" s="129"/>
      <c r="J770" s="130" t="b">
        <v>0</v>
      </c>
      <c r="K770" s="58"/>
      <c r="L770" s="131" t="str">
        <f t="shared" si="8"/>
        <v/>
      </c>
      <c r="M770" s="108"/>
      <c r="N770" s="109"/>
      <c r="O770" s="109"/>
      <c r="P770" s="109"/>
      <c r="Q770" s="58"/>
      <c r="R770" s="136" t="b">
        <v>0</v>
      </c>
      <c r="S770" s="58"/>
      <c r="T770" s="80"/>
      <c r="U770" s="80"/>
      <c r="V770" s="80"/>
      <c r="W770" s="80"/>
      <c r="X770" s="80"/>
      <c r="Y770" s="80"/>
      <c r="Z770" s="80"/>
      <c r="AA770" s="81"/>
      <c r="AB770" s="81"/>
      <c r="AC770" s="81"/>
      <c r="AD770" s="81"/>
      <c r="AE770" s="81"/>
    </row>
    <row r="771">
      <c r="A771" s="16"/>
      <c r="B771" s="127"/>
      <c r="C771" s="127"/>
      <c r="D771" s="108"/>
      <c r="E771" s="109"/>
      <c r="F771" s="58"/>
      <c r="G771" s="135"/>
      <c r="H771" s="129"/>
      <c r="I771" s="129"/>
      <c r="J771" s="130" t="b">
        <v>0</v>
      </c>
      <c r="K771" s="58"/>
      <c r="L771" s="131" t="str">
        <f t="shared" si="8"/>
        <v/>
      </c>
      <c r="M771" s="108"/>
      <c r="N771" s="109"/>
      <c r="O771" s="109"/>
      <c r="P771" s="109"/>
      <c r="Q771" s="58"/>
      <c r="R771" s="136" t="b">
        <v>0</v>
      </c>
      <c r="S771" s="58"/>
      <c r="T771" s="80"/>
      <c r="U771" s="80"/>
      <c r="V771" s="80"/>
      <c r="W771" s="80"/>
      <c r="X771" s="80"/>
      <c r="Y771" s="80"/>
      <c r="Z771" s="80"/>
      <c r="AA771" s="81"/>
      <c r="AB771" s="81"/>
      <c r="AC771" s="81"/>
      <c r="AD771" s="81"/>
      <c r="AE771" s="81"/>
    </row>
    <row r="772">
      <c r="A772" s="16"/>
      <c r="B772" s="127"/>
      <c r="C772" s="127"/>
      <c r="D772" s="108"/>
      <c r="E772" s="109"/>
      <c r="F772" s="58"/>
      <c r="G772" s="135"/>
      <c r="H772" s="129"/>
      <c r="I772" s="129"/>
      <c r="J772" s="130" t="b">
        <v>0</v>
      </c>
      <c r="K772" s="58"/>
      <c r="L772" s="131" t="str">
        <f t="shared" si="8"/>
        <v/>
      </c>
      <c r="M772" s="108"/>
      <c r="N772" s="109"/>
      <c r="O772" s="109"/>
      <c r="P772" s="109"/>
      <c r="Q772" s="58"/>
      <c r="R772" s="136" t="b">
        <v>0</v>
      </c>
      <c r="S772" s="58"/>
      <c r="T772" s="80"/>
      <c r="U772" s="80"/>
      <c r="V772" s="80"/>
      <c r="W772" s="80"/>
      <c r="X772" s="80"/>
      <c r="Y772" s="80"/>
      <c r="Z772" s="80"/>
      <c r="AA772" s="81"/>
      <c r="AB772" s="81"/>
      <c r="AC772" s="81"/>
      <c r="AD772" s="81"/>
      <c r="AE772" s="81"/>
    </row>
    <row r="773">
      <c r="A773" s="16"/>
      <c r="B773" s="127"/>
      <c r="C773" s="127"/>
      <c r="D773" s="108"/>
      <c r="E773" s="109"/>
      <c r="F773" s="58"/>
      <c r="G773" s="135"/>
      <c r="H773" s="129"/>
      <c r="I773" s="129"/>
      <c r="J773" s="130" t="b">
        <v>0</v>
      </c>
      <c r="K773" s="58"/>
      <c r="L773" s="131" t="str">
        <f t="shared" si="8"/>
        <v/>
      </c>
      <c r="M773" s="108"/>
      <c r="N773" s="109"/>
      <c r="O773" s="109"/>
      <c r="P773" s="109"/>
      <c r="Q773" s="58"/>
      <c r="R773" s="136" t="b">
        <v>0</v>
      </c>
      <c r="S773" s="58"/>
      <c r="T773" s="80"/>
      <c r="U773" s="80"/>
      <c r="V773" s="80"/>
      <c r="W773" s="80"/>
      <c r="X773" s="80"/>
      <c r="Y773" s="80"/>
      <c r="Z773" s="80"/>
      <c r="AA773" s="81"/>
      <c r="AB773" s="81"/>
      <c r="AC773" s="81"/>
      <c r="AD773" s="81"/>
      <c r="AE773" s="81"/>
    </row>
    <row r="774">
      <c r="A774" s="16"/>
      <c r="B774" s="127"/>
      <c r="C774" s="127"/>
      <c r="D774" s="108"/>
      <c r="E774" s="109"/>
      <c r="F774" s="58"/>
      <c r="G774" s="135"/>
      <c r="H774" s="129"/>
      <c r="I774" s="129"/>
      <c r="J774" s="130" t="b">
        <v>0</v>
      </c>
      <c r="K774" s="58"/>
      <c r="L774" s="131" t="str">
        <f t="shared" si="8"/>
        <v/>
      </c>
      <c r="M774" s="108"/>
      <c r="N774" s="109"/>
      <c r="O774" s="109"/>
      <c r="P774" s="109"/>
      <c r="Q774" s="58"/>
      <c r="R774" s="136" t="b">
        <v>0</v>
      </c>
      <c r="S774" s="58"/>
      <c r="T774" s="80"/>
      <c r="U774" s="80"/>
      <c r="V774" s="80"/>
      <c r="W774" s="80"/>
      <c r="X774" s="80"/>
      <c r="Y774" s="80"/>
      <c r="Z774" s="80"/>
      <c r="AA774" s="81"/>
      <c r="AB774" s="81"/>
      <c r="AC774" s="81"/>
      <c r="AD774" s="81"/>
      <c r="AE774" s="81"/>
    </row>
    <row r="775">
      <c r="A775" s="16"/>
      <c r="B775" s="127"/>
      <c r="C775" s="127"/>
      <c r="D775" s="108"/>
      <c r="E775" s="109"/>
      <c r="F775" s="58"/>
      <c r="G775" s="135"/>
      <c r="H775" s="129"/>
      <c r="I775" s="129"/>
      <c r="J775" s="130" t="b">
        <v>0</v>
      </c>
      <c r="K775" s="58"/>
      <c r="L775" s="131" t="str">
        <f t="shared" si="8"/>
        <v/>
      </c>
      <c r="M775" s="108"/>
      <c r="N775" s="109"/>
      <c r="O775" s="109"/>
      <c r="P775" s="109"/>
      <c r="Q775" s="58"/>
      <c r="R775" s="136" t="b">
        <v>0</v>
      </c>
      <c r="S775" s="58"/>
      <c r="T775" s="80"/>
      <c r="U775" s="80"/>
      <c r="V775" s="80"/>
      <c r="W775" s="80"/>
      <c r="X775" s="80"/>
      <c r="Y775" s="80"/>
      <c r="Z775" s="80"/>
      <c r="AA775" s="81"/>
      <c r="AB775" s="81"/>
      <c r="AC775" s="81"/>
      <c r="AD775" s="81"/>
      <c r="AE775" s="81"/>
    </row>
    <row r="776">
      <c r="A776" s="16"/>
      <c r="B776" s="127"/>
      <c r="C776" s="127"/>
      <c r="D776" s="108"/>
      <c r="E776" s="109"/>
      <c r="F776" s="58"/>
      <c r="G776" s="135"/>
      <c r="H776" s="129"/>
      <c r="I776" s="129"/>
      <c r="J776" s="130" t="b">
        <v>0</v>
      </c>
      <c r="K776" s="58"/>
      <c r="L776" s="131" t="str">
        <f t="shared" si="8"/>
        <v/>
      </c>
      <c r="M776" s="108"/>
      <c r="N776" s="109"/>
      <c r="O776" s="109"/>
      <c r="P776" s="109"/>
      <c r="Q776" s="58"/>
      <c r="R776" s="136" t="b">
        <v>0</v>
      </c>
      <c r="S776" s="58"/>
      <c r="T776" s="80"/>
      <c r="U776" s="80"/>
      <c r="V776" s="80"/>
      <c r="W776" s="80"/>
      <c r="X776" s="80"/>
      <c r="Y776" s="80"/>
      <c r="Z776" s="80"/>
      <c r="AA776" s="81"/>
      <c r="AB776" s="81"/>
      <c r="AC776" s="81"/>
      <c r="AD776" s="81"/>
      <c r="AE776" s="81"/>
    </row>
    <row r="777">
      <c r="A777" s="16"/>
      <c r="B777" s="127"/>
      <c r="C777" s="127"/>
      <c r="D777" s="108"/>
      <c r="E777" s="109"/>
      <c r="F777" s="58"/>
      <c r="G777" s="135"/>
      <c r="H777" s="129"/>
      <c r="I777" s="129"/>
      <c r="J777" s="130" t="b">
        <v>0</v>
      </c>
      <c r="K777" s="58"/>
      <c r="L777" s="131" t="str">
        <f t="shared" si="8"/>
        <v/>
      </c>
      <c r="M777" s="108"/>
      <c r="N777" s="109"/>
      <c r="O777" s="109"/>
      <c r="P777" s="109"/>
      <c r="Q777" s="58"/>
      <c r="R777" s="136" t="b">
        <v>0</v>
      </c>
      <c r="S777" s="58"/>
      <c r="T777" s="80"/>
      <c r="U777" s="80"/>
      <c r="V777" s="80"/>
      <c r="W777" s="80"/>
      <c r="X777" s="80"/>
      <c r="Y777" s="80"/>
      <c r="Z777" s="80"/>
      <c r="AA777" s="81"/>
      <c r="AB777" s="81"/>
      <c r="AC777" s="81"/>
      <c r="AD777" s="81"/>
      <c r="AE777" s="81"/>
    </row>
    <row r="778">
      <c r="A778" s="16"/>
      <c r="B778" s="127"/>
      <c r="C778" s="127"/>
      <c r="D778" s="108"/>
      <c r="E778" s="109"/>
      <c r="F778" s="58"/>
      <c r="G778" s="135"/>
      <c r="H778" s="129"/>
      <c r="I778" s="129"/>
      <c r="J778" s="130" t="b">
        <v>0</v>
      </c>
      <c r="K778" s="58"/>
      <c r="L778" s="131" t="str">
        <f t="shared" si="8"/>
        <v/>
      </c>
      <c r="M778" s="108"/>
      <c r="N778" s="109"/>
      <c r="O778" s="109"/>
      <c r="P778" s="109"/>
      <c r="Q778" s="58"/>
      <c r="R778" s="136" t="b">
        <v>0</v>
      </c>
      <c r="S778" s="58"/>
      <c r="T778" s="80"/>
      <c r="U778" s="80"/>
      <c r="V778" s="80"/>
      <c r="W778" s="80"/>
      <c r="X778" s="80"/>
      <c r="Y778" s="80"/>
      <c r="Z778" s="80"/>
      <c r="AA778" s="81"/>
      <c r="AB778" s="81"/>
      <c r="AC778" s="81"/>
      <c r="AD778" s="81"/>
      <c r="AE778" s="81"/>
    </row>
    <row r="779">
      <c r="A779" s="16"/>
      <c r="B779" s="127"/>
      <c r="C779" s="127"/>
      <c r="D779" s="108"/>
      <c r="E779" s="109"/>
      <c r="F779" s="58"/>
      <c r="G779" s="135"/>
      <c r="H779" s="129"/>
      <c r="I779" s="129"/>
      <c r="J779" s="130" t="b">
        <v>0</v>
      </c>
      <c r="K779" s="58"/>
      <c r="L779" s="131" t="str">
        <f t="shared" si="8"/>
        <v/>
      </c>
      <c r="M779" s="108"/>
      <c r="N779" s="109"/>
      <c r="O779" s="109"/>
      <c r="P779" s="109"/>
      <c r="Q779" s="58"/>
      <c r="R779" s="136" t="b">
        <v>0</v>
      </c>
      <c r="S779" s="58"/>
      <c r="T779" s="80"/>
      <c r="U779" s="80"/>
      <c r="V779" s="80"/>
      <c r="W779" s="80"/>
      <c r="X779" s="80"/>
      <c r="Y779" s="80"/>
      <c r="Z779" s="80"/>
      <c r="AA779" s="81"/>
      <c r="AB779" s="81"/>
      <c r="AC779" s="81"/>
      <c r="AD779" s="81"/>
      <c r="AE779" s="81"/>
    </row>
    <row r="780">
      <c r="A780" s="16"/>
      <c r="B780" s="127"/>
      <c r="C780" s="127"/>
      <c r="D780" s="108"/>
      <c r="E780" s="109"/>
      <c r="F780" s="58"/>
      <c r="G780" s="135"/>
      <c r="H780" s="129"/>
      <c r="I780" s="129"/>
      <c r="J780" s="130" t="b">
        <v>0</v>
      </c>
      <c r="K780" s="58"/>
      <c r="L780" s="131" t="str">
        <f t="shared" si="8"/>
        <v/>
      </c>
      <c r="M780" s="108"/>
      <c r="N780" s="109"/>
      <c r="O780" s="109"/>
      <c r="P780" s="109"/>
      <c r="Q780" s="58"/>
      <c r="R780" s="136" t="b">
        <v>0</v>
      </c>
      <c r="S780" s="58"/>
      <c r="T780" s="80"/>
      <c r="U780" s="80"/>
      <c r="V780" s="80"/>
      <c r="W780" s="80"/>
      <c r="X780" s="80"/>
      <c r="Y780" s="80"/>
      <c r="Z780" s="80"/>
      <c r="AA780" s="81"/>
      <c r="AB780" s="81"/>
      <c r="AC780" s="81"/>
      <c r="AD780" s="81"/>
      <c r="AE780" s="81"/>
    </row>
    <row r="781">
      <c r="A781" s="16"/>
      <c r="B781" s="127"/>
      <c r="C781" s="127"/>
      <c r="D781" s="108"/>
      <c r="E781" s="109"/>
      <c r="F781" s="58"/>
      <c r="G781" s="135"/>
      <c r="H781" s="129"/>
      <c r="I781" s="129"/>
      <c r="J781" s="130" t="b">
        <v>0</v>
      </c>
      <c r="K781" s="58"/>
      <c r="L781" s="131" t="str">
        <f t="shared" si="8"/>
        <v/>
      </c>
      <c r="M781" s="108"/>
      <c r="N781" s="109"/>
      <c r="O781" s="109"/>
      <c r="P781" s="109"/>
      <c r="Q781" s="58"/>
      <c r="R781" s="136" t="b">
        <v>0</v>
      </c>
      <c r="S781" s="58"/>
      <c r="T781" s="80"/>
      <c r="U781" s="80"/>
      <c r="V781" s="80"/>
      <c r="W781" s="80"/>
      <c r="X781" s="80"/>
      <c r="Y781" s="80"/>
      <c r="Z781" s="80"/>
      <c r="AA781" s="81"/>
      <c r="AB781" s="81"/>
      <c r="AC781" s="81"/>
      <c r="AD781" s="81"/>
      <c r="AE781" s="81"/>
    </row>
    <row r="782">
      <c r="A782" s="16"/>
      <c r="B782" s="127"/>
      <c r="C782" s="127"/>
      <c r="D782" s="108"/>
      <c r="E782" s="109"/>
      <c r="F782" s="58"/>
      <c r="G782" s="135"/>
      <c r="H782" s="129"/>
      <c r="I782" s="129"/>
      <c r="J782" s="130" t="b">
        <v>0</v>
      </c>
      <c r="K782" s="58"/>
      <c r="L782" s="131" t="str">
        <f t="shared" si="8"/>
        <v/>
      </c>
      <c r="M782" s="108"/>
      <c r="N782" s="109"/>
      <c r="O782" s="109"/>
      <c r="P782" s="109"/>
      <c r="Q782" s="58"/>
      <c r="R782" s="136" t="b">
        <v>0</v>
      </c>
      <c r="S782" s="58"/>
      <c r="T782" s="80"/>
      <c r="U782" s="80"/>
      <c r="V782" s="80"/>
      <c r="W782" s="80"/>
      <c r="X782" s="80"/>
      <c r="Y782" s="80"/>
      <c r="Z782" s="80"/>
      <c r="AA782" s="81"/>
      <c r="AB782" s="81"/>
      <c r="AC782" s="81"/>
      <c r="AD782" s="81"/>
      <c r="AE782" s="81"/>
    </row>
    <row r="783">
      <c r="A783" s="16"/>
      <c r="B783" s="127"/>
      <c r="C783" s="127"/>
      <c r="D783" s="108"/>
      <c r="E783" s="109"/>
      <c r="F783" s="58"/>
      <c r="G783" s="135"/>
      <c r="H783" s="129"/>
      <c r="I783" s="129"/>
      <c r="J783" s="130" t="b">
        <v>0</v>
      </c>
      <c r="K783" s="58"/>
      <c r="L783" s="131" t="str">
        <f t="shared" si="8"/>
        <v/>
      </c>
      <c r="M783" s="108"/>
      <c r="N783" s="109"/>
      <c r="O783" s="109"/>
      <c r="P783" s="109"/>
      <c r="Q783" s="58"/>
      <c r="R783" s="136" t="b">
        <v>0</v>
      </c>
      <c r="S783" s="58"/>
      <c r="T783" s="80"/>
      <c r="U783" s="80"/>
      <c r="V783" s="80"/>
      <c r="W783" s="80"/>
      <c r="X783" s="80"/>
      <c r="Y783" s="80"/>
      <c r="Z783" s="80"/>
      <c r="AA783" s="81"/>
      <c r="AB783" s="81"/>
      <c r="AC783" s="81"/>
      <c r="AD783" s="81"/>
      <c r="AE783" s="81"/>
    </row>
    <row r="784">
      <c r="A784" s="16"/>
      <c r="B784" s="127"/>
      <c r="C784" s="127"/>
      <c r="D784" s="108"/>
      <c r="E784" s="109"/>
      <c r="F784" s="58"/>
      <c r="G784" s="135"/>
      <c r="H784" s="129"/>
      <c r="I784" s="129"/>
      <c r="J784" s="130" t="b">
        <v>0</v>
      </c>
      <c r="K784" s="58"/>
      <c r="L784" s="131" t="str">
        <f t="shared" si="8"/>
        <v/>
      </c>
      <c r="M784" s="108"/>
      <c r="N784" s="109"/>
      <c r="O784" s="109"/>
      <c r="P784" s="109"/>
      <c r="Q784" s="58"/>
      <c r="R784" s="136" t="b">
        <v>0</v>
      </c>
      <c r="S784" s="58"/>
      <c r="T784" s="80"/>
      <c r="U784" s="80"/>
      <c r="V784" s="80"/>
      <c r="W784" s="80"/>
      <c r="X784" s="80"/>
      <c r="Y784" s="80"/>
      <c r="Z784" s="80"/>
      <c r="AA784" s="81"/>
      <c r="AB784" s="81"/>
      <c r="AC784" s="81"/>
      <c r="AD784" s="81"/>
      <c r="AE784" s="81"/>
    </row>
    <row r="785">
      <c r="A785" s="16"/>
      <c r="B785" s="127"/>
      <c r="C785" s="127"/>
      <c r="D785" s="108"/>
      <c r="E785" s="109"/>
      <c r="F785" s="58"/>
      <c r="G785" s="135"/>
      <c r="H785" s="129"/>
      <c r="I785" s="129"/>
      <c r="J785" s="130" t="b">
        <v>0</v>
      </c>
      <c r="K785" s="58"/>
      <c r="L785" s="131" t="str">
        <f t="shared" si="8"/>
        <v/>
      </c>
      <c r="M785" s="108"/>
      <c r="N785" s="109"/>
      <c r="O785" s="109"/>
      <c r="P785" s="109"/>
      <c r="Q785" s="58"/>
      <c r="R785" s="136" t="b">
        <v>0</v>
      </c>
      <c r="S785" s="58"/>
      <c r="T785" s="80"/>
      <c r="U785" s="80"/>
      <c r="V785" s="80"/>
      <c r="W785" s="80"/>
      <c r="X785" s="80"/>
      <c r="Y785" s="80"/>
      <c r="Z785" s="80"/>
      <c r="AA785" s="81"/>
      <c r="AB785" s="81"/>
      <c r="AC785" s="81"/>
      <c r="AD785" s="81"/>
      <c r="AE785" s="81"/>
    </row>
    <row r="786">
      <c r="A786" s="16"/>
      <c r="B786" s="127"/>
      <c r="C786" s="127"/>
      <c r="D786" s="108"/>
      <c r="E786" s="109"/>
      <c r="F786" s="58"/>
      <c r="G786" s="135"/>
      <c r="H786" s="129"/>
      <c r="I786" s="129"/>
      <c r="J786" s="130" t="b">
        <v>0</v>
      </c>
      <c r="K786" s="58"/>
      <c r="L786" s="131" t="str">
        <f t="shared" si="8"/>
        <v/>
      </c>
      <c r="M786" s="108"/>
      <c r="N786" s="109"/>
      <c r="O786" s="109"/>
      <c r="P786" s="109"/>
      <c r="Q786" s="58"/>
      <c r="R786" s="136" t="b">
        <v>0</v>
      </c>
      <c r="S786" s="58"/>
      <c r="T786" s="80"/>
      <c r="U786" s="80"/>
      <c r="V786" s="80"/>
      <c r="W786" s="80"/>
      <c r="X786" s="80"/>
      <c r="Y786" s="80"/>
      <c r="Z786" s="80"/>
      <c r="AA786" s="81"/>
      <c r="AB786" s="81"/>
      <c r="AC786" s="81"/>
      <c r="AD786" s="81"/>
      <c r="AE786" s="81"/>
    </row>
    <row r="787">
      <c r="A787" s="16"/>
      <c r="B787" s="127"/>
      <c r="C787" s="127"/>
      <c r="D787" s="108"/>
      <c r="E787" s="109"/>
      <c r="F787" s="58"/>
      <c r="G787" s="135"/>
      <c r="H787" s="129"/>
      <c r="I787" s="129"/>
      <c r="J787" s="130" t="b">
        <v>0</v>
      </c>
      <c r="K787" s="58"/>
      <c r="L787" s="131" t="str">
        <f t="shared" si="8"/>
        <v/>
      </c>
      <c r="M787" s="108"/>
      <c r="N787" s="109"/>
      <c r="O787" s="109"/>
      <c r="P787" s="109"/>
      <c r="Q787" s="58"/>
      <c r="R787" s="136" t="b">
        <v>0</v>
      </c>
      <c r="S787" s="58"/>
      <c r="T787" s="80"/>
      <c r="U787" s="80"/>
      <c r="V787" s="80"/>
      <c r="W787" s="80"/>
      <c r="X787" s="80"/>
      <c r="Y787" s="80"/>
      <c r="Z787" s="80"/>
      <c r="AA787" s="81"/>
      <c r="AB787" s="81"/>
      <c r="AC787" s="81"/>
      <c r="AD787" s="81"/>
      <c r="AE787" s="81"/>
    </row>
    <row r="788">
      <c r="A788" s="16"/>
      <c r="B788" s="127"/>
      <c r="C788" s="127"/>
      <c r="D788" s="108"/>
      <c r="E788" s="109"/>
      <c r="F788" s="58"/>
      <c r="G788" s="135"/>
      <c r="H788" s="129"/>
      <c r="I788" s="129"/>
      <c r="J788" s="130" t="b">
        <v>0</v>
      </c>
      <c r="K788" s="58"/>
      <c r="L788" s="131" t="str">
        <f t="shared" si="8"/>
        <v/>
      </c>
      <c r="M788" s="108"/>
      <c r="N788" s="109"/>
      <c r="O788" s="109"/>
      <c r="P788" s="109"/>
      <c r="Q788" s="58"/>
      <c r="R788" s="136" t="b">
        <v>0</v>
      </c>
      <c r="S788" s="58"/>
      <c r="T788" s="80"/>
      <c r="U788" s="80"/>
      <c r="V788" s="80"/>
      <c r="W788" s="80"/>
      <c r="X788" s="80"/>
      <c r="Y788" s="80"/>
      <c r="Z788" s="80"/>
      <c r="AA788" s="81"/>
      <c r="AB788" s="81"/>
      <c r="AC788" s="81"/>
      <c r="AD788" s="81"/>
      <c r="AE788" s="81"/>
    </row>
    <row r="789">
      <c r="A789" s="16"/>
      <c r="B789" s="127"/>
      <c r="C789" s="127"/>
      <c r="D789" s="108"/>
      <c r="E789" s="109"/>
      <c r="F789" s="58"/>
      <c r="G789" s="135"/>
      <c r="H789" s="129"/>
      <c r="I789" s="129"/>
      <c r="J789" s="130" t="b">
        <v>0</v>
      </c>
      <c r="K789" s="58"/>
      <c r="L789" s="131" t="str">
        <f t="shared" si="8"/>
        <v/>
      </c>
      <c r="M789" s="108"/>
      <c r="N789" s="109"/>
      <c r="O789" s="109"/>
      <c r="P789" s="109"/>
      <c r="Q789" s="58"/>
      <c r="R789" s="136" t="b">
        <v>0</v>
      </c>
      <c r="S789" s="58"/>
      <c r="T789" s="80"/>
      <c r="U789" s="80"/>
      <c r="V789" s="80"/>
      <c r="W789" s="80"/>
      <c r="X789" s="80"/>
      <c r="Y789" s="80"/>
      <c r="Z789" s="80"/>
      <c r="AA789" s="81"/>
      <c r="AB789" s="81"/>
      <c r="AC789" s="81"/>
      <c r="AD789" s="81"/>
      <c r="AE789" s="81"/>
    </row>
    <row r="790">
      <c r="A790" s="16"/>
      <c r="B790" s="127"/>
      <c r="C790" s="127"/>
      <c r="D790" s="108"/>
      <c r="E790" s="109"/>
      <c r="F790" s="58"/>
      <c r="G790" s="135"/>
      <c r="H790" s="129"/>
      <c r="I790" s="129"/>
      <c r="J790" s="130" t="b">
        <v>0</v>
      </c>
      <c r="K790" s="58"/>
      <c r="L790" s="131" t="str">
        <f t="shared" si="8"/>
        <v/>
      </c>
      <c r="M790" s="108"/>
      <c r="N790" s="109"/>
      <c r="O790" s="109"/>
      <c r="P790" s="109"/>
      <c r="Q790" s="58"/>
      <c r="R790" s="136" t="b">
        <v>0</v>
      </c>
      <c r="S790" s="58"/>
      <c r="T790" s="80"/>
      <c r="U790" s="80"/>
      <c r="V790" s="80"/>
      <c r="W790" s="80"/>
      <c r="X790" s="80"/>
      <c r="Y790" s="80"/>
      <c r="Z790" s="80"/>
      <c r="AA790" s="81"/>
      <c r="AB790" s="81"/>
      <c r="AC790" s="81"/>
      <c r="AD790" s="81"/>
      <c r="AE790" s="81"/>
    </row>
    <row r="791">
      <c r="A791" s="16"/>
      <c r="B791" s="127"/>
      <c r="C791" s="127"/>
      <c r="D791" s="108"/>
      <c r="E791" s="109"/>
      <c r="F791" s="58"/>
      <c r="G791" s="135"/>
      <c r="H791" s="129"/>
      <c r="I791" s="129"/>
      <c r="J791" s="130" t="b">
        <v>0</v>
      </c>
      <c r="K791" s="58"/>
      <c r="L791" s="131" t="str">
        <f t="shared" si="8"/>
        <v/>
      </c>
      <c r="M791" s="108"/>
      <c r="N791" s="109"/>
      <c r="O791" s="109"/>
      <c r="P791" s="109"/>
      <c r="Q791" s="58"/>
      <c r="R791" s="136" t="b">
        <v>0</v>
      </c>
      <c r="S791" s="58"/>
      <c r="T791" s="80"/>
      <c r="U791" s="80"/>
      <c r="V791" s="80"/>
      <c r="W791" s="80"/>
      <c r="X791" s="80"/>
      <c r="Y791" s="80"/>
      <c r="Z791" s="80"/>
      <c r="AA791" s="81"/>
      <c r="AB791" s="81"/>
      <c r="AC791" s="81"/>
      <c r="AD791" s="81"/>
      <c r="AE791" s="81"/>
    </row>
    <row r="792">
      <c r="A792" s="16"/>
      <c r="B792" s="127"/>
      <c r="C792" s="127"/>
      <c r="D792" s="108"/>
      <c r="E792" s="109"/>
      <c r="F792" s="58"/>
      <c r="G792" s="135"/>
      <c r="H792" s="129"/>
      <c r="I792" s="129"/>
      <c r="J792" s="130" t="b">
        <v>0</v>
      </c>
      <c r="K792" s="58"/>
      <c r="L792" s="131" t="str">
        <f t="shared" si="8"/>
        <v/>
      </c>
      <c r="M792" s="108"/>
      <c r="N792" s="109"/>
      <c r="O792" s="109"/>
      <c r="P792" s="109"/>
      <c r="Q792" s="58"/>
      <c r="R792" s="136" t="b">
        <v>0</v>
      </c>
      <c r="S792" s="58"/>
      <c r="T792" s="80"/>
      <c r="U792" s="80"/>
      <c r="V792" s="80"/>
      <c r="W792" s="80"/>
      <c r="X792" s="80"/>
      <c r="Y792" s="80"/>
      <c r="Z792" s="80"/>
      <c r="AA792" s="81"/>
      <c r="AB792" s="81"/>
      <c r="AC792" s="81"/>
      <c r="AD792" s="81"/>
      <c r="AE792" s="81"/>
    </row>
    <row r="793">
      <c r="A793" s="16"/>
      <c r="B793" s="127"/>
      <c r="C793" s="127"/>
      <c r="D793" s="108"/>
      <c r="E793" s="109"/>
      <c r="F793" s="58"/>
      <c r="G793" s="135"/>
      <c r="H793" s="129"/>
      <c r="I793" s="129"/>
      <c r="J793" s="130" t="b">
        <v>0</v>
      </c>
      <c r="K793" s="58"/>
      <c r="L793" s="131" t="str">
        <f t="shared" si="8"/>
        <v/>
      </c>
      <c r="M793" s="108"/>
      <c r="N793" s="109"/>
      <c r="O793" s="109"/>
      <c r="P793" s="109"/>
      <c r="Q793" s="58"/>
      <c r="R793" s="136" t="b">
        <v>0</v>
      </c>
      <c r="S793" s="58"/>
      <c r="T793" s="80"/>
      <c r="U793" s="80"/>
      <c r="V793" s="80"/>
      <c r="W793" s="80"/>
      <c r="X793" s="80"/>
      <c r="Y793" s="80"/>
      <c r="Z793" s="80"/>
      <c r="AA793" s="81"/>
      <c r="AB793" s="81"/>
      <c r="AC793" s="81"/>
      <c r="AD793" s="81"/>
      <c r="AE793" s="81"/>
    </row>
    <row r="794">
      <c r="A794" s="16"/>
      <c r="B794" s="127"/>
      <c r="C794" s="127"/>
      <c r="D794" s="108"/>
      <c r="E794" s="109"/>
      <c r="F794" s="58"/>
      <c r="G794" s="135"/>
      <c r="H794" s="129"/>
      <c r="I794" s="129"/>
      <c r="J794" s="130" t="b">
        <v>0</v>
      </c>
      <c r="K794" s="58"/>
      <c r="L794" s="131" t="str">
        <f t="shared" si="8"/>
        <v/>
      </c>
      <c r="M794" s="108"/>
      <c r="N794" s="109"/>
      <c r="O794" s="109"/>
      <c r="P794" s="109"/>
      <c r="Q794" s="58"/>
      <c r="R794" s="136" t="b">
        <v>0</v>
      </c>
      <c r="S794" s="58"/>
      <c r="T794" s="80"/>
      <c r="U794" s="80"/>
      <c r="V794" s="80"/>
      <c r="W794" s="80"/>
      <c r="X794" s="80"/>
      <c r="Y794" s="80"/>
      <c r="Z794" s="80"/>
      <c r="AA794" s="81"/>
      <c r="AB794" s="81"/>
      <c r="AC794" s="81"/>
      <c r="AD794" s="81"/>
      <c r="AE794" s="81"/>
    </row>
    <row r="795">
      <c r="A795" s="16"/>
      <c r="B795" s="127"/>
      <c r="C795" s="127"/>
      <c r="D795" s="108"/>
      <c r="E795" s="109"/>
      <c r="F795" s="58"/>
      <c r="G795" s="135"/>
      <c r="H795" s="129"/>
      <c r="I795" s="129"/>
      <c r="J795" s="130" t="b">
        <v>0</v>
      </c>
      <c r="K795" s="58"/>
      <c r="L795" s="131" t="str">
        <f t="shared" si="8"/>
        <v/>
      </c>
      <c r="M795" s="108"/>
      <c r="N795" s="109"/>
      <c r="O795" s="109"/>
      <c r="P795" s="109"/>
      <c r="Q795" s="58"/>
      <c r="R795" s="136" t="b">
        <v>0</v>
      </c>
      <c r="S795" s="58"/>
      <c r="T795" s="80"/>
      <c r="U795" s="80"/>
      <c r="V795" s="80"/>
      <c r="W795" s="80"/>
      <c r="X795" s="80"/>
      <c r="Y795" s="80"/>
      <c r="Z795" s="80"/>
      <c r="AA795" s="81"/>
      <c r="AB795" s="81"/>
      <c r="AC795" s="81"/>
      <c r="AD795" s="81"/>
      <c r="AE795" s="81"/>
    </row>
    <row r="796">
      <c r="A796" s="16"/>
      <c r="B796" s="127"/>
      <c r="C796" s="127"/>
      <c r="D796" s="108"/>
      <c r="E796" s="109"/>
      <c r="F796" s="58"/>
      <c r="G796" s="135"/>
      <c r="H796" s="129"/>
      <c r="I796" s="129"/>
      <c r="J796" s="130" t="b">
        <v>0</v>
      </c>
      <c r="K796" s="58"/>
      <c r="L796" s="131" t="str">
        <f t="shared" si="8"/>
        <v/>
      </c>
      <c r="M796" s="108"/>
      <c r="N796" s="109"/>
      <c r="O796" s="109"/>
      <c r="P796" s="109"/>
      <c r="Q796" s="58"/>
      <c r="R796" s="136" t="b">
        <v>0</v>
      </c>
      <c r="S796" s="58"/>
      <c r="T796" s="80"/>
      <c r="U796" s="80"/>
      <c r="V796" s="80"/>
      <c r="W796" s="80"/>
      <c r="X796" s="80"/>
      <c r="Y796" s="80"/>
      <c r="Z796" s="80"/>
      <c r="AA796" s="81"/>
      <c r="AB796" s="81"/>
      <c r="AC796" s="81"/>
      <c r="AD796" s="81"/>
      <c r="AE796" s="81"/>
    </row>
    <row r="797">
      <c r="A797" s="16"/>
      <c r="B797" s="127"/>
      <c r="C797" s="127"/>
      <c r="D797" s="108"/>
      <c r="E797" s="109"/>
      <c r="F797" s="58"/>
      <c r="G797" s="135"/>
      <c r="H797" s="129"/>
      <c r="I797" s="129"/>
      <c r="J797" s="130" t="b">
        <v>0</v>
      </c>
      <c r="K797" s="58"/>
      <c r="L797" s="131" t="str">
        <f t="shared" si="8"/>
        <v/>
      </c>
      <c r="M797" s="108"/>
      <c r="N797" s="109"/>
      <c r="O797" s="109"/>
      <c r="P797" s="109"/>
      <c r="Q797" s="58"/>
      <c r="R797" s="136" t="b">
        <v>0</v>
      </c>
      <c r="S797" s="58"/>
      <c r="T797" s="80"/>
      <c r="U797" s="80"/>
      <c r="V797" s="80"/>
      <c r="W797" s="80"/>
      <c r="X797" s="80"/>
      <c r="Y797" s="80"/>
      <c r="Z797" s="80"/>
      <c r="AA797" s="81"/>
      <c r="AB797" s="81"/>
      <c r="AC797" s="81"/>
      <c r="AD797" s="81"/>
      <c r="AE797" s="81"/>
    </row>
    <row r="798">
      <c r="A798" s="16"/>
      <c r="B798" s="127"/>
      <c r="C798" s="127"/>
      <c r="D798" s="108"/>
      <c r="E798" s="109"/>
      <c r="F798" s="58"/>
      <c r="G798" s="135"/>
      <c r="H798" s="129"/>
      <c r="I798" s="129"/>
      <c r="J798" s="130" t="b">
        <v>0</v>
      </c>
      <c r="K798" s="58"/>
      <c r="L798" s="131" t="str">
        <f t="shared" si="8"/>
        <v/>
      </c>
      <c r="M798" s="108"/>
      <c r="N798" s="109"/>
      <c r="O798" s="109"/>
      <c r="P798" s="109"/>
      <c r="Q798" s="58"/>
      <c r="R798" s="136" t="b">
        <v>0</v>
      </c>
      <c r="S798" s="58"/>
      <c r="T798" s="80"/>
      <c r="U798" s="80"/>
      <c r="V798" s="80"/>
      <c r="W798" s="80"/>
      <c r="X798" s="80"/>
      <c r="Y798" s="80"/>
      <c r="Z798" s="80"/>
      <c r="AA798" s="81"/>
      <c r="AB798" s="81"/>
      <c r="AC798" s="81"/>
      <c r="AD798" s="81"/>
      <c r="AE798" s="81"/>
    </row>
    <row r="799">
      <c r="A799" s="16"/>
      <c r="B799" s="127"/>
      <c r="C799" s="127"/>
      <c r="D799" s="108"/>
      <c r="E799" s="109"/>
      <c r="F799" s="58"/>
      <c r="G799" s="135"/>
      <c r="H799" s="129"/>
      <c r="I799" s="129"/>
      <c r="J799" s="130" t="b">
        <v>0</v>
      </c>
      <c r="K799" s="58"/>
      <c r="L799" s="131" t="str">
        <f t="shared" si="8"/>
        <v/>
      </c>
      <c r="M799" s="108"/>
      <c r="N799" s="109"/>
      <c r="O799" s="109"/>
      <c r="P799" s="109"/>
      <c r="Q799" s="58"/>
      <c r="R799" s="136" t="b">
        <v>0</v>
      </c>
      <c r="S799" s="58"/>
      <c r="T799" s="80"/>
      <c r="U799" s="80"/>
      <c r="V799" s="80"/>
      <c r="W799" s="80"/>
      <c r="X799" s="80"/>
      <c r="Y799" s="80"/>
      <c r="Z799" s="80"/>
      <c r="AA799" s="81"/>
      <c r="AB799" s="81"/>
      <c r="AC799" s="81"/>
      <c r="AD799" s="81"/>
      <c r="AE799" s="81"/>
    </row>
    <row r="800">
      <c r="A800" s="16"/>
      <c r="B800" s="127"/>
      <c r="C800" s="127"/>
      <c r="D800" s="108"/>
      <c r="E800" s="109"/>
      <c r="F800" s="58"/>
      <c r="G800" s="135"/>
      <c r="H800" s="129"/>
      <c r="I800" s="129"/>
      <c r="J800" s="130" t="b">
        <v>0</v>
      </c>
      <c r="K800" s="58"/>
      <c r="L800" s="131" t="str">
        <f t="shared" si="8"/>
        <v/>
      </c>
      <c r="M800" s="108"/>
      <c r="N800" s="109"/>
      <c r="O800" s="109"/>
      <c r="P800" s="109"/>
      <c r="Q800" s="58"/>
      <c r="R800" s="136" t="b">
        <v>0</v>
      </c>
      <c r="S800" s="58"/>
      <c r="T800" s="80"/>
      <c r="U800" s="80"/>
      <c r="V800" s="80"/>
      <c r="W800" s="80"/>
      <c r="X800" s="80"/>
      <c r="Y800" s="80"/>
      <c r="Z800" s="80"/>
      <c r="AA800" s="81"/>
      <c r="AB800" s="81"/>
      <c r="AC800" s="81"/>
      <c r="AD800" s="81"/>
      <c r="AE800" s="81"/>
    </row>
    <row r="801">
      <c r="A801" s="16"/>
      <c r="B801" s="127"/>
      <c r="C801" s="127"/>
      <c r="D801" s="108"/>
      <c r="E801" s="109"/>
      <c r="F801" s="58"/>
      <c r="G801" s="135"/>
      <c r="H801" s="129"/>
      <c r="I801" s="129"/>
      <c r="J801" s="130" t="b">
        <v>0</v>
      </c>
      <c r="K801" s="58"/>
      <c r="L801" s="131" t="str">
        <f t="shared" si="8"/>
        <v/>
      </c>
      <c r="M801" s="108"/>
      <c r="N801" s="109"/>
      <c r="O801" s="109"/>
      <c r="P801" s="109"/>
      <c r="Q801" s="58"/>
      <c r="R801" s="136" t="b">
        <v>0</v>
      </c>
      <c r="S801" s="58"/>
      <c r="T801" s="80"/>
      <c r="U801" s="80"/>
      <c r="V801" s="80"/>
      <c r="W801" s="80"/>
      <c r="X801" s="80"/>
      <c r="Y801" s="80"/>
      <c r="Z801" s="80"/>
      <c r="AA801" s="81"/>
      <c r="AB801" s="81"/>
      <c r="AC801" s="81"/>
      <c r="AD801" s="81"/>
      <c r="AE801" s="81"/>
    </row>
    <row r="802">
      <c r="A802" s="16"/>
      <c r="B802" s="127"/>
      <c r="C802" s="127"/>
      <c r="D802" s="108"/>
      <c r="E802" s="109"/>
      <c r="F802" s="58"/>
      <c r="G802" s="135"/>
      <c r="H802" s="129"/>
      <c r="I802" s="129"/>
      <c r="J802" s="130" t="b">
        <v>0</v>
      </c>
      <c r="K802" s="58"/>
      <c r="L802" s="131" t="str">
        <f t="shared" si="8"/>
        <v/>
      </c>
      <c r="M802" s="108"/>
      <c r="N802" s="109"/>
      <c r="O802" s="109"/>
      <c r="P802" s="109"/>
      <c r="Q802" s="58"/>
      <c r="R802" s="136" t="b">
        <v>0</v>
      </c>
      <c r="S802" s="58"/>
      <c r="T802" s="80"/>
      <c r="U802" s="80"/>
      <c r="V802" s="80"/>
      <c r="W802" s="80"/>
      <c r="X802" s="80"/>
      <c r="Y802" s="80"/>
      <c r="Z802" s="80"/>
      <c r="AA802" s="81"/>
      <c r="AB802" s="81"/>
      <c r="AC802" s="81"/>
      <c r="AD802" s="81"/>
      <c r="AE802" s="81"/>
    </row>
    <row r="803">
      <c r="A803" s="16"/>
      <c r="B803" s="127"/>
      <c r="C803" s="127"/>
      <c r="D803" s="108"/>
      <c r="E803" s="109"/>
      <c r="F803" s="58"/>
      <c r="G803" s="135"/>
      <c r="H803" s="129"/>
      <c r="I803" s="129"/>
      <c r="J803" s="130" t="b">
        <v>0</v>
      </c>
      <c r="K803" s="58"/>
      <c r="L803" s="131" t="str">
        <f t="shared" si="8"/>
        <v/>
      </c>
      <c r="M803" s="108"/>
      <c r="N803" s="109"/>
      <c r="O803" s="109"/>
      <c r="P803" s="109"/>
      <c r="Q803" s="58"/>
      <c r="R803" s="136" t="b">
        <v>0</v>
      </c>
      <c r="S803" s="58"/>
      <c r="T803" s="80"/>
      <c r="U803" s="80"/>
      <c r="V803" s="80"/>
      <c r="W803" s="80"/>
      <c r="X803" s="80"/>
      <c r="Y803" s="80"/>
      <c r="Z803" s="80"/>
      <c r="AA803" s="81"/>
      <c r="AB803" s="81"/>
      <c r="AC803" s="81"/>
      <c r="AD803" s="81"/>
      <c r="AE803" s="81"/>
    </row>
    <row r="804">
      <c r="A804" s="16"/>
      <c r="B804" s="127"/>
      <c r="C804" s="127"/>
      <c r="D804" s="108"/>
      <c r="E804" s="109"/>
      <c r="F804" s="58"/>
      <c r="G804" s="135"/>
      <c r="H804" s="129"/>
      <c r="I804" s="129"/>
      <c r="J804" s="130" t="b">
        <v>0</v>
      </c>
      <c r="K804" s="58"/>
      <c r="L804" s="131" t="str">
        <f t="shared" si="8"/>
        <v/>
      </c>
      <c r="M804" s="108"/>
      <c r="N804" s="109"/>
      <c r="O804" s="109"/>
      <c r="P804" s="109"/>
      <c r="Q804" s="58"/>
      <c r="R804" s="136" t="b">
        <v>0</v>
      </c>
      <c r="S804" s="58"/>
      <c r="T804" s="80"/>
      <c r="U804" s="80"/>
      <c r="V804" s="80"/>
      <c r="W804" s="80"/>
      <c r="X804" s="80"/>
      <c r="Y804" s="80"/>
      <c r="Z804" s="80"/>
      <c r="AA804" s="81"/>
      <c r="AB804" s="81"/>
      <c r="AC804" s="81"/>
      <c r="AD804" s="81"/>
      <c r="AE804" s="81"/>
    </row>
    <row r="805">
      <c r="A805" s="16"/>
      <c r="B805" s="127"/>
      <c r="C805" s="127"/>
      <c r="D805" s="108"/>
      <c r="E805" s="109"/>
      <c r="F805" s="58"/>
      <c r="G805" s="135"/>
      <c r="H805" s="129"/>
      <c r="I805" s="129"/>
      <c r="J805" s="130" t="b">
        <v>0</v>
      </c>
      <c r="K805" s="58"/>
      <c r="L805" s="131" t="str">
        <f t="shared" si="8"/>
        <v/>
      </c>
      <c r="M805" s="108"/>
      <c r="N805" s="109"/>
      <c r="O805" s="109"/>
      <c r="P805" s="109"/>
      <c r="Q805" s="58"/>
      <c r="R805" s="136" t="b">
        <v>0</v>
      </c>
      <c r="S805" s="58"/>
      <c r="T805" s="80"/>
      <c r="U805" s="80"/>
      <c r="V805" s="80"/>
      <c r="W805" s="80"/>
      <c r="X805" s="80"/>
      <c r="Y805" s="80"/>
      <c r="Z805" s="80"/>
      <c r="AA805" s="81"/>
      <c r="AB805" s="81"/>
      <c r="AC805" s="81"/>
      <c r="AD805" s="81"/>
      <c r="AE805" s="81"/>
    </row>
    <row r="806">
      <c r="A806" s="16"/>
      <c r="B806" s="127"/>
      <c r="C806" s="127"/>
      <c r="D806" s="108"/>
      <c r="E806" s="109"/>
      <c r="F806" s="58"/>
      <c r="G806" s="135"/>
      <c r="H806" s="129"/>
      <c r="I806" s="129"/>
      <c r="J806" s="130" t="b">
        <v>0</v>
      </c>
      <c r="K806" s="58"/>
      <c r="L806" s="131" t="str">
        <f t="shared" si="8"/>
        <v/>
      </c>
      <c r="M806" s="108"/>
      <c r="N806" s="109"/>
      <c r="O806" s="109"/>
      <c r="P806" s="109"/>
      <c r="Q806" s="58"/>
      <c r="R806" s="136" t="b">
        <v>0</v>
      </c>
      <c r="S806" s="58"/>
      <c r="T806" s="80"/>
      <c r="U806" s="80"/>
      <c r="V806" s="80"/>
      <c r="W806" s="80"/>
      <c r="X806" s="80"/>
      <c r="Y806" s="80"/>
      <c r="Z806" s="80"/>
      <c r="AA806" s="81"/>
      <c r="AB806" s="81"/>
      <c r="AC806" s="81"/>
      <c r="AD806" s="81"/>
      <c r="AE806" s="81"/>
    </row>
    <row r="807">
      <c r="A807" s="16"/>
      <c r="B807" s="127"/>
      <c r="C807" s="127"/>
      <c r="D807" s="108"/>
      <c r="E807" s="109"/>
      <c r="F807" s="58"/>
      <c r="G807" s="135"/>
      <c r="H807" s="129"/>
      <c r="I807" s="129"/>
      <c r="J807" s="130" t="b">
        <v>0</v>
      </c>
      <c r="K807" s="58"/>
      <c r="L807" s="131" t="str">
        <f t="shared" si="8"/>
        <v/>
      </c>
      <c r="M807" s="108"/>
      <c r="N807" s="109"/>
      <c r="O807" s="109"/>
      <c r="P807" s="109"/>
      <c r="Q807" s="58"/>
      <c r="R807" s="136" t="b">
        <v>0</v>
      </c>
      <c r="S807" s="58"/>
      <c r="T807" s="80"/>
      <c r="U807" s="80"/>
      <c r="V807" s="80"/>
      <c r="W807" s="80"/>
      <c r="X807" s="80"/>
      <c r="Y807" s="80"/>
      <c r="Z807" s="80"/>
      <c r="AA807" s="81"/>
      <c r="AB807" s="81"/>
      <c r="AC807" s="81"/>
      <c r="AD807" s="81"/>
      <c r="AE807" s="81"/>
    </row>
    <row r="808">
      <c r="A808" s="16"/>
      <c r="B808" s="127"/>
      <c r="C808" s="127"/>
      <c r="D808" s="108"/>
      <c r="E808" s="109"/>
      <c r="F808" s="58"/>
      <c r="G808" s="135"/>
      <c r="H808" s="129"/>
      <c r="I808" s="129"/>
      <c r="J808" s="130" t="b">
        <v>0</v>
      </c>
      <c r="K808" s="58"/>
      <c r="L808" s="131" t="str">
        <f t="shared" si="8"/>
        <v/>
      </c>
      <c r="M808" s="108"/>
      <c r="N808" s="109"/>
      <c r="O808" s="109"/>
      <c r="P808" s="109"/>
      <c r="Q808" s="58"/>
      <c r="R808" s="136" t="b">
        <v>0</v>
      </c>
      <c r="S808" s="58"/>
      <c r="T808" s="80"/>
      <c r="U808" s="80"/>
      <c r="V808" s="80"/>
      <c r="W808" s="80"/>
      <c r="X808" s="80"/>
      <c r="Y808" s="80"/>
      <c r="Z808" s="80"/>
      <c r="AA808" s="81"/>
      <c r="AB808" s="81"/>
      <c r="AC808" s="81"/>
      <c r="AD808" s="81"/>
      <c r="AE808" s="81"/>
    </row>
    <row r="809">
      <c r="A809" s="16"/>
      <c r="B809" s="127"/>
      <c r="C809" s="127"/>
      <c r="D809" s="108"/>
      <c r="E809" s="109"/>
      <c r="F809" s="58"/>
      <c r="G809" s="135"/>
      <c r="H809" s="129"/>
      <c r="I809" s="129"/>
      <c r="J809" s="130" t="b">
        <v>0</v>
      </c>
      <c r="K809" s="58"/>
      <c r="L809" s="131" t="str">
        <f t="shared" si="8"/>
        <v/>
      </c>
      <c r="M809" s="108"/>
      <c r="N809" s="109"/>
      <c r="O809" s="109"/>
      <c r="P809" s="109"/>
      <c r="Q809" s="58"/>
      <c r="R809" s="136" t="b">
        <v>0</v>
      </c>
      <c r="S809" s="58"/>
      <c r="T809" s="80"/>
      <c r="U809" s="80"/>
      <c r="V809" s="80"/>
      <c r="W809" s="80"/>
      <c r="X809" s="80"/>
      <c r="Y809" s="80"/>
      <c r="Z809" s="80"/>
      <c r="AA809" s="81"/>
      <c r="AB809" s="81"/>
      <c r="AC809" s="81"/>
      <c r="AD809" s="81"/>
      <c r="AE809" s="81"/>
    </row>
    <row r="810">
      <c r="A810" s="16"/>
      <c r="B810" s="127"/>
      <c r="C810" s="127"/>
      <c r="D810" s="108"/>
      <c r="E810" s="109"/>
      <c r="F810" s="58"/>
      <c r="G810" s="135"/>
      <c r="H810" s="129"/>
      <c r="I810" s="129"/>
      <c r="J810" s="130" t="b">
        <v>0</v>
      </c>
      <c r="K810" s="58"/>
      <c r="L810" s="131" t="str">
        <f t="shared" si="8"/>
        <v/>
      </c>
      <c r="M810" s="108"/>
      <c r="N810" s="109"/>
      <c r="O810" s="109"/>
      <c r="P810" s="109"/>
      <c r="Q810" s="58"/>
      <c r="R810" s="136" t="b">
        <v>0</v>
      </c>
      <c r="S810" s="58"/>
      <c r="T810" s="80"/>
      <c r="U810" s="80"/>
      <c r="V810" s="80"/>
      <c r="W810" s="80"/>
      <c r="X810" s="80"/>
      <c r="Y810" s="80"/>
      <c r="Z810" s="80"/>
      <c r="AA810" s="81"/>
      <c r="AB810" s="81"/>
      <c r="AC810" s="81"/>
      <c r="AD810" s="81"/>
      <c r="AE810" s="81"/>
    </row>
    <row r="811">
      <c r="A811" s="16"/>
      <c r="B811" s="127"/>
      <c r="C811" s="127"/>
      <c r="D811" s="108"/>
      <c r="E811" s="109"/>
      <c r="F811" s="58"/>
      <c r="G811" s="135"/>
      <c r="H811" s="129"/>
      <c r="I811" s="129"/>
      <c r="J811" s="130" t="b">
        <v>0</v>
      </c>
      <c r="K811" s="58"/>
      <c r="L811" s="131" t="str">
        <f t="shared" si="8"/>
        <v/>
      </c>
      <c r="M811" s="108"/>
      <c r="N811" s="109"/>
      <c r="O811" s="109"/>
      <c r="P811" s="109"/>
      <c r="Q811" s="58"/>
      <c r="R811" s="136" t="b">
        <v>0</v>
      </c>
      <c r="S811" s="58"/>
      <c r="T811" s="80"/>
      <c r="U811" s="80"/>
      <c r="V811" s="80"/>
      <c r="W811" s="80"/>
      <c r="X811" s="80"/>
      <c r="Y811" s="80"/>
      <c r="Z811" s="80"/>
      <c r="AA811" s="81"/>
      <c r="AB811" s="81"/>
      <c r="AC811" s="81"/>
      <c r="AD811" s="81"/>
      <c r="AE811" s="81"/>
    </row>
    <row r="812">
      <c r="A812" s="16"/>
      <c r="B812" s="127"/>
      <c r="C812" s="127"/>
      <c r="D812" s="108"/>
      <c r="E812" s="109"/>
      <c r="F812" s="58"/>
      <c r="G812" s="135"/>
      <c r="H812" s="129"/>
      <c r="I812" s="129"/>
      <c r="J812" s="130" t="b">
        <v>0</v>
      </c>
      <c r="K812" s="58"/>
      <c r="L812" s="131" t="str">
        <f t="shared" si="8"/>
        <v/>
      </c>
      <c r="M812" s="108"/>
      <c r="N812" s="109"/>
      <c r="O812" s="109"/>
      <c r="P812" s="109"/>
      <c r="Q812" s="58"/>
      <c r="R812" s="136" t="b">
        <v>0</v>
      </c>
      <c r="S812" s="58"/>
      <c r="T812" s="80"/>
      <c r="U812" s="80"/>
      <c r="V812" s="80"/>
      <c r="W812" s="80"/>
      <c r="X812" s="80"/>
      <c r="Y812" s="80"/>
      <c r="Z812" s="80"/>
      <c r="AA812" s="81"/>
      <c r="AB812" s="81"/>
      <c r="AC812" s="81"/>
      <c r="AD812" s="81"/>
      <c r="AE812" s="81"/>
    </row>
    <row r="813">
      <c r="A813" s="16"/>
      <c r="B813" s="127"/>
      <c r="C813" s="127"/>
      <c r="D813" s="108"/>
      <c r="E813" s="109"/>
      <c r="F813" s="58"/>
      <c r="G813" s="135"/>
      <c r="H813" s="129"/>
      <c r="I813" s="129"/>
      <c r="J813" s="130" t="b">
        <v>0</v>
      </c>
      <c r="K813" s="58"/>
      <c r="L813" s="131" t="str">
        <f t="shared" si="8"/>
        <v/>
      </c>
      <c r="M813" s="108"/>
      <c r="N813" s="109"/>
      <c r="O813" s="109"/>
      <c r="P813" s="109"/>
      <c r="Q813" s="58"/>
      <c r="R813" s="136" t="b">
        <v>0</v>
      </c>
      <c r="S813" s="58"/>
      <c r="T813" s="80"/>
      <c r="U813" s="80"/>
      <c r="V813" s="80"/>
      <c r="W813" s="80"/>
      <c r="X813" s="80"/>
      <c r="Y813" s="80"/>
      <c r="Z813" s="80"/>
      <c r="AA813" s="81"/>
      <c r="AB813" s="81"/>
      <c r="AC813" s="81"/>
      <c r="AD813" s="81"/>
      <c r="AE813" s="81"/>
    </row>
    <row r="814">
      <c r="A814" s="16"/>
      <c r="B814" s="127"/>
      <c r="C814" s="127"/>
      <c r="D814" s="108"/>
      <c r="E814" s="109"/>
      <c r="F814" s="58"/>
      <c r="G814" s="135"/>
      <c r="H814" s="129"/>
      <c r="I814" s="129"/>
      <c r="J814" s="130" t="b">
        <v>0</v>
      </c>
      <c r="K814" s="58"/>
      <c r="L814" s="131" t="str">
        <f t="shared" si="8"/>
        <v/>
      </c>
      <c r="M814" s="108"/>
      <c r="N814" s="109"/>
      <c r="O814" s="109"/>
      <c r="P814" s="109"/>
      <c r="Q814" s="58"/>
      <c r="R814" s="136" t="b">
        <v>0</v>
      </c>
      <c r="S814" s="58"/>
      <c r="T814" s="80"/>
      <c r="U814" s="80"/>
      <c r="V814" s="80"/>
      <c r="W814" s="80"/>
      <c r="X814" s="80"/>
      <c r="Y814" s="80"/>
      <c r="Z814" s="80"/>
      <c r="AA814" s="81"/>
      <c r="AB814" s="81"/>
      <c r="AC814" s="81"/>
      <c r="AD814" s="81"/>
      <c r="AE814" s="81"/>
    </row>
    <row r="815">
      <c r="A815" s="16"/>
      <c r="B815" s="127"/>
      <c r="C815" s="127"/>
      <c r="D815" s="108"/>
      <c r="E815" s="109"/>
      <c r="F815" s="58"/>
      <c r="G815" s="135"/>
      <c r="H815" s="129"/>
      <c r="I815" s="129"/>
      <c r="J815" s="130" t="b">
        <v>0</v>
      </c>
      <c r="K815" s="58"/>
      <c r="L815" s="131" t="str">
        <f t="shared" si="8"/>
        <v/>
      </c>
      <c r="M815" s="108"/>
      <c r="N815" s="109"/>
      <c r="O815" s="109"/>
      <c r="P815" s="109"/>
      <c r="Q815" s="58"/>
      <c r="R815" s="136" t="b">
        <v>0</v>
      </c>
      <c r="S815" s="58"/>
      <c r="T815" s="80"/>
      <c r="U815" s="80"/>
      <c r="V815" s="80"/>
      <c r="W815" s="80"/>
      <c r="X815" s="80"/>
      <c r="Y815" s="80"/>
      <c r="Z815" s="80"/>
      <c r="AA815" s="81"/>
      <c r="AB815" s="81"/>
      <c r="AC815" s="81"/>
      <c r="AD815" s="81"/>
      <c r="AE815" s="81"/>
    </row>
    <row r="816">
      <c r="A816" s="16"/>
      <c r="B816" s="127"/>
      <c r="C816" s="127"/>
      <c r="D816" s="108"/>
      <c r="E816" s="109"/>
      <c r="F816" s="58"/>
      <c r="G816" s="135"/>
      <c r="H816" s="129"/>
      <c r="I816" s="129"/>
      <c r="J816" s="130" t="b">
        <v>0</v>
      </c>
      <c r="K816" s="58"/>
      <c r="L816" s="131" t="str">
        <f t="shared" si="8"/>
        <v/>
      </c>
      <c r="M816" s="108"/>
      <c r="N816" s="109"/>
      <c r="O816" s="109"/>
      <c r="P816" s="109"/>
      <c r="Q816" s="58"/>
      <c r="R816" s="136" t="b">
        <v>0</v>
      </c>
      <c r="S816" s="58"/>
      <c r="T816" s="80"/>
      <c r="U816" s="80"/>
      <c r="V816" s="80"/>
      <c r="W816" s="80"/>
      <c r="X816" s="80"/>
      <c r="Y816" s="80"/>
      <c r="Z816" s="80"/>
      <c r="AA816" s="81"/>
      <c r="AB816" s="81"/>
      <c r="AC816" s="81"/>
      <c r="AD816" s="81"/>
      <c r="AE816" s="81"/>
    </row>
    <row r="817">
      <c r="A817" s="16"/>
      <c r="B817" s="127"/>
      <c r="C817" s="127"/>
      <c r="D817" s="108"/>
      <c r="E817" s="109"/>
      <c r="F817" s="58"/>
      <c r="G817" s="135"/>
      <c r="H817" s="129"/>
      <c r="I817" s="129"/>
      <c r="J817" s="130" t="b">
        <v>0</v>
      </c>
      <c r="K817" s="58"/>
      <c r="L817" s="131" t="str">
        <f t="shared" si="8"/>
        <v/>
      </c>
      <c r="M817" s="108"/>
      <c r="N817" s="109"/>
      <c r="O817" s="109"/>
      <c r="P817" s="109"/>
      <c r="Q817" s="58"/>
      <c r="R817" s="136" t="b">
        <v>0</v>
      </c>
      <c r="S817" s="58"/>
      <c r="T817" s="80"/>
      <c r="U817" s="80"/>
      <c r="V817" s="80"/>
      <c r="W817" s="80"/>
      <c r="X817" s="80"/>
      <c r="Y817" s="80"/>
      <c r="Z817" s="80"/>
      <c r="AA817" s="81"/>
      <c r="AB817" s="81"/>
      <c r="AC817" s="81"/>
      <c r="AD817" s="81"/>
      <c r="AE817" s="81"/>
    </row>
    <row r="818">
      <c r="A818" s="16"/>
      <c r="B818" s="127"/>
      <c r="C818" s="127"/>
      <c r="D818" s="108"/>
      <c r="E818" s="109"/>
      <c r="F818" s="58"/>
      <c r="G818" s="135"/>
      <c r="H818" s="129"/>
      <c r="I818" s="129"/>
      <c r="J818" s="130" t="b">
        <v>0</v>
      </c>
      <c r="K818" s="58"/>
      <c r="L818" s="131" t="str">
        <f t="shared" si="8"/>
        <v/>
      </c>
      <c r="M818" s="108"/>
      <c r="N818" s="109"/>
      <c r="O818" s="109"/>
      <c r="P818" s="109"/>
      <c r="Q818" s="58"/>
      <c r="R818" s="136" t="b">
        <v>0</v>
      </c>
      <c r="S818" s="58"/>
      <c r="T818" s="80"/>
      <c r="U818" s="80"/>
      <c r="V818" s="80"/>
      <c r="W818" s="80"/>
      <c r="X818" s="80"/>
      <c r="Y818" s="80"/>
      <c r="Z818" s="80"/>
      <c r="AA818" s="81"/>
      <c r="AB818" s="81"/>
      <c r="AC818" s="81"/>
      <c r="AD818" s="81"/>
      <c r="AE818" s="81"/>
    </row>
    <row r="819">
      <c r="A819" s="16"/>
      <c r="B819" s="127"/>
      <c r="C819" s="127"/>
      <c r="D819" s="108"/>
      <c r="E819" s="109"/>
      <c r="F819" s="58"/>
      <c r="G819" s="135"/>
      <c r="H819" s="129"/>
      <c r="I819" s="129"/>
      <c r="J819" s="130" t="b">
        <v>0</v>
      </c>
      <c r="K819" s="58"/>
      <c r="L819" s="131" t="str">
        <f t="shared" si="8"/>
        <v/>
      </c>
      <c r="M819" s="108"/>
      <c r="N819" s="109"/>
      <c r="O819" s="109"/>
      <c r="P819" s="109"/>
      <c r="Q819" s="58"/>
      <c r="R819" s="136" t="b">
        <v>0</v>
      </c>
      <c r="S819" s="58"/>
      <c r="T819" s="80"/>
      <c r="U819" s="80"/>
      <c r="V819" s="80"/>
      <c r="W819" s="80"/>
      <c r="X819" s="80"/>
      <c r="Y819" s="80"/>
      <c r="Z819" s="80"/>
      <c r="AA819" s="81"/>
      <c r="AB819" s="81"/>
      <c r="AC819" s="81"/>
      <c r="AD819" s="81"/>
      <c r="AE819" s="81"/>
    </row>
    <row r="820">
      <c r="A820" s="16"/>
      <c r="B820" s="127"/>
      <c r="C820" s="127"/>
      <c r="D820" s="108"/>
      <c r="E820" s="109"/>
      <c r="F820" s="58"/>
      <c r="G820" s="135"/>
      <c r="H820" s="129"/>
      <c r="I820" s="129"/>
      <c r="J820" s="130" t="b">
        <v>0</v>
      </c>
      <c r="K820" s="58"/>
      <c r="L820" s="131" t="str">
        <f t="shared" si="8"/>
        <v/>
      </c>
      <c r="M820" s="108"/>
      <c r="N820" s="109"/>
      <c r="O820" s="109"/>
      <c r="P820" s="109"/>
      <c r="Q820" s="58"/>
      <c r="R820" s="136" t="b">
        <v>0</v>
      </c>
      <c r="S820" s="58"/>
      <c r="T820" s="80"/>
      <c r="U820" s="80"/>
      <c r="V820" s="80"/>
      <c r="W820" s="80"/>
      <c r="X820" s="80"/>
      <c r="Y820" s="80"/>
      <c r="Z820" s="80"/>
      <c r="AA820" s="81"/>
      <c r="AB820" s="81"/>
      <c r="AC820" s="81"/>
      <c r="AD820" s="81"/>
      <c r="AE820" s="81"/>
    </row>
    <row r="821">
      <c r="A821" s="16"/>
      <c r="B821" s="127"/>
      <c r="C821" s="127"/>
      <c r="D821" s="108"/>
      <c r="E821" s="109"/>
      <c r="F821" s="58"/>
      <c r="G821" s="135"/>
      <c r="H821" s="129"/>
      <c r="I821" s="129"/>
      <c r="J821" s="130" t="b">
        <v>0</v>
      </c>
      <c r="K821" s="58"/>
      <c r="L821" s="131" t="str">
        <f t="shared" si="8"/>
        <v/>
      </c>
      <c r="M821" s="108"/>
      <c r="N821" s="109"/>
      <c r="O821" s="109"/>
      <c r="P821" s="109"/>
      <c r="Q821" s="58"/>
      <c r="R821" s="136" t="b">
        <v>0</v>
      </c>
      <c r="S821" s="58"/>
      <c r="T821" s="80"/>
      <c r="U821" s="80"/>
      <c r="V821" s="80"/>
      <c r="W821" s="80"/>
      <c r="X821" s="80"/>
      <c r="Y821" s="80"/>
      <c r="Z821" s="80"/>
      <c r="AA821" s="81"/>
      <c r="AB821" s="81"/>
      <c r="AC821" s="81"/>
      <c r="AD821" s="81"/>
      <c r="AE821" s="81"/>
    </row>
    <row r="822">
      <c r="A822" s="16"/>
      <c r="B822" s="127"/>
      <c r="C822" s="127"/>
      <c r="D822" s="108"/>
      <c r="E822" s="109"/>
      <c r="F822" s="58"/>
      <c r="G822" s="135"/>
      <c r="H822" s="129"/>
      <c r="I822" s="129"/>
      <c r="J822" s="130" t="b">
        <v>0</v>
      </c>
      <c r="K822" s="58"/>
      <c r="L822" s="131" t="str">
        <f t="shared" si="8"/>
        <v/>
      </c>
      <c r="M822" s="108"/>
      <c r="N822" s="109"/>
      <c r="O822" s="109"/>
      <c r="P822" s="109"/>
      <c r="Q822" s="58"/>
      <c r="R822" s="136" t="b">
        <v>0</v>
      </c>
      <c r="S822" s="58"/>
      <c r="T822" s="80"/>
      <c r="U822" s="80"/>
      <c r="V822" s="80"/>
      <c r="W822" s="80"/>
      <c r="X822" s="80"/>
      <c r="Y822" s="80"/>
      <c r="Z822" s="80"/>
      <c r="AA822" s="81"/>
      <c r="AB822" s="81"/>
      <c r="AC822" s="81"/>
      <c r="AD822" s="81"/>
      <c r="AE822" s="81"/>
    </row>
    <row r="823">
      <c r="A823" s="16"/>
      <c r="B823" s="127"/>
      <c r="C823" s="127"/>
      <c r="D823" s="108"/>
      <c r="E823" s="109"/>
      <c r="F823" s="58"/>
      <c r="G823" s="135"/>
      <c r="H823" s="129"/>
      <c r="I823" s="129"/>
      <c r="J823" s="130" t="b">
        <v>0</v>
      </c>
      <c r="K823" s="58"/>
      <c r="L823" s="131" t="str">
        <f t="shared" si="8"/>
        <v/>
      </c>
      <c r="M823" s="108"/>
      <c r="N823" s="109"/>
      <c r="O823" s="109"/>
      <c r="P823" s="109"/>
      <c r="Q823" s="58"/>
      <c r="R823" s="136" t="b">
        <v>0</v>
      </c>
      <c r="S823" s="58"/>
      <c r="T823" s="80"/>
      <c r="U823" s="80"/>
      <c r="V823" s="80"/>
      <c r="W823" s="80"/>
      <c r="X823" s="80"/>
      <c r="Y823" s="80"/>
      <c r="Z823" s="80"/>
      <c r="AA823" s="81"/>
      <c r="AB823" s="81"/>
      <c r="AC823" s="81"/>
      <c r="AD823" s="81"/>
      <c r="AE823" s="81"/>
    </row>
    <row r="824">
      <c r="A824" s="16"/>
      <c r="B824" s="127"/>
      <c r="C824" s="127"/>
      <c r="D824" s="108"/>
      <c r="E824" s="109"/>
      <c r="F824" s="58"/>
      <c r="G824" s="135"/>
      <c r="H824" s="129"/>
      <c r="I824" s="129"/>
      <c r="J824" s="130" t="b">
        <v>0</v>
      </c>
      <c r="K824" s="58"/>
      <c r="L824" s="131" t="str">
        <f t="shared" si="8"/>
        <v/>
      </c>
      <c r="M824" s="108"/>
      <c r="N824" s="109"/>
      <c r="O824" s="109"/>
      <c r="P824" s="109"/>
      <c r="Q824" s="58"/>
      <c r="R824" s="136" t="b">
        <v>0</v>
      </c>
      <c r="S824" s="58"/>
      <c r="T824" s="80"/>
      <c r="U824" s="80"/>
      <c r="V824" s="80"/>
      <c r="W824" s="80"/>
      <c r="X824" s="80"/>
      <c r="Y824" s="80"/>
      <c r="Z824" s="80"/>
      <c r="AA824" s="81"/>
      <c r="AB824" s="81"/>
      <c r="AC824" s="81"/>
      <c r="AD824" s="81"/>
      <c r="AE824" s="81"/>
    </row>
    <row r="825">
      <c r="A825" s="16"/>
      <c r="B825" s="127"/>
      <c r="C825" s="127"/>
      <c r="D825" s="108"/>
      <c r="E825" s="109"/>
      <c r="F825" s="58"/>
      <c r="G825" s="135"/>
      <c r="H825" s="129"/>
      <c r="I825" s="129"/>
      <c r="J825" s="130" t="b">
        <v>0</v>
      </c>
      <c r="K825" s="58"/>
      <c r="L825" s="131" t="str">
        <f t="shared" si="8"/>
        <v/>
      </c>
      <c r="M825" s="108"/>
      <c r="N825" s="109"/>
      <c r="O825" s="109"/>
      <c r="P825" s="109"/>
      <c r="Q825" s="58"/>
      <c r="R825" s="136" t="b">
        <v>0</v>
      </c>
      <c r="S825" s="58"/>
      <c r="T825" s="80"/>
      <c r="U825" s="80"/>
      <c r="V825" s="80"/>
      <c r="W825" s="80"/>
      <c r="X825" s="80"/>
      <c r="Y825" s="80"/>
      <c r="Z825" s="80"/>
      <c r="AA825" s="81"/>
      <c r="AB825" s="81"/>
      <c r="AC825" s="81"/>
      <c r="AD825" s="81"/>
      <c r="AE825" s="81"/>
    </row>
    <row r="826">
      <c r="A826" s="16"/>
      <c r="B826" s="127"/>
      <c r="C826" s="127"/>
      <c r="D826" s="108"/>
      <c r="E826" s="109"/>
      <c r="F826" s="58"/>
      <c r="G826" s="135"/>
      <c r="H826" s="129"/>
      <c r="I826" s="129"/>
      <c r="J826" s="130" t="b">
        <v>0</v>
      </c>
      <c r="K826" s="58"/>
      <c r="L826" s="131" t="str">
        <f t="shared" si="8"/>
        <v/>
      </c>
      <c r="M826" s="108"/>
      <c r="N826" s="109"/>
      <c r="O826" s="109"/>
      <c r="P826" s="109"/>
      <c r="Q826" s="58"/>
      <c r="R826" s="136" t="b">
        <v>0</v>
      </c>
      <c r="S826" s="58"/>
      <c r="T826" s="80"/>
      <c r="U826" s="80"/>
      <c r="V826" s="80"/>
      <c r="W826" s="80"/>
      <c r="X826" s="80"/>
      <c r="Y826" s="80"/>
      <c r="Z826" s="80"/>
      <c r="AA826" s="81"/>
      <c r="AB826" s="81"/>
      <c r="AC826" s="81"/>
      <c r="AD826" s="81"/>
      <c r="AE826" s="81"/>
    </row>
    <row r="827">
      <c r="A827" s="16"/>
      <c r="B827" s="127"/>
      <c r="C827" s="127"/>
      <c r="D827" s="108"/>
      <c r="E827" s="109"/>
      <c r="F827" s="58"/>
      <c r="G827" s="135"/>
      <c r="H827" s="129"/>
      <c r="I827" s="129"/>
      <c r="J827" s="130" t="b">
        <v>0</v>
      </c>
      <c r="K827" s="58"/>
      <c r="L827" s="131" t="str">
        <f t="shared" si="8"/>
        <v/>
      </c>
      <c r="M827" s="108"/>
      <c r="N827" s="109"/>
      <c r="O827" s="109"/>
      <c r="P827" s="109"/>
      <c r="Q827" s="58"/>
      <c r="R827" s="136" t="b">
        <v>0</v>
      </c>
      <c r="S827" s="58"/>
      <c r="T827" s="80"/>
      <c r="U827" s="80"/>
      <c r="V827" s="80"/>
      <c r="W827" s="80"/>
      <c r="X827" s="80"/>
      <c r="Y827" s="80"/>
      <c r="Z827" s="80"/>
      <c r="AA827" s="81"/>
      <c r="AB827" s="81"/>
      <c r="AC827" s="81"/>
      <c r="AD827" s="81"/>
      <c r="AE827" s="81"/>
    </row>
    <row r="828">
      <c r="A828" s="16"/>
      <c r="B828" s="127"/>
      <c r="C828" s="127"/>
      <c r="D828" s="108"/>
      <c r="E828" s="109"/>
      <c r="F828" s="58"/>
      <c r="G828" s="135"/>
      <c r="H828" s="129"/>
      <c r="I828" s="129"/>
      <c r="J828" s="130" t="b">
        <v>0</v>
      </c>
      <c r="K828" s="58"/>
      <c r="L828" s="131" t="str">
        <f t="shared" si="8"/>
        <v/>
      </c>
      <c r="M828" s="108"/>
      <c r="N828" s="109"/>
      <c r="O828" s="109"/>
      <c r="P828" s="109"/>
      <c r="Q828" s="58"/>
      <c r="R828" s="136" t="b">
        <v>0</v>
      </c>
      <c r="S828" s="58"/>
      <c r="T828" s="80"/>
      <c r="U828" s="80"/>
      <c r="V828" s="80"/>
      <c r="W828" s="80"/>
      <c r="X828" s="80"/>
      <c r="Y828" s="80"/>
      <c r="Z828" s="80"/>
      <c r="AA828" s="81"/>
      <c r="AB828" s="81"/>
      <c r="AC828" s="81"/>
      <c r="AD828" s="81"/>
      <c r="AE828" s="81"/>
    </row>
    <row r="829">
      <c r="A829" s="16"/>
      <c r="B829" s="127"/>
      <c r="C829" s="127"/>
      <c r="D829" s="108"/>
      <c r="E829" s="109"/>
      <c r="F829" s="58"/>
      <c r="G829" s="135"/>
      <c r="H829" s="129"/>
      <c r="I829" s="129"/>
      <c r="J829" s="130" t="b">
        <v>0</v>
      </c>
      <c r="K829" s="58"/>
      <c r="L829" s="131" t="str">
        <f t="shared" si="8"/>
        <v/>
      </c>
      <c r="M829" s="108"/>
      <c r="N829" s="109"/>
      <c r="O829" s="109"/>
      <c r="P829" s="109"/>
      <c r="Q829" s="58"/>
      <c r="R829" s="136" t="b">
        <v>0</v>
      </c>
      <c r="S829" s="58"/>
      <c r="T829" s="80"/>
      <c r="U829" s="80"/>
      <c r="V829" s="80"/>
      <c r="W829" s="80"/>
      <c r="X829" s="80"/>
      <c r="Y829" s="80"/>
      <c r="Z829" s="80"/>
      <c r="AA829" s="81"/>
      <c r="AB829" s="81"/>
      <c r="AC829" s="81"/>
      <c r="AD829" s="81"/>
      <c r="AE829" s="81"/>
    </row>
    <row r="830">
      <c r="A830" s="16"/>
      <c r="B830" s="127"/>
      <c r="C830" s="127"/>
      <c r="D830" s="108"/>
      <c r="E830" s="109"/>
      <c r="F830" s="58"/>
      <c r="G830" s="135"/>
      <c r="H830" s="129"/>
      <c r="I830" s="129"/>
      <c r="J830" s="130" t="b">
        <v>0</v>
      </c>
      <c r="K830" s="58"/>
      <c r="L830" s="131" t="str">
        <f t="shared" si="8"/>
        <v/>
      </c>
      <c r="M830" s="108"/>
      <c r="N830" s="109"/>
      <c r="O830" s="109"/>
      <c r="P830" s="109"/>
      <c r="Q830" s="58"/>
      <c r="R830" s="136" t="b">
        <v>0</v>
      </c>
      <c r="S830" s="58"/>
      <c r="T830" s="80"/>
      <c r="U830" s="80"/>
      <c r="V830" s="80"/>
      <c r="W830" s="80"/>
      <c r="X830" s="80"/>
      <c r="Y830" s="80"/>
      <c r="Z830" s="80"/>
      <c r="AA830" s="81"/>
      <c r="AB830" s="81"/>
      <c r="AC830" s="81"/>
      <c r="AD830" s="81"/>
      <c r="AE830" s="81"/>
    </row>
    <row r="831">
      <c r="A831" s="16"/>
      <c r="B831" s="127"/>
      <c r="C831" s="127"/>
      <c r="D831" s="108"/>
      <c r="E831" s="109"/>
      <c r="F831" s="58"/>
      <c r="G831" s="135"/>
      <c r="H831" s="129"/>
      <c r="I831" s="129"/>
      <c r="J831" s="130" t="b">
        <v>0</v>
      </c>
      <c r="K831" s="58"/>
      <c r="L831" s="131" t="str">
        <f t="shared" si="8"/>
        <v/>
      </c>
      <c r="M831" s="108"/>
      <c r="N831" s="109"/>
      <c r="O831" s="109"/>
      <c r="P831" s="109"/>
      <c r="Q831" s="58"/>
      <c r="R831" s="136" t="b">
        <v>0</v>
      </c>
      <c r="S831" s="58"/>
      <c r="T831" s="80"/>
      <c r="U831" s="80"/>
      <c r="V831" s="80"/>
      <c r="W831" s="80"/>
      <c r="X831" s="80"/>
      <c r="Y831" s="80"/>
      <c r="Z831" s="80"/>
      <c r="AA831" s="81"/>
      <c r="AB831" s="81"/>
      <c r="AC831" s="81"/>
      <c r="AD831" s="81"/>
      <c r="AE831" s="81"/>
    </row>
    <row r="832">
      <c r="A832" s="16"/>
      <c r="B832" s="127"/>
      <c r="C832" s="127"/>
      <c r="D832" s="108"/>
      <c r="E832" s="109"/>
      <c r="F832" s="58"/>
      <c r="G832" s="135"/>
      <c r="H832" s="129"/>
      <c r="I832" s="129"/>
      <c r="J832" s="130" t="b">
        <v>0</v>
      </c>
      <c r="K832" s="58"/>
      <c r="L832" s="131" t="str">
        <f t="shared" si="8"/>
        <v/>
      </c>
      <c r="M832" s="108"/>
      <c r="N832" s="109"/>
      <c r="O832" s="109"/>
      <c r="P832" s="109"/>
      <c r="Q832" s="58"/>
      <c r="R832" s="136" t="b">
        <v>0</v>
      </c>
      <c r="S832" s="58"/>
      <c r="T832" s="80"/>
      <c r="U832" s="80"/>
      <c r="V832" s="80"/>
      <c r="W832" s="80"/>
      <c r="X832" s="80"/>
      <c r="Y832" s="80"/>
      <c r="Z832" s="80"/>
      <c r="AA832" s="81"/>
      <c r="AB832" s="81"/>
      <c r="AC832" s="81"/>
      <c r="AD832" s="81"/>
      <c r="AE832" s="81"/>
    </row>
    <row r="833">
      <c r="A833" s="16"/>
      <c r="B833" s="127"/>
      <c r="C833" s="127"/>
      <c r="D833" s="108"/>
      <c r="E833" s="109"/>
      <c r="F833" s="58"/>
      <c r="G833" s="135"/>
      <c r="H833" s="129"/>
      <c r="I833" s="129"/>
      <c r="J833" s="130" t="b">
        <v>0</v>
      </c>
      <c r="K833" s="58"/>
      <c r="L833" s="131" t="str">
        <f t="shared" si="8"/>
        <v/>
      </c>
      <c r="M833" s="108"/>
      <c r="N833" s="109"/>
      <c r="O833" s="109"/>
      <c r="P833" s="109"/>
      <c r="Q833" s="58"/>
      <c r="R833" s="136" t="b">
        <v>0</v>
      </c>
      <c r="S833" s="58"/>
      <c r="T833" s="80"/>
      <c r="U833" s="80"/>
      <c r="V833" s="80"/>
      <c r="W833" s="80"/>
      <c r="X833" s="80"/>
      <c r="Y833" s="80"/>
      <c r="Z833" s="80"/>
      <c r="AA833" s="81"/>
      <c r="AB833" s="81"/>
      <c r="AC833" s="81"/>
      <c r="AD833" s="81"/>
      <c r="AE833" s="81"/>
    </row>
    <row r="834">
      <c r="A834" s="16"/>
      <c r="B834" s="127"/>
      <c r="C834" s="127"/>
      <c r="D834" s="108"/>
      <c r="E834" s="109"/>
      <c r="F834" s="58"/>
      <c r="G834" s="135"/>
      <c r="H834" s="129"/>
      <c r="I834" s="129"/>
      <c r="J834" s="130" t="b">
        <v>0</v>
      </c>
      <c r="K834" s="58"/>
      <c r="L834" s="131" t="str">
        <f t="shared" si="8"/>
        <v/>
      </c>
      <c r="M834" s="108"/>
      <c r="N834" s="109"/>
      <c r="O834" s="109"/>
      <c r="P834" s="109"/>
      <c r="Q834" s="58"/>
      <c r="R834" s="136" t="b">
        <v>0</v>
      </c>
      <c r="S834" s="58"/>
      <c r="T834" s="80"/>
      <c r="U834" s="80"/>
      <c r="V834" s="80"/>
      <c r="W834" s="80"/>
      <c r="X834" s="80"/>
      <c r="Y834" s="80"/>
      <c r="Z834" s="80"/>
      <c r="AA834" s="81"/>
      <c r="AB834" s="81"/>
      <c r="AC834" s="81"/>
      <c r="AD834" s="81"/>
      <c r="AE834" s="81"/>
    </row>
    <row r="835">
      <c r="A835" s="16"/>
      <c r="B835" s="127"/>
      <c r="C835" s="127"/>
      <c r="D835" s="108"/>
      <c r="E835" s="109"/>
      <c r="F835" s="58"/>
      <c r="G835" s="135"/>
      <c r="H835" s="129"/>
      <c r="I835" s="129"/>
      <c r="J835" s="130" t="b">
        <v>0</v>
      </c>
      <c r="K835" s="58"/>
      <c r="L835" s="131" t="str">
        <f t="shared" si="8"/>
        <v/>
      </c>
      <c r="M835" s="108"/>
      <c r="N835" s="109"/>
      <c r="O835" s="109"/>
      <c r="P835" s="109"/>
      <c r="Q835" s="58"/>
      <c r="R835" s="136" t="b">
        <v>0</v>
      </c>
      <c r="S835" s="58"/>
      <c r="T835" s="80"/>
      <c r="U835" s="80"/>
      <c r="V835" s="80"/>
      <c r="W835" s="80"/>
      <c r="X835" s="80"/>
      <c r="Y835" s="80"/>
      <c r="Z835" s="80"/>
      <c r="AA835" s="81"/>
      <c r="AB835" s="81"/>
      <c r="AC835" s="81"/>
      <c r="AD835" s="81"/>
      <c r="AE835" s="81"/>
    </row>
    <row r="836">
      <c r="A836" s="16"/>
      <c r="B836" s="127"/>
      <c r="C836" s="127"/>
      <c r="D836" s="108"/>
      <c r="E836" s="109"/>
      <c r="F836" s="58"/>
      <c r="G836" s="135"/>
      <c r="H836" s="129"/>
      <c r="I836" s="129"/>
      <c r="J836" s="130" t="b">
        <v>0</v>
      </c>
      <c r="K836" s="58"/>
      <c r="L836" s="131" t="str">
        <f t="shared" si="8"/>
        <v/>
      </c>
      <c r="M836" s="108"/>
      <c r="N836" s="109"/>
      <c r="O836" s="109"/>
      <c r="P836" s="109"/>
      <c r="Q836" s="58"/>
      <c r="R836" s="136" t="b">
        <v>0</v>
      </c>
      <c r="S836" s="58"/>
      <c r="T836" s="80"/>
      <c r="U836" s="80"/>
      <c r="V836" s="80"/>
      <c r="W836" s="80"/>
      <c r="X836" s="80"/>
      <c r="Y836" s="80"/>
      <c r="Z836" s="80"/>
      <c r="AA836" s="81"/>
      <c r="AB836" s="81"/>
      <c r="AC836" s="81"/>
      <c r="AD836" s="81"/>
      <c r="AE836" s="81"/>
    </row>
    <row r="837">
      <c r="A837" s="16"/>
      <c r="B837" s="127"/>
      <c r="C837" s="127"/>
      <c r="D837" s="108"/>
      <c r="E837" s="109"/>
      <c r="F837" s="58"/>
      <c r="G837" s="135"/>
      <c r="H837" s="129"/>
      <c r="I837" s="129"/>
      <c r="J837" s="130" t="b">
        <v>0</v>
      </c>
      <c r="K837" s="58"/>
      <c r="L837" s="131" t="str">
        <f t="shared" si="8"/>
        <v/>
      </c>
      <c r="M837" s="108"/>
      <c r="N837" s="109"/>
      <c r="O837" s="109"/>
      <c r="P837" s="109"/>
      <c r="Q837" s="58"/>
      <c r="R837" s="136" t="b">
        <v>0</v>
      </c>
      <c r="S837" s="58"/>
      <c r="T837" s="80"/>
      <c r="U837" s="80"/>
      <c r="V837" s="80"/>
      <c r="W837" s="80"/>
      <c r="X837" s="80"/>
      <c r="Y837" s="80"/>
      <c r="Z837" s="80"/>
      <c r="AA837" s="81"/>
      <c r="AB837" s="81"/>
      <c r="AC837" s="81"/>
      <c r="AD837" s="81"/>
      <c r="AE837" s="81"/>
    </row>
    <row r="838">
      <c r="A838" s="16"/>
      <c r="B838" s="127"/>
      <c r="C838" s="127"/>
      <c r="D838" s="108"/>
      <c r="E838" s="109"/>
      <c r="F838" s="58"/>
      <c r="G838" s="135"/>
      <c r="H838" s="129"/>
      <c r="I838" s="129"/>
      <c r="J838" s="130" t="b">
        <v>0</v>
      </c>
      <c r="K838" s="58"/>
      <c r="L838" s="131" t="str">
        <f t="shared" si="8"/>
        <v/>
      </c>
      <c r="M838" s="108"/>
      <c r="N838" s="109"/>
      <c r="O838" s="109"/>
      <c r="P838" s="109"/>
      <c r="Q838" s="58"/>
      <c r="R838" s="136" t="b">
        <v>0</v>
      </c>
      <c r="S838" s="58"/>
      <c r="T838" s="80"/>
      <c r="U838" s="80"/>
      <c r="V838" s="80"/>
      <c r="W838" s="80"/>
      <c r="X838" s="80"/>
      <c r="Y838" s="80"/>
      <c r="Z838" s="80"/>
      <c r="AA838" s="81"/>
      <c r="AB838" s="81"/>
      <c r="AC838" s="81"/>
      <c r="AD838" s="81"/>
      <c r="AE838" s="81"/>
    </row>
    <row r="839">
      <c r="A839" s="16"/>
      <c r="B839" s="127"/>
      <c r="C839" s="127"/>
      <c r="D839" s="108"/>
      <c r="E839" s="109"/>
      <c r="F839" s="58"/>
      <c r="G839" s="135"/>
      <c r="H839" s="129"/>
      <c r="I839" s="129"/>
      <c r="J839" s="130" t="b">
        <v>0</v>
      </c>
      <c r="K839" s="58"/>
      <c r="L839" s="131" t="str">
        <f t="shared" si="8"/>
        <v/>
      </c>
      <c r="M839" s="108"/>
      <c r="N839" s="109"/>
      <c r="O839" s="109"/>
      <c r="P839" s="109"/>
      <c r="Q839" s="58"/>
      <c r="R839" s="136" t="b">
        <v>0</v>
      </c>
      <c r="S839" s="58"/>
      <c r="T839" s="80"/>
      <c r="U839" s="80"/>
      <c r="V839" s="80"/>
      <c r="W839" s="80"/>
      <c r="X839" s="80"/>
      <c r="Y839" s="80"/>
      <c r="Z839" s="80"/>
      <c r="AA839" s="81"/>
      <c r="AB839" s="81"/>
      <c r="AC839" s="81"/>
      <c r="AD839" s="81"/>
      <c r="AE839" s="81"/>
    </row>
    <row r="840">
      <c r="A840" s="16"/>
      <c r="B840" s="127"/>
      <c r="C840" s="127"/>
      <c r="D840" s="108"/>
      <c r="E840" s="109"/>
      <c r="F840" s="58"/>
      <c r="G840" s="135"/>
      <c r="H840" s="129"/>
      <c r="I840" s="129"/>
      <c r="J840" s="130" t="b">
        <v>0</v>
      </c>
      <c r="K840" s="58"/>
      <c r="L840" s="131" t="str">
        <f t="shared" si="8"/>
        <v/>
      </c>
      <c r="M840" s="108"/>
      <c r="N840" s="109"/>
      <c r="O840" s="109"/>
      <c r="P840" s="109"/>
      <c r="Q840" s="58"/>
      <c r="R840" s="136" t="b">
        <v>0</v>
      </c>
      <c r="S840" s="58"/>
      <c r="T840" s="80"/>
      <c r="U840" s="80"/>
      <c r="V840" s="80"/>
      <c r="W840" s="80"/>
      <c r="X840" s="80"/>
      <c r="Y840" s="80"/>
      <c r="Z840" s="80"/>
      <c r="AA840" s="81"/>
      <c r="AB840" s="81"/>
      <c r="AC840" s="81"/>
      <c r="AD840" s="81"/>
      <c r="AE840" s="81"/>
    </row>
    <row r="841">
      <c r="A841" s="16"/>
      <c r="B841" s="127"/>
      <c r="C841" s="127"/>
      <c r="D841" s="108"/>
      <c r="E841" s="109"/>
      <c r="F841" s="58"/>
      <c r="G841" s="135"/>
      <c r="H841" s="129"/>
      <c r="I841" s="129"/>
      <c r="J841" s="130" t="b">
        <v>0</v>
      </c>
      <c r="K841" s="58"/>
      <c r="L841" s="131" t="str">
        <f t="shared" si="8"/>
        <v/>
      </c>
      <c r="M841" s="108"/>
      <c r="N841" s="109"/>
      <c r="O841" s="109"/>
      <c r="P841" s="109"/>
      <c r="Q841" s="58"/>
      <c r="R841" s="136" t="b">
        <v>0</v>
      </c>
      <c r="S841" s="58"/>
      <c r="T841" s="80"/>
      <c r="U841" s="80"/>
      <c r="V841" s="80"/>
      <c r="W841" s="80"/>
      <c r="X841" s="80"/>
      <c r="Y841" s="80"/>
      <c r="Z841" s="80"/>
      <c r="AA841" s="81"/>
      <c r="AB841" s="81"/>
      <c r="AC841" s="81"/>
      <c r="AD841" s="81"/>
      <c r="AE841" s="81"/>
    </row>
    <row r="842">
      <c r="A842" s="16"/>
      <c r="B842" s="127"/>
      <c r="C842" s="127"/>
      <c r="D842" s="108"/>
      <c r="E842" s="109"/>
      <c r="F842" s="58"/>
      <c r="G842" s="135"/>
      <c r="H842" s="129"/>
      <c r="I842" s="129"/>
      <c r="J842" s="130" t="b">
        <v>0</v>
      </c>
      <c r="K842" s="58"/>
      <c r="L842" s="131" t="str">
        <f t="shared" si="8"/>
        <v/>
      </c>
      <c r="M842" s="108"/>
      <c r="N842" s="109"/>
      <c r="O842" s="109"/>
      <c r="P842" s="109"/>
      <c r="Q842" s="58"/>
      <c r="R842" s="136" t="b">
        <v>0</v>
      </c>
      <c r="S842" s="58"/>
      <c r="T842" s="80"/>
      <c r="U842" s="80"/>
      <c r="V842" s="80"/>
      <c r="W842" s="80"/>
      <c r="X842" s="80"/>
      <c r="Y842" s="80"/>
      <c r="Z842" s="80"/>
      <c r="AA842" s="81"/>
      <c r="AB842" s="81"/>
      <c r="AC842" s="81"/>
      <c r="AD842" s="81"/>
      <c r="AE842" s="81"/>
    </row>
    <row r="843">
      <c r="A843" s="16"/>
      <c r="B843" s="127"/>
      <c r="C843" s="127"/>
      <c r="D843" s="108"/>
      <c r="E843" s="109"/>
      <c r="F843" s="58"/>
      <c r="G843" s="135"/>
      <c r="H843" s="129"/>
      <c r="I843" s="129"/>
      <c r="J843" s="130" t="b">
        <v>0</v>
      </c>
      <c r="K843" s="58"/>
      <c r="L843" s="131" t="str">
        <f t="shared" si="8"/>
        <v/>
      </c>
      <c r="M843" s="108"/>
      <c r="N843" s="109"/>
      <c r="O843" s="109"/>
      <c r="P843" s="109"/>
      <c r="Q843" s="58"/>
      <c r="R843" s="136" t="b">
        <v>0</v>
      </c>
      <c r="S843" s="58"/>
      <c r="T843" s="80"/>
      <c r="U843" s="80"/>
      <c r="V843" s="80"/>
      <c r="W843" s="80"/>
      <c r="X843" s="80"/>
      <c r="Y843" s="80"/>
      <c r="Z843" s="80"/>
      <c r="AA843" s="81"/>
      <c r="AB843" s="81"/>
      <c r="AC843" s="81"/>
      <c r="AD843" s="81"/>
      <c r="AE843" s="81"/>
    </row>
    <row r="844">
      <c r="A844" s="16"/>
      <c r="B844" s="127"/>
      <c r="C844" s="127"/>
      <c r="D844" s="108"/>
      <c r="E844" s="109"/>
      <c r="F844" s="58"/>
      <c r="G844" s="135"/>
      <c r="H844" s="129"/>
      <c r="I844" s="129"/>
      <c r="J844" s="130" t="b">
        <v>0</v>
      </c>
      <c r="K844" s="58"/>
      <c r="L844" s="131" t="str">
        <f t="shared" si="8"/>
        <v/>
      </c>
      <c r="M844" s="108"/>
      <c r="N844" s="109"/>
      <c r="O844" s="109"/>
      <c r="P844" s="109"/>
      <c r="Q844" s="58"/>
      <c r="R844" s="136" t="b">
        <v>0</v>
      </c>
      <c r="S844" s="58"/>
      <c r="T844" s="80"/>
      <c r="U844" s="80"/>
      <c r="V844" s="80"/>
      <c r="W844" s="80"/>
      <c r="X844" s="80"/>
      <c r="Y844" s="80"/>
      <c r="Z844" s="80"/>
      <c r="AA844" s="81"/>
      <c r="AB844" s="81"/>
      <c r="AC844" s="81"/>
      <c r="AD844" s="81"/>
      <c r="AE844" s="81"/>
    </row>
    <row r="845">
      <c r="A845" s="16"/>
      <c r="B845" s="127"/>
      <c r="C845" s="127"/>
      <c r="D845" s="108"/>
      <c r="E845" s="109"/>
      <c r="F845" s="58"/>
      <c r="G845" s="135"/>
      <c r="H845" s="129"/>
      <c r="I845" s="129"/>
      <c r="J845" s="130" t="b">
        <v>0</v>
      </c>
      <c r="K845" s="58"/>
      <c r="L845" s="131" t="str">
        <f t="shared" si="8"/>
        <v/>
      </c>
      <c r="M845" s="108"/>
      <c r="N845" s="109"/>
      <c r="O845" s="109"/>
      <c r="P845" s="109"/>
      <c r="Q845" s="58"/>
      <c r="R845" s="136" t="b">
        <v>0</v>
      </c>
      <c r="S845" s="58"/>
      <c r="T845" s="80"/>
      <c r="U845" s="80"/>
      <c r="V845" s="80"/>
      <c r="W845" s="80"/>
      <c r="X845" s="80"/>
      <c r="Y845" s="80"/>
      <c r="Z845" s="80"/>
      <c r="AA845" s="81"/>
      <c r="AB845" s="81"/>
      <c r="AC845" s="81"/>
      <c r="AD845" s="81"/>
      <c r="AE845" s="81"/>
    </row>
    <row r="846">
      <c r="A846" s="16"/>
      <c r="B846" s="127"/>
      <c r="C846" s="127"/>
      <c r="D846" s="108"/>
      <c r="E846" s="109"/>
      <c r="F846" s="58"/>
      <c r="G846" s="135"/>
      <c r="H846" s="129"/>
      <c r="I846" s="129"/>
      <c r="J846" s="130" t="b">
        <v>0</v>
      </c>
      <c r="K846" s="58"/>
      <c r="L846" s="131" t="str">
        <f t="shared" si="8"/>
        <v/>
      </c>
      <c r="M846" s="108"/>
      <c r="N846" s="109"/>
      <c r="O846" s="109"/>
      <c r="P846" s="109"/>
      <c r="Q846" s="58"/>
      <c r="R846" s="136" t="b">
        <v>0</v>
      </c>
      <c r="S846" s="58"/>
      <c r="T846" s="80"/>
      <c r="U846" s="80"/>
      <c r="V846" s="80"/>
      <c r="W846" s="80"/>
      <c r="X846" s="80"/>
      <c r="Y846" s="80"/>
      <c r="Z846" s="80"/>
      <c r="AA846" s="81"/>
      <c r="AB846" s="81"/>
      <c r="AC846" s="81"/>
      <c r="AD846" s="81"/>
      <c r="AE846" s="81"/>
    </row>
    <row r="847">
      <c r="A847" s="16"/>
      <c r="B847" s="127"/>
      <c r="C847" s="127"/>
      <c r="D847" s="108"/>
      <c r="E847" s="109"/>
      <c r="F847" s="58"/>
      <c r="G847" s="135"/>
      <c r="H847" s="129"/>
      <c r="I847" s="129"/>
      <c r="J847" s="130" t="b">
        <v>0</v>
      </c>
      <c r="K847" s="58"/>
      <c r="L847" s="131" t="str">
        <f t="shared" si="8"/>
        <v/>
      </c>
      <c r="M847" s="108"/>
      <c r="N847" s="109"/>
      <c r="O847" s="109"/>
      <c r="P847" s="109"/>
      <c r="Q847" s="58"/>
      <c r="R847" s="136" t="b">
        <v>0</v>
      </c>
      <c r="S847" s="58"/>
      <c r="T847" s="80"/>
      <c r="U847" s="80"/>
      <c r="V847" s="80"/>
      <c r="W847" s="80"/>
      <c r="X847" s="80"/>
      <c r="Y847" s="80"/>
      <c r="Z847" s="80"/>
      <c r="AA847" s="81"/>
      <c r="AB847" s="81"/>
      <c r="AC847" s="81"/>
      <c r="AD847" s="81"/>
      <c r="AE847" s="81"/>
    </row>
    <row r="848">
      <c r="A848" s="16"/>
      <c r="B848" s="127"/>
      <c r="C848" s="127"/>
      <c r="D848" s="108"/>
      <c r="E848" s="109"/>
      <c r="F848" s="58"/>
      <c r="G848" s="135"/>
      <c r="H848" s="129"/>
      <c r="I848" s="129"/>
      <c r="J848" s="130" t="b">
        <v>0</v>
      </c>
      <c r="K848" s="58"/>
      <c r="L848" s="131" t="str">
        <f t="shared" si="8"/>
        <v/>
      </c>
      <c r="M848" s="108"/>
      <c r="N848" s="109"/>
      <c r="O848" s="109"/>
      <c r="P848" s="109"/>
      <c r="Q848" s="58"/>
      <c r="R848" s="136" t="b">
        <v>0</v>
      </c>
      <c r="S848" s="58"/>
      <c r="T848" s="80"/>
      <c r="U848" s="80"/>
      <c r="V848" s="80"/>
      <c r="W848" s="80"/>
      <c r="X848" s="80"/>
      <c r="Y848" s="80"/>
      <c r="Z848" s="80"/>
      <c r="AA848" s="81"/>
      <c r="AB848" s="81"/>
      <c r="AC848" s="81"/>
      <c r="AD848" s="81"/>
      <c r="AE848" s="81"/>
    </row>
    <row r="849">
      <c r="A849" s="16"/>
      <c r="B849" s="127"/>
      <c r="C849" s="127"/>
      <c r="D849" s="108"/>
      <c r="E849" s="109"/>
      <c r="F849" s="58"/>
      <c r="G849" s="135"/>
      <c r="H849" s="129"/>
      <c r="I849" s="129"/>
      <c r="J849" s="130" t="b">
        <v>0</v>
      </c>
      <c r="K849" s="58"/>
      <c r="L849" s="131" t="str">
        <f t="shared" si="8"/>
        <v/>
      </c>
      <c r="M849" s="108"/>
      <c r="N849" s="109"/>
      <c r="O849" s="109"/>
      <c r="P849" s="109"/>
      <c r="Q849" s="58"/>
      <c r="R849" s="136" t="b">
        <v>0</v>
      </c>
      <c r="S849" s="58"/>
      <c r="T849" s="80"/>
      <c r="U849" s="80"/>
      <c r="V849" s="80"/>
      <c r="W849" s="80"/>
      <c r="X849" s="80"/>
      <c r="Y849" s="80"/>
      <c r="Z849" s="80"/>
      <c r="AA849" s="81"/>
      <c r="AB849" s="81"/>
      <c r="AC849" s="81"/>
      <c r="AD849" s="81"/>
      <c r="AE849" s="81"/>
    </row>
    <row r="850">
      <c r="A850" s="16"/>
      <c r="B850" s="127"/>
      <c r="C850" s="127"/>
      <c r="D850" s="108"/>
      <c r="E850" s="109"/>
      <c r="F850" s="58"/>
      <c r="G850" s="135"/>
      <c r="H850" s="129"/>
      <c r="I850" s="129"/>
      <c r="J850" s="130" t="b">
        <v>0</v>
      </c>
      <c r="K850" s="58"/>
      <c r="L850" s="131" t="str">
        <f t="shared" si="8"/>
        <v/>
      </c>
      <c r="M850" s="108"/>
      <c r="N850" s="109"/>
      <c r="O850" s="109"/>
      <c r="P850" s="109"/>
      <c r="Q850" s="58"/>
      <c r="R850" s="136" t="b">
        <v>0</v>
      </c>
      <c r="S850" s="58"/>
      <c r="T850" s="80"/>
      <c r="U850" s="80"/>
      <c r="V850" s="80"/>
      <c r="W850" s="80"/>
      <c r="X850" s="80"/>
      <c r="Y850" s="80"/>
      <c r="Z850" s="80"/>
      <c r="AA850" s="81"/>
      <c r="AB850" s="81"/>
      <c r="AC850" s="81"/>
      <c r="AD850" s="81"/>
      <c r="AE850" s="81"/>
    </row>
    <row r="851">
      <c r="A851" s="16"/>
      <c r="B851" s="127"/>
      <c r="C851" s="127"/>
      <c r="D851" s="108"/>
      <c r="E851" s="109"/>
      <c r="F851" s="58"/>
      <c r="G851" s="135"/>
      <c r="H851" s="129"/>
      <c r="I851" s="129"/>
      <c r="J851" s="130" t="b">
        <v>0</v>
      </c>
      <c r="K851" s="58"/>
      <c r="L851" s="131" t="str">
        <f t="shared" si="8"/>
        <v/>
      </c>
      <c r="M851" s="108"/>
      <c r="N851" s="109"/>
      <c r="O851" s="109"/>
      <c r="P851" s="109"/>
      <c r="Q851" s="58"/>
      <c r="R851" s="136" t="b">
        <v>0</v>
      </c>
      <c r="S851" s="58"/>
      <c r="T851" s="80"/>
      <c r="U851" s="80"/>
      <c r="V851" s="80"/>
      <c r="W851" s="80"/>
      <c r="X851" s="80"/>
      <c r="Y851" s="80"/>
      <c r="Z851" s="80"/>
      <c r="AA851" s="81"/>
      <c r="AB851" s="81"/>
      <c r="AC851" s="81"/>
      <c r="AD851" s="81"/>
      <c r="AE851" s="81"/>
    </row>
    <row r="852">
      <c r="A852" s="16"/>
      <c r="B852" s="127"/>
      <c r="C852" s="127"/>
      <c r="D852" s="108"/>
      <c r="E852" s="109"/>
      <c r="F852" s="58"/>
      <c r="G852" s="135"/>
      <c r="H852" s="129"/>
      <c r="I852" s="129"/>
      <c r="J852" s="130" t="b">
        <v>0</v>
      </c>
      <c r="K852" s="58"/>
      <c r="L852" s="131" t="str">
        <f t="shared" si="8"/>
        <v/>
      </c>
      <c r="M852" s="108"/>
      <c r="N852" s="109"/>
      <c r="O852" s="109"/>
      <c r="P852" s="109"/>
      <c r="Q852" s="58"/>
      <c r="R852" s="136" t="b">
        <v>0</v>
      </c>
      <c r="S852" s="58"/>
      <c r="T852" s="80"/>
      <c r="U852" s="80"/>
      <c r="V852" s="80"/>
      <c r="W852" s="80"/>
      <c r="X852" s="80"/>
      <c r="Y852" s="80"/>
      <c r="Z852" s="80"/>
      <c r="AA852" s="81"/>
      <c r="AB852" s="81"/>
      <c r="AC852" s="81"/>
      <c r="AD852" s="81"/>
      <c r="AE852" s="81"/>
    </row>
    <row r="853">
      <c r="A853" s="16"/>
      <c r="B853" s="127"/>
      <c r="C853" s="127"/>
      <c r="D853" s="108"/>
      <c r="E853" s="109"/>
      <c r="F853" s="58"/>
      <c r="G853" s="135"/>
      <c r="H853" s="129"/>
      <c r="I853" s="129"/>
      <c r="J853" s="130" t="b">
        <v>0</v>
      </c>
      <c r="K853" s="58"/>
      <c r="L853" s="131" t="str">
        <f t="shared" si="8"/>
        <v/>
      </c>
      <c r="M853" s="108"/>
      <c r="N853" s="109"/>
      <c r="O853" s="109"/>
      <c r="P853" s="109"/>
      <c r="Q853" s="58"/>
      <c r="R853" s="136" t="b">
        <v>0</v>
      </c>
      <c r="S853" s="58"/>
      <c r="T853" s="80"/>
      <c r="U853" s="80"/>
      <c r="V853" s="80"/>
      <c r="W853" s="80"/>
      <c r="X853" s="80"/>
      <c r="Y853" s="80"/>
      <c r="Z853" s="80"/>
      <c r="AA853" s="81"/>
      <c r="AB853" s="81"/>
      <c r="AC853" s="81"/>
      <c r="AD853" s="81"/>
      <c r="AE853" s="81"/>
    </row>
    <row r="854">
      <c r="A854" s="16"/>
      <c r="B854" s="127"/>
      <c r="C854" s="127"/>
      <c r="D854" s="108"/>
      <c r="E854" s="109"/>
      <c r="F854" s="58"/>
      <c r="G854" s="135"/>
      <c r="H854" s="129"/>
      <c r="I854" s="129"/>
      <c r="J854" s="130" t="b">
        <v>0</v>
      </c>
      <c r="K854" s="58"/>
      <c r="L854" s="131" t="str">
        <f t="shared" si="8"/>
        <v/>
      </c>
      <c r="M854" s="108"/>
      <c r="N854" s="109"/>
      <c r="O854" s="109"/>
      <c r="P854" s="109"/>
      <c r="Q854" s="58"/>
      <c r="R854" s="136" t="b">
        <v>0</v>
      </c>
      <c r="S854" s="58"/>
      <c r="T854" s="80"/>
      <c r="U854" s="80"/>
      <c r="V854" s="80"/>
      <c r="W854" s="80"/>
      <c r="X854" s="80"/>
      <c r="Y854" s="80"/>
      <c r="Z854" s="80"/>
      <c r="AA854" s="81"/>
      <c r="AB854" s="81"/>
      <c r="AC854" s="81"/>
      <c r="AD854" s="81"/>
      <c r="AE854" s="81"/>
    </row>
    <row r="855">
      <c r="A855" s="16"/>
      <c r="B855" s="127"/>
      <c r="C855" s="127"/>
      <c r="D855" s="108"/>
      <c r="E855" s="109"/>
      <c r="F855" s="58"/>
      <c r="G855" s="135"/>
      <c r="H855" s="129"/>
      <c r="I855" s="129"/>
      <c r="J855" s="130" t="b">
        <v>0</v>
      </c>
      <c r="K855" s="58"/>
      <c r="L855" s="131" t="str">
        <f t="shared" si="8"/>
        <v/>
      </c>
      <c r="M855" s="108"/>
      <c r="N855" s="109"/>
      <c r="O855" s="109"/>
      <c r="P855" s="109"/>
      <c r="Q855" s="58"/>
      <c r="R855" s="136" t="b">
        <v>0</v>
      </c>
      <c r="S855" s="58"/>
      <c r="T855" s="80"/>
      <c r="U855" s="80"/>
      <c r="V855" s="80"/>
      <c r="W855" s="80"/>
      <c r="X855" s="80"/>
      <c r="Y855" s="80"/>
      <c r="Z855" s="80"/>
      <c r="AA855" s="81"/>
      <c r="AB855" s="81"/>
      <c r="AC855" s="81"/>
      <c r="AD855" s="81"/>
      <c r="AE855" s="81"/>
    </row>
    <row r="856">
      <c r="A856" s="16"/>
      <c r="B856" s="127"/>
      <c r="C856" s="127"/>
      <c r="D856" s="108"/>
      <c r="E856" s="109"/>
      <c r="F856" s="58"/>
      <c r="G856" s="135"/>
      <c r="H856" s="129"/>
      <c r="I856" s="129"/>
      <c r="J856" s="130" t="b">
        <v>0</v>
      </c>
      <c r="K856" s="58"/>
      <c r="L856" s="131" t="str">
        <f t="shared" si="8"/>
        <v/>
      </c>
      <c r="M856" s="108"/>
      <c r="N856" s="109"/>
      <c r="O856" s="109"/>
      <c r="P856" s="109"/>
      <c r="Q856" s="58"/>
      <c r="R856" s="136" t="b">
        <v>0</v>
      </c>
      <c r="S856" s="58"/>
      <c r="T856" s="80"/>
      <c r="U856" s="80"/>
      <c r="V856" s="80"/>
      <c r="W856" s="80"/>
      <c r="X856" s="80"/>
      <c r="Y856" s="80"/>
      <c r="Z856" s="80"/>
      <c r="AA856" s="81"/>
      <c r="AB856" s="81"/>
      <c r="AC856" s="81"/>
      <c r="AD856" s="81"/>
      <c r="AE856" s="81"/>
    </row>
    <row r="857">
      <c r="A857" s="16"/>
      <c r="B857" s="127"/>
      <c r="C857" s="127"/>
      <c r="D857" s="108"/>
      <c r="E857" s="109"/>
      <c r="F857" s="58"/>
      <c r="G857" s="135"/>
      <c r="H857" s="129"/>
      <c r="I857" s="129"/>
      <c r="J857" s="130" t="b">
        <v>0</v>
      </c>
      <c r="K857" s="58"/>
      <c r="L857" s="131" t="str">
        <f t="shared" si="8"/>
        <v/>
      </c>
      <c r="M857" s="108"/>
      <c r="N857" s="109"/>
      <c r="O857" s="109"/>
      <c r="P857" s="109"/>
      <c r="Q857" s="58"/>
      <c r="R857" s="136" t="b">
        <v>0</v>
      </c>
      <c r="S857" s="58"/>
      <c r="T857" s="80"/>
      <c r="U857" s="80"/>
      <c r="V857" s="80"/>
      <c r="W857" s="80"/>
      <c r="X857" s="80"/>
      <c r="Y857" s="80"/>
      <c r="Z857" s="80"/>
      <c r="AA857" s="81"/>
      <c r="AB857" s="81"/>
      <c r="AC857" s="81"/>
      <c r="AD857" s="81"/>
      <c r="AE857" s="81"/>
    </row>
    <row r="858">
      <c r="A858" s="16"/>
      <c r="B858" s="127"/>
      <c r="C858" s="127"/>
      <c r="D858" s="108"/>
      <c r="E858" s="109"/>
      <c r="F858" s="58"/>
      <c r="G858" s="135"/>
      <c r="H858" s="129"/>
      <c r="I858" s="129"/>
      <c r="J858" s="130" t="b">
        <v>0</v>
      </c>
      <c r="K858" s="58"/>
      <c r="L858" s="131" t="str">
        <f t="shared" si="8"/>
        <v/>
      </c>
      <c r="M858" s="108"/>
      <c r="N858" s="109"/>
      <c r="O858" s="109"/>
      <c r="P858" s="109"/>
      <c r="Q858" s="58"/>
      <c r="R858" s="136" t="b">
        <v>0</v>
      </c>
      <c r="S858" s="58"/>
      <c r="T858" s="80"/>
      <c r="U858" s="80"/>
      <c r="V858" s="80"/>
      <c r="W858" s="80"/>
      <c r="X858" s="80"/>
      <c r="Y858" s="80"/>
      <c r="Z858" s="80"/>
      <c r="AA858" s="81"/>
      <c r="AB858" s="81"/>
      <c r="AC858" s="81"/>
      <c r="AD858" s="81"/>
      <c r="AE858" s="81"/>
    </row>
    <row r="859">
      <c r="A859" s="16"/>
      <c r="B859" s="127"/>
      <c r="C859" s="127"/>
      <c r="D859" s="108"/>
      <c r="E859" s="109"/>
      <c r="F859" s="58"/>
      <c r="G859" s="135"/>
      <c r="H859" s="129"/>
      <c r="I859" s="129"/>
      <c r="J859" s="130" t="b">
        <v>0</v>
      </c>
      <c r="K859" s="58"/>
      <c r="L859" s="131" t="str">
        <f t="shared" si="8"/>
        <v/>
      </c>
      <c r="M859" s="108"/>
      <c r="N859" s="109"/>
      <c r="O859" s="109"/>
      <c r="P859" s="109"/>
      <c r="Q859" s="58"/>
      <c r="R859" s="136" t="b">
        <v>0</v>
      </c>
      <c r="S859" s="58"/>
      <c r="T859" s="80"/>
      <c r="U859" s="80"/>
      <c r="V859" s="80"/>
      <c r="W859" s="80"/>
      <c r="X859" s="80"/>
      <c r="Y859" s="80"/>
      <c r="Z859" s="80"/>
      <c r="AA859" s="81"/>
      <c r="AB859" s="81"/>
      <c r="AC859" s="81"/>
      <c r="AD859" s="81"/>
      <c r="AE859" s="81"/>
    </row>
    <row r="860">
      <c r="A860" s="16"/>
      <c r="B860" s="127"/>
      <c r="C860" s="127"/>
      <c r="D860" s="108"/>
      <c r="E860" s="109"/>
      <c r="F860" s="58"/>
      <c r="G860" s="135"/>
      <c r="H860" s="129"/>
      <c r="I860" s="129"/>
      <c r="J860" s="130" t="b">
        <v>0</v>
      </c>
      <c r="K860" s="58"/>
      <c r="L860" s="131" t="str">
        <f t="shared" si="8"/>
        <v/>
      </c>
      <c r="M860" s="108"/>
      <c r="N860" s="109"/>
      <c r="O860" s="109"/>
      <c r="P860" s="109"/>
      <c r="Q860" s="58"/>
      <c r="R860" s="136" t="b">
        <v>0</v>
      </c>
      <c r="S860" s="58"/>
      <c r="T860" s="80"/>
      <c r="U860" s="80"/>
      <c r="V860" s="80"/>
      <c r="W860" s="80"/>
      <c r="X860" s="80"/>
      <c r="Y860" s="80"/>
      <c r="Z860" s="80"/>
      <c r="AA860" s="81"/>
      <c r="AB860" s="81"/>
      <c r="AC860" s="81"/>
      <c r="AD860" s="81"/>
      <c r="AE860" s="81"/>
    </row>
    <row r="861">
      <c r="A861" s="16"/>
      <c r="B861" s="127"/>
      <c r="C861" s="127"/>
      <c r="D861" s="108"/>
      <c r="E861" s="109"/>
      <c r="F861" s="58"/>
      <c r="G861" s="135"/>
      <c r="H861" s="129"/>
      <c r="I861" s="129"/>
      <c r="J861" s="130" t="b">
        <v>0</v>
      </c>
      <c r="K861" s="58"/>
      <c r="L861" s="131" t="str">
        <f t="shared" si="8"/>
        <v/>
      </c>
      <c r="M861" s="108"/>
      <c r="N861" s="109"/>
      <c r="O861" s="109"/>
      <c r="P861" s="109"/>
      <c r="Q861" s="58"/>
      <c r="R861" s="136" t="b">
        <v>0</v>
      </c>
      <c r="S861" s="58"/>
      <c r="T861" s="80"/>
      <c r="U861" s="80"/>
      <c r="V861" s="80"/>
      <c r="W861" s="80"/>
      <c r="X861" s="80"/>
      <c r="Y861" s="80"/>
      <c r="Z861" s="80"/>
      <c r="AA861" s="81"/>
      <c r="AB861" s="81"/>
      <c r="AC861" s="81"/>
      <c r="AD861" s="81"/>
      <c r="AE861" s="81"/>
    </row>
    <row r="862">
      <c r="A862" s="16"/>
      <c r="B862" s="127"/>
      <c r="C862" s="127"/>
      <c r="D862" s="108"/>
      <c r="E862" s="109"/>
      <c r="F862" s="58"/>
      <c r="G862" s="135"/>
      <c r="H862" s="129"/>
      <c r="I862" s="129"/>
      <c r="J862" s="130" t="b">
        <v>0</v>
      </c>
      <c r="K862" s="58"/>
      <c r="L862" s="131" t="str">
        <f t="shared" si="8"/>
        <v/>
      </c>
      <c r="M862" s="108"/>
      <c r="N862" s="109"/>
      <c r="O862" s="109"/>
      <c r="P862" s="109"/>
      <c r="Q862" s="58"/>
      <c r="R862" s="136" t="b">
        <v>0</v>
      </c>
      <c r="S862" s="58"/>
      <c r="T862" s="80"/>
      <c r="U862" s="80"/>
      <c r="V862" s="80"/>
      <c r="W862" s="80"/>
      <c r="X862" s="80"/>
      <c r="Y862" s="80"/>
      <c r="Z862" s="80"/>
      <c r="AA862" s="81"/>
      <c r="AB862" s="81"/>
      <c r="AC862" s="81"/>
      <c r="AD862" s="81"/>
      <c r="AE862" s="81"/>
    </row>
    <row r="863">
      <c r="A863" s="16"/>
      <c r="B863" s="127"/>
      <c r="C863" s="127"/>
      <c r="D863" s="108"/>
      <c r="E863" s="109"/>
      <c r="F863" s="58"/>
      <c r="G863" s="135"/>
      <c r="H863" s="129"/>
      <c r="I863" s="129"/>
      <c r="J863" s="130" t="b">
        <v>0</v>
      </c>
      <c r="K863" s="58"/>
      <c r="L863" s="131" t="str">
        <f t="shared" si="8"/>
        <v/>
      </c>
      <c r="M863" s="108"/>
      <c r="N863" s="109"/>
      <c r="O863" s="109"/>
      <c r="P863" s="109"/>
      <c r="Q863" s="58"/>
      <c r="R863" s="136" t="b">
        <v>0</v>
      </c>
      <c r="S863" s="58"/>
      <c r="T863" s="80"/>
      <c r="U863" s="80"/>
      <c r="V863" s="80"/>
      <c r="W863" s="80"/>
      <c r="X863" s="80"/>
      <c r="Y863" s="80"/>
      <c r="Z863" s="80"/>
      <c r="AA863" s="81"/>
      <c r="AB863" s="81"/>
      <c r="AC863" s="81"/>
      <c r="AD863" s="81"/>
      <c r="AE863" s="81"/>
    </row>
    <row r="864">
      <c r="A864" s="16"/>
      <c r="B864" s="127"/>
      <c r="C864" s="127"/>
      <c r="D864" s="108"/>
      <c r="E864" s="109"/>
      <c r="F864" s="58"/>
      <c r="G864" s="135"/>
      <c r="H864" s="129"/>
      <c r="I864" s="129"/>
      <c r="J864" s="130" t="b">
        <v>0</v>
      </c>
      <c r="K864" s="58"/>
      <c r="L864" s="131" t="str">
        <f t="shared" si="8"/>
        <v/>
      </c>
      <c r="M864" s="108"/>
      <c r="N864" s="109"/>
      <c r="O864" s="109"/>
      <c r="P864" s="109"/>
      <c r="Q864" s="58"/>
      <c r="R864" s="136" t="b">
        <v>0</v>
      </c>
      <c r="S864" s="58"/>
      <c r="T864" s="80"/>
      <c r="U864" s="80"/>
      <c r="V864" s="80"/>
      <c r="W864" s="80"/>
      <c r="X864" s="80"/>
      <c r="Y864" s="80"/>
      <c r="Z864" s="80"/>
      <c r="AA864" s="81"/>
      <c r="AB864" s="81"/>
      <c r="AC864" s="81"/>
      <c r="AD864" s="81"/>
      <c r="AE864" s="81"/>
    </row>
    <row r="865">
      <c r="A865" s="16"/>
      <c r="B865" s="127"/>
      <c r="C865" s="127"/>
      <c r="D865" s="108"/>
      <c r="E865" s="109"/>
      <c r="F865" s="58"/>
      <c r="G865" s="135"/>
      <c r="H865" s="129"/>
      <c r="I865" s="129"/>
      <c r="J865" s="130" t="b">
        <v>0</v>
      </c>
      <c r="K865" s="58"/>
      <c r="L865" s="131" t="str">
        <f t="shared" si="8"/>
        <v/>
      </c>
      <c r="M865" s="108"/>
      <c r="N865" s="109"/>
      <c r="O865" s="109"/>
      <c r="P865" s="109"/>
      <c r="Q865" s="58"/>
      <c r="R865" s="136" t="b">
        <v>0</v>
      </c>
      <c r="S865" s="58"/>
      <c r="T865" s="80"/>
      <c r="U865" s="80"/>
      <c r="V865" s="80"/>
      <c r="W865" s="80"/>
      <c r="X865" s="80"/>
      <c r="Y865" s="80"/>
      <c r="Z865" s="80"/>
      <c r="AA865" s="81"/>
      <c r="AB865" s="81"/>
      <c r="AC865" s="81"/>
      <c r="AD865" s="81"/>
      <c r="AE865" s="81"/>
    </row>
    <row r="866">
      <c r="A866" s="16"/>
      <c r="B866" s="127"/>
      <c r="C866" s="127"/>
      <c r="D866" s="108"/>
      <c r="E866" s="109"/>
      <c r="F866" s="58"/>
      <c r="G866" s="135"/>
      <c r="H866" s="129"/>
      <c r="I866" s="129"/>
      <c r="J866" s="130" t="b">
        <v>0</v>
      </c>
      <c r="K866" s="58"/>
      <c r="L866" s="131" t="str">
        <f t="shared" si="8"/>
        <v/>
      </c>
      <c r="M866" s="108"/>
      <c r="N866" s="109"/>
      <c r="O866" s="109"/>
      <c r="P866" s="109"/>
      <c r="Q866" s="58"/>
      <c r="R866" s="136" t="b">
        <v>0</v>
      </c>
      <c r="S866" s="58"/>
      <c r="T866" s="80"/>
      <c r="U866" s="80"/>
      <c r="V866" s="80"/>
      <c r="W866" s="80"/>
      <c r="X866" s="80"/>
      <c r="Y866" s="80"/>
      <c r="Z866" s="80"/>
      <c r="AA866" s="81"/>
      <c r="AB866" s="81"/>
      <c r="AC866" s="81"/>
      <c r="AD866" s="81"/>
      <c r="AE866" s="81"/>
    </row>
    <row r="867">
      <c r="A867" s="16"/>
      <c r="B867" s="127"/>
      <c r="C867" s="127"/>
      <c r="D867" s="108"/>
      <c r="E867" s="109"/>
      <c r="F867" s="58"/>
      <c r="G867" s="135"/>
      <c r="H867" s="129"/>
      <c r="I867" s="129"/>
      <c r="J867" s="130" t="b">
        <v>0</v>
      </c>
      <c r="K867" s="58"/>
      <c r="L867" s="131" t="str">
        <f t="shared" si="8"/>
        <v/>
      </c>
      <c r="M867" s="108"/>
      <c r="N867" s="109"/>
      <c r="O867" s="109"/>
      <c r="P867" s="109"/>
      <c r="Q867" s="58"/>
      <c r="R867" s="136" t="b">
        <v>0</v>
      </c>
      <c r="S867" s="58"/>
      <c r="T867" s="80"/>
      <c r="U867" s="80"/>
      <c r="V867" s="80"/>
      <c r="W867" s="80"/>
      <c r="X867" s="80"/>
      <c r="Y867" s="80"/>
      <c r="Z867" s="80"/>
      <c r="AA867" s="81"/>
      <c r="AB867" s="81"/>
      <c r="AC867" s="81"/>
      <c r="AD867" s="81"/>
      <c r="AE867" s="81"/>
    </row>
    <row r="868">
      <c r="A868" s="16"/>
      <c r="B868" s="127"/>
      <c r="C868" s="127"/>
      <c r="D868" s="108"/>
      <c r="E868" s="109"/>
      <c r="F868" s="58"/>
      <c r="G868" s="135"/>
      <c r="H868" s="129"/>
      <c r="I868" s="129"/>
      <c r="J868" s="130" t="b">
        <v>0</v>
      </c>
      <c r="K868" s="58"/>
      <c r="L868" s="131" t="str">
        <f t="shared" si="8"/>
        <v/>
      </c>
      <c r="M868" s="108"/>
      <c r="N868" s="109"/>
      <c r="O868" s="109"/>
      <c r="P868" s="109"/>
      <c r="Q868" s="58"/>
      <c r="R868" s="136" t="b">
        <v>0</v>
      </c>
      <c r="S868" s="58"/>
      <c r="T868" s="80"/>
      <c r="U868" s="80"/>
      <c r="V868" s="80"/>
      <c r="W868" s="80"/>
      <c r="X868" s="80"/>
      <c r="Y868" s="80"/>
      <c r="Z868" s="80"/>
      <c r="AA868" s="81"/>
      <c r="AB868" s="81"/>
      <c r="AC868" s="81"/>
      <c r="AD868" s="81"/>
      <c r="AE868" s="81"/>
    </row>
    <row r="869">
      <c r="A869" s="16"/>
      <c r="B869" s="127"/>
      <c r="C869" s="127"/>
      <c r="D869" s="108"/>
      <c r="E869" s="109"/>
      <c r="F869" s="58"/>
      <c r="G869" s="135"/>
      <c r="H869" s="129"/>
      <c r="I869" s="129"/>
      <c r="J869" s="130" t="b">
        <v>0</v>
      </c>
      <c r="K869" s="58"/>
      <c r="L869" s="131" t="str">
        <f t="shared" si="8"/>
        <v/>
      </c>
      <c r="M869" s="108"/>
      <c r="N869" s="109"/>
      <c r="O869" s="109"/>
      <c r="P869" s="109"/>
      <c r="Q869" s="58"/>
      <c r="R869" s="136" t="b">
        <v>0</v>
      </c>
      <c r="S869" s="58"/>
      <c r="T869" s="80"/>
      <c r="U869" s="80"/>
      <c r="V869" s="80"/>
      <c r="W869" s="80"/>
      <c r="X869" s="80"/>
      <c r="Y869" s="80"/>
      <c r="Z869" s="80"/>
      <c r="AA869" s="81"/>
      <c r="AB869" s="81"/>
      <c r="AC869" s="81"/>
      <c r="AD869" s="81"/>
      <c r="AE869" s="81"/>
    </row>
    <row r="870">
      <c r="A870" s="16"/>
      <c r="B870" s="127"/>
      <c r="C870" s="127"/>
      <c r="D870" s="108"/>
      <c r="E870" s="109"/>
      <c r="F870" s="58"/>
      <c r="G870" s="135"/>
      <c r="H870" s="129"/>
      <c r="I870" s="129"/>
      <c r="J870" s="130" t="b">
        <v>0</v>
      </c>
      <c r="K870" s="58"/>
      <c r="L870" s="131" t="str">
        <f t="shared" si="8"/>
        <v/>
      </c>
      <c r="M870" s="108"/>
      <c r="N870" s="109"/>
      <c r="O870" s="109"/>
      <c r="P870" s="109"/>
      <c r="Q870" s="58"/>
      <c r="R870" s="136" t="b">
        <v>0</v>
      </c>
      <c r="S870" s="58"/>
      <c r="T870" s="80"/>
      <c r="U870" s="80"/>
      <c r="V870" s="80"/>
      <c r="W870" s="80"/>
      <c r="X870" s="80"/>
      <c r="Y870" s="80"/>
      <c r="Z870" s="80"/>
      <c r="AA870" s="81"/>
      <c r="AB870" s="81"/>
      <c r="AC870" s="81"/>
      <c r="AD870" s="81"/>
      <c r="AE870" s="81"/>
    </row>
    <row r="871">
      <c r="A871" s="16"/>
      <c r="B871" s="127"/>
      <c r="C871" s="127"/>
      <c r="D871" s="108"/>
      <c r="E871" s="109"/>
      <c r="F871" s="58"/>
      <c r="G871" s="135"/>
      <c r="H871" s="129"/>
      <c r="I871" s="129"/>
      <c r="J871" s="130" t="b">
        <v>0</v>
      </c>
      <c r="K871" s="58"/>
      <c r="L871" s="131" t="str">
        <f t="shared" si="8"/>
        <v/>
      </c>
      <c r="M871" s="108"/>
      <c r="N871" s="109"/>
      <c r="O871" s="109"/>
      <c r="P871" s="109"/>
      <c r="Q871" s="58"/>
      <c r="R871" s="136" t="b">
        <v>0</v>
      </c>
      <c r="S871" s="58"/>
      <c r="T871" s="80"/>
      <c r="U871" s="80"/>
      <c r="V871" s="80"/>
      <c r="W871" s="80"/>
      <c r="X871" s="80"/>
      <c r="Y871" s="80"/>
      <c r="Z871" s="80"/>
      <c r="AA871" s="81"/>
      <c r="AB871" s="81"/>
      <c r="AC871" s="81"/>
      <c r="AD871" s="81"/>
      <c r="AE871" s="81"/>
    </row>
    <row r="872">
      <c r="A872" s="16"/>
      <c r="B872" s="127"/>
      <c r="C872" s="127"/>
      <c r="D872" s="108"/>
      <c r="E872" s="109"/>
      <c r="F872" s="58"/>
      <c r="G872" s="135"/>
      <c r="H872" s="129"/>
      <c r="I872" s="129"/>
      <c r="J872" s="130" t="b">
        <v>0</v>
      </c>
      <c r="K872" s="58"/>
      <c r="L872" s="131" t="str">
        <f t="shared" si="8"/>
        <v/>
      </c>
      <c r="M872" s="108"/>
      <c r="N872" s="109"/>
      <c r="O872" s="109"/>
      <c r="P872" s="109"/>
      <c r="Q872" s="58"/>
      <c r="R872" s="136" t="b">
        <v>0</v>
      </c>
      <c r="S872" s="58"/>
      <c r="T872" s="80"/>
      <c r="U872" s="80"/>
      <c r="V872" s="80"/>
      <c r="W872" s="80"/>
      <c r="X872" s="80"/>
      <c r="Y872" s="80"/>
      <c r="Z872" s="80"/>
      <c r="AA872" s="81"/>
      <c r="AB872" s="81"/>
      <c r="AC872" s="81"/>
      <c r="AD872" s="81"/>
      <c r="AE872" s="81"/>
    </row>
    <row r="873">
      <c r="A873" s="16"/>
      <c r="B873" s="127"/>
      <c r="C873" s="127"/>
      <c r="D873" s="108"/>
      <c r="E873" s="109"/>
      <c r="F873" s="58"/>
      <c r="G873" s="135"/>
      <c r="H873" s="129"/>
      <c r="I873" s="129"/>
      <c r="J873" s="130" t="b">
        <v>0</v>
      </c>
      <c r="K873" s="58"/>
      <c r="L873" s="131" t="str">
        <f t="shared" si="8"/>
        <v/>
      </c>
      <c r="M873" s="108"/>
      <c r="N873" s="109"/>
      <c r="O873" s="109"/>
      <c r="P873" s="109"/>
      <c r="Q873" s="58"/>
      <c r="R873" s="136" t="b">
        <v>0</v>
      </c>
      <c r="S873" s="58"/>
      <c r="T873" s="80"/>
      <c r="U873" s="80"/>
      <c r="V873" s="80"/>
      <c r="W873" s="80"/>
      <c r="X873" s="80"/>
      <c r="Y873" s="80"/>
      <c r="Z873" s="80"/>
      <c r="AA873" s="81"/>
      <c r="AB873" s="81"/>
      <c r="AC873" s="81"/>
      <c r="AD873" s="81"/>
      <c r="AE873" s="81"/>
    </row>
    <row r="874">
      <c r="A874" s="16"/>
      <c r="B874" s="127"/>
      <c r="C874" s="127"/>
      <c r="D874" s="108"/>
      <c r="E874" s="109"/>
      <c r="F874" s="58"/>
      <c r="G874" s="135"/>
      <c r="H874" s="129"/>
      <c r="I874" s="129"/>
      <c r="J874" s="130" t="b">
        <v>0</v>
      </c>
      <c r="K874" s="58"/>
      <c r="L874" s="131" t="str">
        <f t="shared" si="8"/>
        <v/>
      </c>
      <c r="M874" s="108"/>
      <c r="N874" s="109"/>
      <c r="O874" s="109"/>
      <c r="P874" s="109"/>
      <c r="Q874" s="58"/>
      <c r="R874" s="136" t="b">
        <v>0</v>
      </c>
      <c r="S874" s="58"/>
      <c r="T874" s="80"/>
      <c r="U874" s="80"/>
      <c r="V874" s="80"/>
      <c r="W874" s="80"/>
      <c r="X874" s="80"/>
      <c r="Y874" s="80"/>
      <c r="Z874" s="80"/>
      <c r="AA874" s="81"/>
      <c r="AB874" s="81"/>
      <c r="AC874" s="81"/>
      <c r="AD874" s="81"/>
      <c r="AE874" s="81"/>
    </row>
    <row r="875">
      <c r="A875" s="16"/>
      <c r="B875" s="127"/>
      <c r="C875" s="127"/>
      <c r="D875" s="108"/>
      <c r="E875" s="109"/>
      <c r="F875" s="58"/>
      <c r="G875" s="135"/>
      <c r="H875" s="129"/>
      <c r="I875" s="129"/>
      <c r="J875" s="130" t="b">
        <v>0</v>
      </c>
      <c r="K875" s="58"/>
      <c r="L875" s="131" t="str">
        <f t="shared" si="8"/>
        <v/>
      </c>
      <c r="M875" s="108"/>
      <c r="N875" s="109"/>
      <c r="O875" s="109"/>
      <c r="P875" s="109"/>
      <c r="Q875" s="58"/>
      <c r="R875" s="136" t="b">
        <v>0</v>
      </c>
      <c r="S875" s="58"/>
      <c r="T875" s="80"/>
      <c r="U875" s="80"/>
      <c r="V875" s="80"/>
      <c r="W875" s="80"/>
      <c r="X875" s="80"/>
      <c r="Y875" s="80"/>
      <c r="Z875" s="80"/>
      <c r="AA875" s="81"/>
      <c r="AB875" s="81"/>
      <c r="AC875" s="81"/>
      <c r="AD875" s="81"/>
      <c r="AE875" s="81"/>
    </row>
    <row r="876">
      <c r="A876" s="16"/>
      <c r="B876" s="127"/>
      <c r="C876" s="127"/>
      <c r="D876" s="108"/>
      <c r="E876" s="109"/>
      <c r="F876" s="58"/>
      <c r="G876" s="135"/>
      <c r="H876" s="129"/>
      <c r="I876" s="129"/>
      <c r="J876" s="130" t="b">
        <v>0</v>
      </c>
      <c r="K876" s="58"/>
      <c r="L876" s="131" t="str">
        <f t="shared" si="8"/>
        <v/>
      </c>
      <c r="M876" s="108"/>
      <c r="N876" s="109"/>
      <c r="O876" s="109"/>
      <c r="P876" s="109"/>
      <c r="Q876" s="58"/>
      <c r="R876" s="136" t="b">
        <v>0</v>
      </c>
      <c r="S876" s="58"/>
      <c r="T876" s="80"/>
      <c r="U876" s="80"/>
      <c r="V876" s="80"/>
      <c r="W876" s="80"/>
      <c r="X876" s="80"/>
      <c r="Y876" s="80"/>
      <c r="Z876" s="80"/>
      <c r="AA876" s="81"/>
      <c r="AB876" s="81"/>
      <c r="AC876" s="81"/>
      <c r="AD876" s="81"/>
      <c r="AE876" s="81"/>
    </row>
    <row r="877">
      <c r="A877" s="16"/>
      <c r="B877" s="127"/>
      <c r="C877" s="127"/>
      <c r="D877" s="108"/>
      <c r="E877" s="109"/>
      <c r="F877" s="58"/>
      <c r="G877" s="135"/>
      <c r="H877" s="129"/>
      <c r="I877" s="129"/>
      <c r="J877" s="130" t="b">
        <v>0</v>
      </c>
      <c r="K877" s="58"/>
      <c r="L877" s="131" t="str">
        <f t="shared" si="8"/>
        <v/>
      </c>
      <c r="M877" s="108"/>
      <c r="N877" s="109"/>
      <c r="O877" s="109"/>
      <c r="P877" s="109"/>
      <c r="Q877" s="58"/>
      <c r="R877" s="136" t="b">
        <v>0</v>
      </c>
      <c r="S877" s="58"/>
      <c r="T877" s="80"/>
      <c r="U877" s="80"/>
      <c r="V877" s="80"/>
      <c r="W877" s="80"/>
      <c r="X877" s="80"/>
      <c r="Y877" s="80"/>
      <c r="Z877" s="80"/>
      <c r="AA877" s="81"/>
      <c r="AB877" s="81"/>
      <c r="AC877" s="81"/>
      <c r="AD877" s="81"/>
      <c r="AE877" s="81"/>
    </row>
    <row r="878">
      <c r="A878" s="16"/>
      <c r="B878" s="127"/>
      <c r="C878" s="127"/>
      <c r="D878" s="108"/>
      <c r="E878" s="109"/>
      <c r="F878" s="58"/>
      <c r="G878" s="135"/>
      <c r="H878" s="129"/>
      <c r="I878" s="129"/>
      <c r="J878" s="130" t="b">
        <v>0</v>
      </c>
      <c r="K878" s="58"/>
      <c r="L878" s="131" t="str">
        <f t="shared" si="8"/>
        <v/>
      </c>
      <c r="M878" s="108"/>
      <c r="N878" s="109"/>
      <c r="O878" s="109"/>
      <c r="P878" s="109"/>
      <c r="Q878" s="58"/>
      <c r="R878" s="136" t="b">
        <v>0</v>
      </c>
      <c r="S878" s="58"/>
      <c r="T878" s="80"/>
      <c r="U878" s="80"/>
      <c r="V878" s="80"/>
      <c r="W878" s="80"/>
      <c r="X878" s="80"/>
      <c r="Y878" s="80"/>
      <c r="Z878" s="80"/>
      <c r="AA878" s="81"/>
      <c r="AB878" s="81"/>
      <c r="AC878" s="81"/>
      <c r="AD878" s="81"/>
      <c r="AE878" s="81"/>
    </row>
    <row r="879">
      <c r="A879" s="16"/>
      <c r="B879" s="127"/>
      <c r="C879" s="127"/>
      <c r="D879" s="108"/>
      <c r="E879" s="109"/>
      <c r="F879" s="58"/>
      <c r="G879" s="135"/>
      <c r="H879" s="129"/>
      <c r="I879" s="129"/>
      <c r="J879" s="130" t="b">
        <v>0</v>
      </c>
      <c r="K879" s="58"/>
      <c r="L879" s="131" t="str">
        <f t="shared" si="8"/>
        <v/>
      </c>
      <c r="M879" s="108"/>
      <c r="N879" s="109"/>
      <c r="O879" s="109"/>
      <c r="P879" s="109"/>
      <c r="Q879" s="58"/>
      <c r="R879" s="136" t="b">
        <v>0</v>
      </c>
      <c r="S879" s="58"/>
      <c r="T879" s="80"/>
      <c r="U879" s="80"/>
      <c r="V879" s="80"/>
      <c r="W879" s="80"/>
      <c r="X879" s="80"/>
      <c r="Y879" s="80"/>
      <c r="Z879" s="80"/>
      <c r="AA879" s="81"/>
      <c r="AB879" s="81"/>
      <c r="AC879" s="81"/>
      <c r="AD879" s="81"/>
      <c r="AE879" s="81"/>
    </row>
    <row r="880">
      <c r="A880" s="16"/>
      <c r="B880" s="127"/>
      <c r="C880" s="127"/>
      <c r="D880" s="108"/>
      <c r="E880" s="109"/>
      <c r="F880" s="58"/>
      <c r="G880" s="135"/>
      <c r="H880" s="129"/>
      <c r="I880" s="129"/>
      <c r="J880" s="130" t="b">
        <v>0</v>
      </c>
      <c r="K880" s="58"/>
      <c r="L880" s="131" t="str">
        <f t="shared" si="8"/>
        <v/>
      </c>
      <c r="M880" s="108"/>
      <c r="N880" s="109"/>
      <c r="O880" s="109"/>
      <c r="P880" s="109"/>
      <c r="Q880" s="58"/>
      <c r="R880" s="136" t="b">
        <v>0</v>
      </c>
      <c r="S880" s="58"/>
      <c r="T880" s="80"/>
      <c r="U880" s="80"/>
      <c r="V880" s="80"/>
      <c r="W880" s="80"/>
      <c r="X880" s="80"/>
      <c r="Y880" s="80"/>
      <c r="Z880" s="80"/>
      <c r="AA880" s="81"/>
      <c r="AB880" s="81"/>
      <c r="AC880" s="81"/>
      <c r="AD880" s="81"/>
      <c r="AE880" s="81"/>
    </row>
    <row r="881">
      <c r="A881" s="16"/>
      <c r="B881" s="127"/>
      <c r="C881" s="127"/>
      <c r="D881" s="108"/>
      <c r="E881" s="109"/>
      <c r="F881" s="58"/>
      <c r="G881" s="135"/>
      <c r="H881" s="129"/>
      <c r="I881" s="129"/>
      <c r="J881" s="130" t="b">
        <v>0</v>
      </c>
      <c r="K881" s="58"/>
      <c r="L881" s="131" t="str">
        <f t="shared" si="8"/>
        <v/>
      </c>
      <c r="M881" s="108"/>
      <c r="N881" s="109"/>
      <c r="O881" s="109"/>
      <c r="P881" s="109"/>
      <c r="Q881" s="58"/>
      <c r="R881" s="136" t="b">
        <v>0</v>
      </c>
      <c r="S881" s="58"/>
      <c r="T881" s="80"/>
      <c r="U881" s="80"/>
      <c r="V881" s="80"/>
      <c r="W881" s="80"/>
      <c r="X881" s="80"/>
      <c r="Y881" s="80"/>
      <c r="Z881" s="80"/>
      <c r="AA881" s="81"/>
      <c r="AB881" s="81"/>
      <c r="AC881" s="81"/>
      <c r="AD881" s="81"/>
      <c r="AE881" s="81"/>
    </row>
    <row r="882">
      <c r="A882" s="16"/>
      <c r="B882" s="127"/>
      <c r="C882" s="127"/>
      <c r="D882" s="108"/>
      <c r="E882" s="109"/>
      <c r="F882" s="58"/>
      <c r="G882" s="135"/>
      <c r="H882" s="129"/>
      <c r="I882" s="129"/>
      <c r="J882" s="130" t="b">
        <v>0</v>
      </c>
      <c r="K882" s="58"/>
      <c r="L882" s="131" t="str">
        <f t="shared" si="8"/>
        <v/>
      </c>
      <c r="M882" s="108"/>
      <c r="N882" s="109"/>
      <c r="O882" s="109"/>
      <c r="P882" s="109"/>
      <c r="Q882" s="58"/>
      <c r="R882" s="136" t="b">
        <v>0</v>
      </c>
      <c r="S882" s="58"/>
      <c r="T882" s="80"/>
      <c r="U882" s="80"/>
      <c r="V882" s="80"/>
      <c r="W882" s="80"/>
      <c r="X882" s="80"/>
      <c r="Y882" s="80"/>
      <c r="Z882" s="80"/>
      <c r="AA882" s="81"/>
      <c r="AB882" s="81"/>
      <c r="AC882" s="81"/>
      <c r="AD882" s="81"/>
      <c r="AE882" s="81"/>
    </row>
    <row r="883">
      <c r="A883" s="16"/>
      <c r="B883" s="127"/>
      <c r="C883" s="127"/>
      <c r="D883" s="108"/>
      <c r="E883" s="109"/>
      <c r="F883" s="58"/>
      <c r="G883" s="135"/>
      <c r="H883" s="129"/>
      <c r="I883" s="129"/>
      <c r="J883" s="130" t="b">
        <v>0</v>
      </c>
      <c r="K883" s="58"/>
      <c r="L883" s="131" t="str">
        <f t="shared" si="8"/>
        <v/>
      </c>
      <c r="M883" s="108"/>
      <c r="N883" s="109"/>
      <c r="O883" s="109"/>
      <c r="P883" s="109"/>
      <c r="Q883" s="58"/>
      <c r="R883" s="136" t="b">
        <v>0</v>
      </c>
      <c r="S883" s="58"/>
      <c r="T883" s="80"/>
      <c r="U883" s="80"/>
      <c r="V883" s="80"/>
      <c r="W883" s="80"/>
      <c r="X883" s="80"/>
      <c r="Y883" s="80"/>
      <c r="Z883" s="80"/>
      <c r="AA883" s="81"/>
      <c r="AB883" s="81"/>
      <c r="AC883" s="81"/>
      <c r="AD883" s="81"/>
      <c r="AE883" s="81"/>
    </row>
    <row r="884">
      <c r="A884" s="16"/>
      <c r="B884" s="127"/>
      <c r="C884" s="127"/>
      <c r="D884" s="108"/>
      <c r="E884" s="109"/>
      <c r="F884" s="58"/>
      <c r="G884" s="135"/>
      <c r="H884" s="129"/>
      <c r="I884" s="129"/>
      <c r="J884" s="130" t="b">
        <v>0</v>
      </c>
      <c r="K884" s="58"/>
      <c r="L884" s="131" t="str">
        <f t="shared" si="8"/>
        <v/>
      </c>
      <c r="M884" s="108"/>
      <c r="N884" s="109"/>
      <c r="O884" s="109"/>
      <c r="P884" s="109"/>
      <c r="Q884" s="58"/>
      <c r="R884" s="136" t="b">
        <v>0</v>
      </c>
      <c r="S884" s="58"/>
      <c r="T884" s="80"/>
      <c r="U884" s="80"/>
      <c r="V884" s="80"/>
      <c r="W884" s="80"/>
      <c r="X884" s="80"/>
      <c r="Y884" s="80"/>
      <c r="Z884" s="80"/>
      <c r="AA884" s="81"/>
      <c r="AB884" s="81"/>
      <c r="AC884" s="81"/>
      <c r="AD884" s="81"/>
      <c r="AE884" s="81"/>
    </row>
    <row r="885">
      <c r="A885" s="16"/>
      <c r="B885" s="127"/>
      <c r="C885" s="127"/>
      <c r="D885" s="108"/>
      <c r="E885" s="109"/>
      <c r="F885" s="58"/>
      <c r="G885" s="135"/>
      <c r="H885" s="129"/>
      <c r="I885" s="129"/>
      <c r="J885" s="130" t="b">
        <v>0</v>
      </c>
      <c r="K885" s="58"/>
      <c r="L885" s="131" t="str">
        <f t="shared" si="8"/>
        <v/>
      </c>
      <c r="M885" s="108"/>
      <c r="N885" s="109"/>
      <c r="O885" s="109"/>
      <c r="P885" s="109"/>
      <c r="Q885" s="58"/>
      <c r="R885" s="136" t="b">
        <v>0</v>
      </c>
      <c r="S885" s="58"/>
      <c r="T885" s="80"/>
      <c r="U885" s="80"/>
      <c r="V885" s="80"/>
      <c r="W885" s="80"/>
      <c r="X885" s="80"/>
      <c r="Y885" s="80"/>
      <c r="Z885" s="80"/>
      <c r="AA885" s="81"/>
      <c r="AB885" s="81"/>
      <c r="AC885" s="81"/>
      <c r="AD885" s="81"/>
      <c r="AE885" s="81"/>
    </row>
    <row r="886">
      <c r="A886" s="16"/>
      <c r="B886" s="127"/>
      <c r="C886" s="127"/>
      <c r="D886" s="108"/>
      <c r="E886" s="109"/>
      <c r="F886" s="58"/>
      <c r="G886" s="135"/>
      <c r="H886" s="129"/>
      <c r="I886" s="129"/>
      <c r="J886" s="130" t="b">
        <v>0</v>
      </c>
      <c r="K886" s="58"/>
      <c r="L886" s="131" t="str">
        <f t="shared" si="8"/>
        <v/>
      </c>
      <c r="M886" s="108"/>
      <c r="N886" s="109"/>
      <c r="O886" s="109"/>
      <c r="P886" s="109"/>
      <c r="Q886" s="58"/>
      <c r="R886" s="136" t="b">
        <v>0</v>
      </c>
      <c r="S886" s="58"/>
      <c r="T886" s="80"/>
      <c r="U886" s="80"/>
      <c r="V886" s="80"/>
      <c r="W886" s="80"/>
      <c r="X886" s="80"/>
      <c r="Y886" s="80"/>
      <c r="Z886" s="80"/>
      <c r="AA886" s="81"/>
      <c r="AB886" s="81"/>
      <c r="AC886" s="81"/>
      <c r="AD886" s="81"/>
      <c r="AE886" s="81"/>
    </row>
    <row r="887">
      <c r="A887" s="16"/>
      <c r="B887" s="127"/>
      <c r="C887" s="127"/>
      <c r="D887" s="108"/>
      <c r="E887" s="109"/>
      <c r="F887" s="58"/>
      <c r="G887" s="135"/>
      <c r="H887" s="129"/>
      <c r="I887" s="129"/>
      <c r="J887" s="130" t="b">
        <v>0</v>
      </c>
      <c r="K887" s="58"/>
      <c r="L887" s="131" t="str">
        <f t="shared" si="8"/>
        <v/>
      </c>
      <c r="M887" s="108"/>
      <c r="N887" s="109"/>
      <c r="O887" s="109"/>
      <c r="P887" s="109"/>
      <c r="Q887" s="58"/>
      <c r="R887" s="136" t="b">
        <v>0</v>
      </c>
      <c r="S887" s="58"/>
      <c r="T887" s="80"/>
      <c r="U887" s="80"/>
      <c r="V887" s="80"/>
      <c r="W887" s="80"/>
      <c r="X887" s="80"/>
      <c r="Y887" s="80"/>
      <c r="Z887" s="80"/>
      <c r="AA887" s="81"/>
      <c r="AB887" s="81"/>
      <c r="AC887" s="81"/>
      <c r="AD887" s="81"/>
      <c r="AE887" s="81"/>
    </row>
    <row r="888">
      <c r="A888" s="16"/>
      <c r="B888" s="127"/>
      <c r="C888" s="127"/>
      <c r="D888" s="108"/>
      <c r="E888" s="109"/>
      <c r="F888" s="58"/>
      <c r="G888" s="135"/>
      <c r="H888" s="129"/>
      <c r="I888" s="129"/>
      <c r="J888" s="130" t="b">
        <v>0</v>
      </c>
      <c r="K888" s="58"/>
      <c r="L888" s="131" t="str">
        <f t="shared" si="8"/>
        <v/>
      </c>
      <c r="M888" s="108"/>
      <c r="N888" s="109"/>
      <c r="O888" s="109"/>
      <c r="P888" s="109"/>
      <c r="Q888" s="58"/>
      <c r="R888" s="136" t="b">
        <v>0</v>
      </c>
      <c r="S888" s="58"/>
      <c r="T888" s="80"/>
      <c r="U888" s="80"/>
      <c r="V888" s="80"/>
      <c r="W888" s="80"/>
      <c r="X888" s="80"/>
      <c r="Y888" s="80"/>
      <c r="Z888" s="80"/>
      <c r="AA888" s="81"/>
      <c r="AB888" s="81"/>
      <c r="AC888" s="81"/>
      <c r="AD888" s="81"/>
      <c r="AE888" s="81"/>
    </row>
    <row r="889">
      <c r="A889" s="16"/>
      <c r="B889" s="127"/>
      <c r="C889" s="127"/>
      <c r="D889" s="108"/>
      <c r="E889" s="109"/>
      <c r="F889" s="58"/>
      <c r="G889" s="135"/>
      <c r="H889" s="129"/>
      <c r="I889" s="129"/>
      <c r="J889" s="130" t="b">
        <v>0</v>
      </c>
      <c r="K889" s="58"/>
      <c r="L889" s="131" t="str">
        <f t="shared" si="8"/>
        <v/>
      </c>
      <c r="M889" s="108"/>
      <c r="N889" s="109"/>
      <c r="O889" s="109"/>
      <c r="P889" s="109"/>
      <c r="Q889" s="58"/>
      <c r="R889" s="136" t="b">
        <v>0</v>
      </c>
      <c r="S889" s="58"/>
      <c r="T889" s="80"/>
      <c r="U889" s="80"/>
      <c r="V889" s="80"/>
      <c r="W889" s="80"/>
      <c r="X889" s="80"/>
      <c r="Y889" s="80"/>
      <c r="Z889" s="80"/>
      <c r="AA889" s="81"/>
      <c r="AB889" s="81"/>
      <c r="AC889" s="81"/>
      <c r="AD889" s="81"/>
      <c r="AE889" s="81"/>
    </row>
    <row r="890">
      <c r="A890" s="16"/>
      <c r="B890" s="127"/>
      <c r="C890" s="127"/>
      <c r="D890" s="108"/>
      <c r="E890" s="109"/>
      <c r="F890" s="58"/>
      <c r="G890" s="135"/>
      <c r="H890" s="129"/>
      <c r="I890" s="129"/>
      <c r="J890" s="130" t="b">
        <v>0</v>
      </c>
      <c r="K890" s="58"/>
      <c r="L890" s="131" t="str">
        <f t="shared" si="8"/>
        <v/>
      </c>
      <c r="M890" s="108"/>
      <c r="N890" s="109"/>
      <c r="O890" s="109"/>
      <c r="P890" s="109"/>
      <c r="Q890" s="58"/>
      <c r="R890" s="136" t="b">
        <v>0</v>
      </c>
      <c r="S890" s="58"/>
      <c r="T890" s="80"/>
      <c r="U890" s="80"/>
      <c r="V890" s="80"/>
      <c r="W890" s="80"/>
      <c r="X890" s="80"/>
      <c r="Y890" s="80"/>
      <c r="Z890" s="80"/>
      <c r="AA890" s="81"/>
      <c r="AB890" s="81"/>
      <c r="AC890" s="81"/>
      <c r="AD890" s="81"/>
      <c r="AE890" s="81"/>
    </row>
    <row r="891">
      <c r="A891" s="16"/>
      <c r="B891" s="127"/>
      <c r="C891" s="127"/>
      <c r="D891" s="108"/>
      <c r="E891" s="109"/>
      <c r="F891" s="58"/>
      <c r="G891" s="135"/>
      <c r="H891" s="129"/>
      <c r="I891" s="129"/>
      <c r="J891" s="130" t="b">
        <v>0</v>
      </c>
      <c r="K891" s="58"/>
      <c r="L891" s="131" t="str">
        <f t="shared" si="8"/>
        <v/>
      </c>
      <c r="M891" s="108"/>
      <c r="N891" s="109"/>
      <c r="O891" s="109"/>
      <c r="P891" s="109"/>
      <c r="Q891" s="58"/>
      <c r="R891" s="136" t="b">
        <v>0</v>
      </c>
      <c r="S891" s="58"/>
      <c r="T891" s="80"/>
      <c r="U891" s="80"/>
      <c r="V891" s="80"/>
      <c r="W891" s="80"/>
      <c r="X891" s="80"/>
      <c r="Y891" s="80"/>
      <c r="Z891" s="80"/>
      <c r="AA891" s="81"/>
      <c r="AB891" s="81"/>
      <c r="AC891" s="81"/>
      <c r="AD891" s="81"/>
      <c r="AE891" s="81"/>
    </row>
    <row r="892">
      <c r="A892" s="16"/>
      <c r="B892" s="127"/>
      <c r="C892" s="127"/>
      <c r="D892" s="108"/>
      <c r="E892" s="109"/>
      <c r="F892" s="58"/>
      <c r="G892" s="135"/>
      <c r="H892" s="129"/>
      <c r="I892" s="129"/>
      <c r="J892" s="130" t="b">
        <v>0</v>
      </c>
      <c r="K892" s="58"/>
      <c r="L892" s="131" t="str">
        <f t="shared" si="8"/>
        <v/>
      </c>
      <c r="M892" s="108"/>
      <c r="N892" s="109"/>
      <c r="O892" s="109"/>
      <c r="P892" s="109"/>
      <c r="Q892" s="58"/>
      <c r="R892" s="136" t="b">
        <v>0</v>
      </c>
      <c r="S892" s="58"/>
      <c r="T892" s="80"/>
      <c r="U892" s="80"/>
      <c r="V892" s="80"/>
      <c r="W892" s="80"/>
      <c r="X892" s="80"/>
      <c r="Y892" s="80"/>
      <c r="Z892" s="80"/>
      <c r="AA892" s="81"/>
      <c r="AB892" s="81"/>
      <c r="AC892" s="81"/>
      <c r="AD892" s="81"/>
      <c r="AE892" s="81"/>
    </row>
    <row r="893">
      <c r="A893" s="16"/>
      <c r="B893" s="127"/>
      <c r="C893" s="127"/>
      <c r="D893" s="108"/>
      <c r="E893" s="109"/>
      <c r="F893" s="58"/>
      <c r="G893" s="135"/>
      <c r="H893" s="129"/>
      <c r="I893" s="129"/>
      <c r="J893" s="130" t="b">
        <v>0</v>
      </c>
      <c r="K893" s="58"/>
      <c r="L893" s="131" t="str">
        <f t="shared" si="8"/>
        <v/>
      </c>
      <c r="M893" s="108"/>
      <c r="N893" s="109"/>
      <c r="O893" s="109"/>
      <c r="P893" s="109"/>
      <c r="Q893" s="58"/>
      <c r="R893" s="136" t="b">
        <v>0</v>
      </c>
      <c r="S893" s="58"/>
      <c r="T893" s="80"/>
      <c r="U893" s="80"/>
      <c r="V893" s="80"/>
      <c r="W893" s="80"/>
      <c r="X893" s="80"/>
      <c r="Y893" s="80"/>
      <c r="Z893" s="80"/>
      <c r="AA893" s="81"/>
      <c r="AB893" s="81"/>
      <c r="AC893" s="81"/>
      <c r="AD893" s="81"/>
      <c r="AE893" s="81"/>
    </row>
    <row r="894">
      <c r="A894" s="16"/>
      <c r="B894" s="127"/>
      <c r="C894" s="127"/>
      <c r="D894" s="108"/>
      <c r="E894" s="109"/>
      <c r="F894" s="58"/>
      <c r="G894" s="135"/>
      <c r="H894" s="129"/>
      <c r="I894" s="129"/>
      <c r="J894" s="130" t="b">
        <v>0</v>
      </c>
      <c r="K894" s="58"/>
      <c r="L894" s="131" t="str">
        <f t="shared" si="8"/>
        <v/>
      </c>
      <c r="M894" s="108"/>
      <c r="N894" s="109"/>
      <c r="O894" s="109"/>
      <c r="P894" s="109"/>
      <c r="Q894" s="58"/>
      <c r="R894" s="136" t="b">
        <v>0</v>
      </c>
      <c r="S894" s="58"/>
      <c r="T894" s="80"/>
      <c r="U894" s="80"/>
      <c r="V894" s="80"/>
      <c r="W894" s="80"/>
      <c r="X894" s="80"/>
      <c r="Y894" s="80"/>
      <c r="Z894" s="80"/>
      <c r="AA894" s="81"/>
      <c r="AB894" s="81"/>
      <c r="AC894" s="81"/>
      <c r="AD894" s="81"/>
      <c r="AE894" s="81"/>
    </row>
    <row r="895">
      <c r="A895" s="16"/>
      <c r="B895" s="127"/>
      <c r="C895" s="127"/>
      <c r="D895" s="108"/>
      <c r="E895" s="109"/>
      <c r="F895" s="58"/>
      <c r="G895" s="135"/>
      <c r="H895" s="129"/>
      <c r="I895" s="129"/>
      <c r="J895" s="130" t="b">
        <v>0</v>
      </c>
      <c r="K895" s="58"/>
      <c r="L895" s="131" t="str">
        <f t="shared" si="8"/>
        <v/>
      </c>
      <c r="M895" s="108"/>
      <c r="N895" s="109"/>
      <c r="O895" s="109"/>
      <c r="P895" s="109"/>
      <c r="Q895" s="58"/>
      <c r="R895" s="136" t="b">
        <v>0</v>
      </c>
      <c r="S895" s="58"/>
      <c r="T895" s="80"/>
      <c r="U895" s="80"/>
      <c r="V895" s="80"/>
      <c r="W895" s="80"/>
      <c r="X895" s="80"/>
      <c r="Y895" s="80"/>
      <c r="Z895" s="80"/>
      <c r="AA895" s="81"/>
      <c r="AB895" s="81"/>
      <c r="AC895" s="81"/>
      <c r="AD895" s="81"/>
      <c r="AE895" s="81"/>
    </row>
    <row r="896">
      <c r="A896" s="16"/>
      <c r="B896" s="127"/>
      <c r="C896" s="127"/>
      <c r="D896" s="108"/>
      <c r="E896" s="109"/>
      <c r="F896" s="58"/>
      <c r="G896" s="135"/>
      <c r="H896" s="129"/>
      <c r="I896" s="129"/>
      <c r="J896" s="130" t="b">
        <v>0</v>
      </c>
      <c r="K896" s="58"/>
      <c r="L896" s="131" t="str">
        <f t="shared" si="8"/>
        <v/>
      </c>
      <c r="M896" s="108"/>
      <c r="N896" s="109"/>
      <c r="O896" s="109"/>
      <c r="P896" s="109"/>
      <c r="Q896" s="58"/>
      <c r="R896" s="136" t="b">
        <v>0</v>
      </c>
      <c r="S896" s="58"/>
      <c r="T896" s="80"/>
      <c r="U896" s="80"/>
      <c r="V896" s="80"/>
      <c r="W896" s="80"/>
      <c r="X896" s="80"/>
      <c r="Y896" s="80"/>
      <c r="Z896" s="80"/>
      <c r="AA896" s="81"/>
      <c r="AB896" s="81"/>
      <c r="AC896" s="81"/>
      <c r="AD896" s="81"/>
      <c r="AE896" s="81"/>
    </row>
    <row r="897">
      <c r="A897" s="16"/>
      <c r="B897" s="127"/>
      <c r="C897" s="127"/>
      <c r="D897" s="108"/>
      <c r="E897" s="109"/>
      <c r="F897" s="58"/>
      <c r="G897" s="135"/>
      <c r="H897" s="129"/>
      <c r="I897" s="129"/>
      <c r="J897" s="130" t="b">
        <v>0</v>
      </c>
      <c r="K897" s="58"/>
      <c r="L897" s="131" t="str">
        <f t="shared" si="8"/>
        <v/>
      </c>
      <c r="M897" s="108"/>
      <c r="N897" s="109"/>
      <c r="O897" s="109"/>
      <c r="P897" s="109"/>
      <c r="Q897" s="58"/>
      <c r="R897" s="136" t="b">
        <v>0</v>
      </c>
      <c r="S897" s="58"/>
      <c r="T897" s="80"/>
      <c r="U897" s="80"/>
      <c r="V897" s="80"/>
      <c r="W897" s="80"/>
      <c r="X897" s="80"/>
      <c r="Y897" s="80"/>
      <c r="Z897" s="80"/>
      <c r="AA897" s="81"/>
      <c r="AB897" s="81"/>
      <c r="AC897" s="81"/>
      <c r="AD897" s="81"/>
      <c r="AE897" s="81"/>
    </row>
    <row r="898">
      <c r="A898" s="16"/>
      <c r="B898" s="127"/>
      <c r="C898" s="127"/>
      <c r="D898" s="108"/>
      <c r="E898" s="109"/>
      <c r="F898" s="58"/>
      <c r="G898" s="135"/>
      <c r="H898" s="129"/>
      <c r="I898" s="129"/>
      <c r="J898" s="130" t="b">
        <v>0</v>
      </c>
      <c r="K898" s="58"/>
      <c r="L898" s="131" t="str">
        <f t="shared" si="8"/>
        <v/>
      </c>
      <c r="M898" s="108"/>
      <c r="N898" s="109"/>
      <c r="O898" s="109"/>
      <c r="P898" s="109"/>
      <c r="Q898" s="58"/>
      <c r="R898" s="136" t="b">
        <v>0</v>
      </c>
      <c r="S898" s="58"/>
      <c r="T898" s="80"/>
      <c r="U898" s="80"/>
      <c r="V898" s="80"/>
      <c r="W898" s="80"/>
      <c r="X898" s="80"/>
      <c r="Y898" s="80"/>
      <c r="Z898" s="80"/>
      <c r="AA898" s="81"/>
      <c r="AB898" s="81"/>
      <c r="AC898" s="81"/>
      <c r="AD898" s="81"/>
      <c r="AE898" s="81"/>
    </row>
    <row r="899">
      <c r="A899" s="16"/>
      <c r="B899" s="127"/>
      <c r="C899" s="127"/>
      <c r="D899" s="108"/>
      <c r="E899" s="109"/>
      <c r="F899" s="58"/>
      <c r="G899" s="135"/>
      <c r="H899" s="129"/>
      <c r="I899" s="129"/>
      <c r="J899" s="130" t="b">
        <v>0</v>
      </c>
      <c r="K899" s="58"/>
      <c r="L899" s="131" t="str">
        <f t="shared" si="8"/>
        <v/>
      </c>
      <c r="M899" s="108"/>
      <c r="N899" s="109"/>
      <c r="O899" s="109"/>
      <c r="P899" s="109"/>
      <c r="Q899" s="58"/>
      <c r="R899" s="136" t="b">
        <v>0</v>
      </c>
      <c r="S899" s="58"/>
      <c r="T899" s="80"/>
      <c r="U899" s="80"/>
      <c r="V899" s="80"/>
      <c r="W899" s="80"/>
      <c r="X899" s="80"/>
      <c r="Y899" s="80"/>
      <c r="Z899" s="80"/>
      <c r="AA899" s="81"/>
      <c r="AB899" s="81"/>
      <c r="AC899" s="81"/>
      <c r="AD899" s="81"/>
      <c r="AE899" s="81"/>
    </row>
    <row r="900">
      <c r="A900" s="16"/>
      <c r="B900" s="127"/>
      <c r="C900" s="127"/>
      <c r="D900" s="108"/>
      <c r="E900" s="109"/>
      <c r="F900" s="58"/>
      <c r="G900" s="135"/>
      <c r="H900" s="129"/>
      <c r="I900" s="129"/>
      <c r="J900" s="130" t="b">
        <v>0</v>
      </c>
      <c r="K900" s="58"/>
      <c r="L900" s="131" t="str">
        <f t="shared" si="8"/>
        <v/>
      </c>
      <c r="M900" s="108"/>
      <c r="N900" s="109"/>
      <c r="O900" s="109"/>
      <c r="P900" s="109"/>
      <c r="Q900" s="58"/>
      <c r="R900" s="136" t="b">
        <v>0</v>
      </c>
      <c r="S900" s="58"/>
      <c r="T900" s="80"/>
      <c r="U900" s="80"/>
      <c r="V900" s="80"/>
      <c r="W900" s="80"/>
      <c r="X900" s="80"/>
      <c r="Y900" s="80"/>
      <c r="Z900" s="80"/>
      <c r="AA900" s="81"/>
      <c r="AB900" s="81"/>
      <c r="AC900" s="81"/>
      <c r="AD900" s="81"/>
      <c r="AE900" s="81"/>
    </row>
    <row r="901">
      <c r="A901" s="16"/>
      <c r="B901" s="127"/>
      <c r="C901" s="127"/>
      <c r="D901" s="108"/>
      <c r="E901" s="109"/>
      <c r="F901" s="58"/>
      <c r="G901" s="135"/>
      <c r="H901" s="129"/>
      <c r="I901" s="129"/>
      <c r="J901" s="130" t="b">
        <v>0</v>
      </c>
      <c r="K901" s="58"/>
      <c r="L901" s="131" t="str">
        <f t="shared" si="8"/>
        <v/>
      </c>
      <c r="M901" s="108"/>
      <c r="N901" s="109"/>
      <c r="O901" s="109"/>
      <c r="P901" s="109"/>
      <c r="Q901" s="58"/>
      <c r="R901" s="136" t="b">
        <v>0</v>
      </c>
      <c r="S901" s="58"/>
      <c r="T901" s="80"/>
      <c r="U901" s="80"/>
      <c r="V901" s="80"/>
      <c r="W901" s="80"/>
      <c r="X901" s="80"/>
      <c r="Y901" s="80"/>
      <c r="Z901" s="80"/>
      <c r="AA901" s="81"/>
      <c r="AB901" s="81"/>
      <c r="AC901" s="81"/>
      <c r="AD901" s="81"/>
      <c r="AE901" s="81"/>
    </row>
    <row r="902">
      <c r="A902" s="16"/>
      <c r="B902" s="127"/>
      <c r="C902" s="127"/>
      <c r="D902" s="108"/>
      <c r="E902" s="109"/>
      <c r="F902" s="58"/>
      <c r="G902" s="135"/>
      <c r="H902" s="129"/>
      <c r="I902" s="129"/>
      <c r="J902" s="130" t="b">
        <v>0</v>
      </c>
      <c r="K902" s="58"/>
      <c r="L902" s="131" t="str">
        <f t="shared" si="8"/>
        <v/>
      </c>
      <c r="M902" s="108"/>
      <c r="N902" s="109"/>
      <c r="O902" s="109"/>
      <c r="P902" s="109"/>
      <c r="Q902" s="58"/>
      <c r="R902" s="136" t="b">
        <v>0</v>
      </c>
      <c r="S902" s="58"/>
      <c r="T902" s="80"/>
      <c r="U902" s="80"/>
      <c r="V902" s="80"/>
      <c r="W902" s="80"/>
      <c r="X902" s="80"/>
      <c r="Y902" s="80"/>
      <c r="Z902" s="80"/>
      <c r="AA902" s="81"/>
      <c r="AB902" s="81"/>
      <c r="AC902" s="81"/>
      <c r="AD902" s="81"/>
      <c r="AE902" s="81"/>
    </row>
    <row r="903">
      <c r="A903" s="16"/>
      <c r="B903" s="127"/>
      <c r="C903" s="127"/>
      <c r="D903" s="108"/>
      <c r="E903" s="109"/>
      <c r="F903" s="58"/>
      <c r="G903" s="135"/>
      <c r="H903" s="129"/>
      <c r="I903" s="129"/>
      <c r="J903" s="130" t="b">
        <v>0</v>
      </c>
      <c r="K903" s="58"/>
      <c r="L903" s="131" t="str">
        <f t="shared" si="8"/>
        <v/>
      </c>
      <c r="M903" s="108"/>
      <c r="N903" s="109"/>
      <c r="O903" s="109"/>
      <c r="P903" s="109"/>
      <c r="Q903" s="58"/>
      <c r="R903" s="136" t="b">
        <v>0</v>
      </c>
      <c r="S903" s="58"/>
      <c r="T903" s="80"/>
      <c r="U903" s="80"/>
      <c r="V903" s="80"/>
      <c r="W903" s="80"/>
      <c r="X903" s="80"/>
      <c r="Y903" s="80"/>
      <c r="Z903" s="80"/>
      <c r="AA903" s="81"/>
      <c r="AB903" s="81"/>
      <c r="AC903" s="81"/>
      <c r="AD903" s="81"/>
      <c r="AE903" s="81"/>
    </row>
    <row r="904">
      <c r="A904" s="16"/>
      <c r="B904" s="127"/>
      <c r="C904" s="127"/>
      <c r="D904" s="108"/>
      <c r="E904" s="109"/>
      <c r="F904" s="58"/>
      <c r="G904" s="135"/>
      <c r="H904" s="129"/>
      <c r="I904" s="129"/>
      <c r="J904" s="130" t="b">
        <v>0</v>
      </c>
      <c r="K904" s="58"/>
      <c r="L904" s="131" t="str">
        <f t="shared" si="8"/>
        <v/>
      </c>
      <c r="M904" s="108"/>
      <c r="N904" s="109"/>
      <c r="O904" s="109"/>
      <c r="P904" s="109"/>
      <c r="Q904" s="58"/>
      <c r="R904" s="136" t="b">
        <v>0</v>
      </c>
      <c r="S904" s="58"/>
      <c r="T904" s="80"/>
      <c r="U904" s="80"/>
      <c r="V904" s="80"/>
      <c r="W904" s="80"/>
      <c r="X904" s="80"/>
      <c r="Y904" s="80"/>
      <c r="Z904" s="80"/>
      <c r="AA904" s="81"/>
      <c r="AB904" s="81"/>
      <c r="AC904" s="81"/>
      <c r="AD904" s="81"/>
      <c r="AE904" s="81"/>
    </row>
    <row r="905">
      <c r="A905" s="16"/>
      <c r="B905" s="127"/>
      <c r="C905" s="127"/>
      <c r="D905" s="108"/>
      <c r="E905" s="109"/>
      <c r="F905" s="58"/>
      <c r="G905" s="135"/>
      <c r="H905" s="129"/>
      <c r="I905" s="129"/>
      <c r="J905" s="130" t="b">
        <v>0</v>
      </c>
      <c r="K905" s="58"/>
      <c r="L905" s="131" t="str">
        <f t="shared" si="8"/>
        <v/>
      </c>
      <c r="M905" s="108"/>
      <c r="N905" s="109"/>
      <c r="O905" s="109"/>
      <c r="P905" s="109"/>
      <c r="Q905" s="58"/>
      <c r="R905" s="136" t="b">
        <v>0</v>
      </c>
      <c r="S905" s="58"/>
      <c r="T905" s="80"/>
      <c r="U905" s="80"/>
      <c r="V905" s="80"/>
      <c r="W905" s="80"/>
      <c r="X905" s="80"/>
      <c r="Y905" s="80"/>
      <c r="Z905" s="80"/>
      <c r="AA905" s="81"/>
      <c r="AB905" s="81"/>
      <c r="AC905" s="81"/>
      <c r="AD905" s="81"/>
      <c r="AE905" s="81"/>
    </row>
    <row r="906">
      <c r="A906" s="16"/>
      <c r="B906" s="127"/>
      <c r="C906" s="127"/>
      <c r="D906" s="108"/>
      <c r="E906" s="109"/>
      <c r="F906" s="58"/>
      <c r="G906" s="135"/>
      <c r="H906" s="129"/>
      <c r="I906" s="129"/>
      <c r="J906" s="130" t="b">
        <v>0</v>
      </c>
      <c r="K906" s="58"/>
      <c r="L906" s="131" t="str">
        <f t="shared" si="8"/>
        <v/>
      </c>
      <c r="M906" s="108"/>
      <c r="N906" s="109"/>
      <c r="O906" s="109"/>
      <c r="P906" s="109"/>
      <c r="Q906" s="58"/>
      <c r="R906" s="136" t="b">
        <v>0</v>
      </c>
      <c r="S906" s="58"/>
      <c r="T906" s="80"/>
      <c r="U906" s="80"/>
      <c r="V906" s="80"/>
      <c r="W906" s="80"/>
      <c r="X906" s="80"/>
      <c r="Y906" s="80"/>
      <c r="Z906" s="80"/>
      <c r="AA906" s="81"/>
      <c r="AB906" s="81"/>
      <c r="AC906" s="81"/>
      <c r="AD906" s="81"/>
      <c r="AE906" s="81"/>
    </row>
    <row r="907">
      <c r="A907" s="16"/>
      <c r="B907" s="127"/>
      <c r="C907" s="127"/>
      <c r="D907" s="108"/>
      <c r="E907" s="109"/>
      <c r="F907" s="58"/>
      <c r="G907" s="135"/>
      <c r="H907" s="129"/>
      <c r="I907" s="129"/>
      <c r="J907" s="130" t="b">
        <v>0</v>
      </c>
      <c r="K907" s="58"/>
      <c r="L907" s="131" t="str">
        <f t="shared" si="8"/>
        <v/>
      </c>
      <c r="M907" s="108"/>
      <c r="N907" s="109"/>
      <c r="O907" s="109"/>
      <c r="P907" s="109"/>
      <c r="Q907" s="58"/>
      <c r="R907" s="136" t="b">
        <v>0</v>
      </c>
      <c r="S907" s="58"/>
      <c r="T907" s="80"/>
      <c r="U907" s="80"/>
      <c r="V907" s="80"/>
      <c r="W907" s="80"/>
      <c r="X907" s="80"/>
      <c r="Y907" s="80"/>
      <c r="Z907" s="80"/>
      <c r="AA907" s="81"/>
      <c r="AB907" s="81"/>
      <c r="AC907" s="81"/>
      <c r="AD907" s="81"/>
      <c r="AE907" s="81"/>
    </row>
    <row r="908">
      <c r="A908" s="16"/>
      <c r="B908" s="127"/>
      <c r="C908" s="127"/>
      <c r="D908" s="108"/>
      <c r="E908" s="109"/>
      <c r="F908" s="58"/>
      <c r="G908" s="135"/>
      <c r="H908" s="129"/>
      <c r="I908" s="129"/>
      <c r="J908" s="130" t="b">
        <v>0</v>
      </c>
      <c r="K908" s="58"/>
      <c r="L908" s="131" t="str">
        <f t="shared" si="8"/>
        <v/>
      </c>
      <c r="M908" s="108"/>
      <c r="N908" s="109"/>
      <c r="O908" s="109"/>
      <c r="P908" s="109"/>
      <c r="Q908" s="58"/>
      <c r="R908" s="136" t="b">
        <v>0</v>
      </c>
      <c r="S908" s="58"/>
      <c r="T908" s="80"/>
      <c r="U908" s="80"/>
      <c r="V908" s="80"/>
      <c r="W908" s="80"/>
      <c r="X908" s="80"/>
      <c r="Y908" s="80"/>
      <c r="Z908" s="80"/>
      <c r="AA908" s="81"/>
      <c r="AB908" s="81"/>
      <c r="AC908" s="81"/>
      <c r="AD908" s="81"/>
      <c r="AE908" s="81"/>
    </row>
    <row r="909">
      <c r="A909" s="16"/>
      <c r="B909" s="127"/>
      <c r="C909" s="127"/>
      <c r="D909" s="108"/>
      <c r="E909" s="109"/>
      <c r="F909" s="58"/>
      <c r="G909" s="135"/>
      <c r="H909" s="129"/>
      <c r="I909" s="129"/>
      <c r="J909" s="130" t="b">
        <v>0</v>
      </c>
      <c r="K909" s="58"/>
      <c r="L909" s="131" t="str">
        <f t="shared" si="8"/>
        <v/>
      </c>
      <c r="M909" s="108"/>
      <c r="N909" s="109"/>
      <c r="O909" s="109"/>
      <c r="P909" s="109"/>
      <c r="Q909" s="58"/>
      <c r="R909" s="136" t="b">
        <v>0</v>
      </c>
      <c r="S909" s="58"/>
      <c r="T909" s="80"/>
      <c r="U909" s="80"/>
      <c r="V909" s="80"/>
      <c r="W909" s="80"/>
      <c r="X909" s="80"/>
      <c r="Y909" s="80"/>
      <c r="Z909" s="80"/>
      <c r="AA909" s="81"/>
      <c r="AB909" s="81"/>
      <c r="AC909" s="81"/>
      <c r="AD909" s="81"/>
      <c r="AE909" s="81"/>
    </row>
    <row r="910">
      <c r="A910" s="16"/>
      <c r="B910" s="127"/>
      <c r="C910" s="127"/>
      <c r="D910" s="108"/>
      <c r="E910" s="109"/>
      <c r="F910" s="58"/>
      <c r="G910" s="135"/>
      <c r="H910" s="129"/>
      <c r="I910" s="129"/>
      <c r="J910" s="130" t="b">
        <v>0</v>
      </c>
      <c r="K910" s="58"/>
      <c r="L910" s="131" t="str">
        <f t="shared" si="8"/>
        <v/>
      </c>
      <c r="M910" s="108"/>
      <c r="N910" s="109"/>
      <c r="O910" s="109"/>
      <c r="P910" s="109"/>
      <c r="Q910" s="58"/>
      <c r="R910" s="136" t="b">
        <v>0</v>
      </c>
      <c r="S910" s="58"/>
      <c r="T910" s="80"/>
      <c r="U910" s="80"/>
      <c r="V910" s="80"/>
      <c r="W910" s="80"/>
      <c r="X910" s="80"/>
      <c r="Y910" s="80"/>
      <c r="Z910" s="80"/>
      <c r="AA910" s="81"/>
      <c r="AB910" s="81"/>
      <c r="AC910" s="81"/>
      <c r="AD910" s="81"/>
      <c r="AE910" s="81"/>
    </row>
    <row r="911">
      <c r="A911" s="16"/>
      <c r="B911" s="127"/>
      <c r="C911" s="127"/>
      <c r="D911" s="108"/>
      <c r="E911" s="109"/>
      <c r="F911" s="58"/>
      <c r="G911" s="135"/>
      <c r="H911" s="129"/>
      <c r="I911" s="129"/>
      <c r="J911" s="130" t="b">
        <v>0</v>
      </c>
      <c r="K911" s="58"/>
      <c r="L911" s="131" t="str">
        <f t="shared" si="8"/>
        <v/>
      </c>
      <c r="M911" s="108"/>
      <c r="N911" s="109"/>
      <c r="O911" s="109"/>
      <c r="P911" s="109"/>
      <c r="Q911" s="58"/>
      <c r="R911" s="136" t="b">
        <v>0</v>
      </c>
      <c r="S911" s="58"/>
      <c r="T911" s="80"/>
      <c r="U911" s="80"/>
      <c r="V911" s="80"/>
      <c r="W911" s="80"/>
      <c r="X911" s="80"/>
      <c r="Y911" s="80"/>
      <c r="Z911" s="80"/>
      <c r="AA911" s="81"/>
      <c r="AB911" s="81"/>
      <c r="AC911" s="81"/>
      <c r="AD911" s="81"/>
      <c r="AE911" s="81"/>
    </row>
    <row r="912">
      <c r="A912" s="16"/>
      <c r="B912" s="127"/>
      <c r="C912" s="127"/>
      <c r="D912" s="108"/>
      <c r="E912" s="109"/>
      <c r="F912" s="58"/>
      <c r="G912" s="135"/>
      <c r="H912" s="129"/>
      <c r="I912" s="129"/>
      <c r="J912" s="130" t="b">
        <v>0</v>
      </c>
      <c r="K912" s="58"/>
      <c r="L912" s="131" t="str">
        <f t="shared" si="8"/>
        <v/>
      </c>
      <c r="M912" s="108"/>
      <c r="N912" s="109"/>
      <c r="O912" s="109"/>
      <c r="P912" s="109"/>
      <c r="Q912" s="58"/>
      <c r="R912" s="136" t="b">
        <v>0</v>
      </c>
      <c r="S912" s="58"/>
      <c r="T912" s="80"/>
      <c r="U912" s="80"/>
      <c r="V912" s="80"/>
      <c r="W912" s="80"/>
      <c r="X912" s="80"/>
      <c r="Y912" s="80"/>
      <c r="Z912" s="80"/>
      <c r="AA912" s="81"/>
      <c r="AB912" s="81"/>
      <c r="AC912" s="81"/>
      <c r="AD912" s="81"/>
      <c r="AE912" s="81"/>
    </row>
    <row r="913">
      <c r="A913" s="16"/>
      <c r="B913" s="127"/>
      <c r="C913" s="127"/>
      <c r="D913" s="108"/>
      <c r="E913" s="109"/>
      <c r="F913" s="58"/>
      <c r="G913" s="135"/>
      <c r="H913" s="129"/>
      <c r="I913" s="129"/>
      <c r="J913" s="130" t="b">
        <v>0</v>
      </c>
      <c r="K913" s="58"/>
      <c r="L913" s="131" t="str">
        <f t="shared" si="8"/>
        <v/>
      </c>
      <c r="M913" s="108"/>
      <c r="N913" s="109"/>
      <c r="O913" s="109"/>
      <c r="P913" s="109"/>
      <c r="Q913" s="58"/>
      <c r="R913" s="136" t="b">
        <v>0</v>
      </c>
      <c r="S913" s="58"/>
      <c r="T913" s="80"/>
      <c r="U913" s="80"/>
      <c r="V913" s="80"/>
      <c r="W913" s="80"/>
      <c r="X913" s="80"/>
      <c r="Y913" s="80"/>
      <c r="Z913" s="80"/>
      <c r="AA913" s="81"/>
      <c r="AB913" s="81"/>
      <c r="AC913" s="81"/>
      <c r="AD913" s="81"/>
      <c r="AE913" s="81"/>
    </row>
    <row r="914">
      <c r="A914" s="16"/>
      <c r="B914" s="127"/>
      <c r="C914" s="127"/>
      <c r="D914" s="108"/>
      <c r="E914" s="109"/>
      <c r="F914" s="58"/>
      <c r="G914" s="135"/>
      <c r="H914" s="129"/>
      <c r="I914" s="129"/>
      <c r="J914" s="130" t="b">
        <v>0</v>
      </c>
      <c r="K914" s="58"/>
      <c r="L914" s="131" t="str">
        <f t="shared" si="8"/>
        <v/>
      </c>
      <c r="M914" s="108"/>
      <c r="N914" s="109"/>
      <c r="O914" s="109"/>
      <c r="P914" s="109"/>
      <c r="Q914" s="58"/>
      <c r="R914" s="136" t="b">
        <v>0</v>
      </c>
      <c r="S914" s="58"/>
      <c r="T914" s="80"/>
      <c r="U914" s="80"/>
      <c r="V914" s="80"/>
      <c r="W914" s="80"/>
      <c r="X914" s="80"/>
      <c r="Y914" s="80"/>
      <c r="Z914" s="80"/>
      <c r="AA914" s="81"/>
      <c r="AB914" s="81"/>
      <c r="AC914" s="81"/>
      <c r="AD914" s="81"/>
      <c r="AE914" s="81"/>
    </row>
    <row r="915">
      <c r="A915" s="16"/>
      <c r="B915" s="127"/>
      <c r="C915" s="127"/>
      <c r="D915" s="108"/>
      <c r="E915" s="109"/>
      <c r="F915" s="58"/>
      <c r="G915" s="135"/>
      <c r="H915" s="129"/>
      <c r="I915" s="129"/>
      <c r="J915" s="130" t="b">
        <v>0</v>
      </c>
      <c r="K915" s="58"/>
      <c r="L915" s="131" t="str">
        <f t="shared" si="8"/>
        <v/>
      </c>
      <c r="M915" s="108"/>
      <c r="N915" s="109"/>
      <c r="O915" s="109"/>
      <c r="P915" s="109"/>
      <c r="Q915" s="58"/>
      <c r="R915" s="136" t="b">
        <v>0</v>
      </c>
      <c r="S915" s="58"/>
      <c r="T915" s="80"/>
      <c r="U915" s="80"/>
      <c r="V915" s="80"/>
      <c r="W915" s="80"/>
      <c r="X915" s="80"/>
      <c r="Y915" s="80"/>
      <c r="Z915" s="80"/>
      <c r="AA915" s="81"/>
      <c r="AB915" s="81"/>
      <c r="AC915" s="81"/>
      <c r="AD915" s="81"/>
      <c r="AE915" s="81"/>
    </row>
    <row r="916">
      <c r="A916" s="16"/>
      <c r="B916" s="127"/>
      <c r="C916" s="127"/>
      <c r="D916" s="108"/>
      <c r="E916" s="109"/>
      <c r="F916" s="58"/>
      <c r="G916" s="135"/>
      <c r="H916" s="129"/>
      <c r="I916" s="129"/>
      <c r="J916" s="130" t="b">
        <v>0</v>
      </c>
      <c r="K916" s="58"/>
      <c r="L916" s="131" t="str">
        <f t="shared" si="8"/>
        <v/>
      </c>
      <c r="M916" s="108"/>
      <c r="N916" s="109"/>
      <c r="O916" s="109"/>
      <c r="P916" s="109"/>
      <c r="Q916" s="58"/>
      <c r="R916" s="136" t="b">
        <v>0</v>
      </c>
      <c r="S916" s="58"/>
      <c r="T916" s="80"/>
      <c r="U916" s="80"/>
      <c r="V916" s="80"/>
      <c r="W916" s="80"/>
      <c r="X916" s="80"/>
      <c r="Y916" s="80"/>
      <c r="Z916" s="80"/>
      <c r="AA916" s="81"/>
      <c r="AB916" s="81"/>
      <c r="AC916" s="81"/>
      <c r="AD916" s="81"/>
      <c r="AE916" s="81"/>
    </row>
    <row r="917">
      <c r="A917" s="16"/>
      <c r="B917" s="127"/>
      <c r="C917" s="127"/>
      <c r="D917" s="108"/>
      <c r="E917" s="109"/>
      <c r="F917" s="58"/>
      <c r="G917" s="135"/>
      <c r="H917" s="129"/>
      <c r="I917" s="129"/>
      <c r="J917" s="130" t="b">
        <v>0</v>
      </c>
      <c r="K917" s="58"/>
      <c r="L917" s="131" t="str">
        <f t="shared" si="8"/>
        <v/>
      </c>
      <c r="M917" s="108"/>
      <c r="N917" s="109"/>
      <c r="O917" s="109"/>
      <c r="P917" s="109"/>
      <c r="Q917" s="58"/>
      <c r="R917" s="136" t="b">
        <v>0</v>
      </c>
      <c r="S917" s="58"/>
      <c r="T917" s="80"/>
      <c r="U917" s="80"/>
      <c r="V917" s="80"/>
      <c r="W917" s="80"/>
      <c r="X917" s="80"/>
      <c r="Y917" s="80"/>
      <c r="Z917" s="80"/>
      <c r="AA917" s="81"/>
      <c r="AB917" s="81"/>
      <c r="AC917" s="81"/>
      <c r="AD917" s="81"/>
      <c r="AE917" s="81"/>
    </row>
    <row r="918">
      <c r="A918" s="16"/>
      <c r="B918" s="127"/>
      <c r="C918" s="127"/>
      <c r="D918" s="108"/>
      <c r="E918" s="109"/>
      <c r="F918" s="58"/>
      <c r="G918" s="135"/>
      <c r="H918" s="129"/>
      <c r="I918" s="129"/>
      <c r="J918" s="130" t="b">
        <v>0</v>
      </c>
      <c r="K918" s="58"/>
      <c r="L918" s="131" t="str">
        <f t="shared" si="8"/>
        <v/>
      </c>
      <c r="M918" s="108"/>
      <c r="N918" s="109"/>
      <c r="O918" s="109"/>
      <c r="P918" s="109"/>
      <c r="Q918" s="58"/>
      <c r="R918" s="136" t="b">
        <v>0</v>
      </c>
      <c r="S918" s="58"/>
      <c r="T918" s="80"/>
      <c r="U918" s="80"/>
      <c r="V918" s="80"/>
      <c r="W918" s="80"/>
      <c r="X918" s="80"/>
      <c r="Y918" s="80"/>
      <c r="Z918" s="80"/>
      <c r="AA918" s="81"/>
      <c r="AB918" s="81"/>
      <c r="AC918" s="81"/>
      <c r="AD918" s="81"/>
      <c r="AE918" s="81"/>
    </row>
    <row r="919">
      <c r="A919" s="16"/>
      <c r="B919" s="127"/>
      <c r="C919" s="127"/>
      <c r="D919" s="108"/>
      <c r="E919" s="109"/>
      <c r="F919" s="58"/>
      <c r="G919" s="135"/>
      <c r="H919" s="129"/>
      <c r="I919" s="129"/>
      <c r="J919" s="130" t="b">
        <v>0</v>
      </c>
      <c r="K919" s="58"/>
      <c r="L919" s="131" t="str">
        <f t="shared" si="8"/>
        <v/>
      </c>
      <c r="M919" s="108"/>
      <c r="N919" s="109"/>
      <c r="O919" s="109"/>
      <c r="P919" s="109"/>
      <c r="Q919" s="58"/>
      <c r="R919" s="136" t="b">
        <v>0</v>
      </c>
      <c r="S919" s="58"/>
      <c r="T919" s="80"/>
      <c r="U919" s="80"/>
      <c r="V919" s="80"/>
      <c r="W919" s="80"/>
      <c r="X919" s="80"/>
      <c r="Y919" s="80"/>
      <c r="Z919" s="80"/>
      <c r="AA919" s="81"/>
      <c r="AB919" s="81"/>
      <c r="AC919" s="81"/>
      <c r="AD919" s="81"/>
      <c r="AE919" s="81"/>
    </row>
    <row r="920">
      <c r="A920" s="16"/>
      <c r="B920" s="127"/>
      <c r="C920" s="127"/>
      <c r="D920" s="108"/>
      <c r="E920" s="109"/>
      <c r="F920" s="58"/>
      <c r="G920" s="135"/>
      <c r="H920" s="129"/>
      <c r="I920" s="129"/>
      <c r="J920" s="130" t="b">
        <v>0</v>
      </c>
      <c r="K920" s="58"/>
      <c r="L920" s="131" t="str">
        <f t="shared" si="8"/>
        <v/>
      </c>
      <c r="M920" s="108"/>
      <c r="N920" s="109"/>
      <c r="O920" s="109"/>
      <c r="P920" s="109"/>
      <c r="Q920" s="58"/>
      <c r="R920" s="136" t="b">
        <v>0</v>
      </c>
      <c r="S920" s="58"/>
      <c r="T920" s="80"/>
      <c r="U920" s="80"/>
      <c r="V920" s="80"/>
      <c r="W920" s="80"/>
      <c r="X920" s="80"/>
      <c r="Y920" s="80"/>
      <c r="Z920" s="80"/>
      <c r="AA920" s="81"/>
      <c r="AB920" s="81"/>
      <c r="AC920" s="81"/>
      <c r="AD920" s="81"/>
      <c r="AE920" s="81"/>
    </row>
    <row r="921">
      <c r="A921" s="16"/>
      <c r="B921" s="127"/>
      <c r="C921" s="127"/>
      <c r="D921" s="108"/>
      <c r="E921" s="109"/>
      <c r="F921" s="58"/>
      <c r="G921" s="135"/>
      <c r="H921" s="129"/>
      <c r="I921" s="129"/>
      <c r="J921" s="130" t="b">
        <v>0</v>
      </c>
      <c r="K921" s="58"/>
      <c r="L921" s="131" t="str">
        <f t="shared" si="8"/>
        <v/>
      </c>
      <c r="M921" s="108"/>
      <c r="N921" s="109"/>
      <c r="O921" s="109"/>
      <c r="P921" s="109"/>
      <c r="Q921" s="58"/>
      <c r="R921" s="136" t="b">
        <v>0</v>
      </c>
      <c r="S921" s="58"/>
      <c r="T921" s="80"/>
      <c r="U921" s="80"/>
      <c r="V921" s="80"/>
      <c r="W921" s="80"/>
      <c r="X921" s="80"/>
      <c r="Y921" s="80"/>
      <c r="Z921" s="80"/>
      <c r="AA921" s="81"/>
      <c r="AB921" s="81"/>
      <c r="AC921" s="81"/>
      <c r="AD921" s="81"/>
      <c r="AE921" s="81"/>
    </row>
    <row r="922">
      <c r="A922" s="16"/>
      <c r="B922" s="127"/>
      <c r="C922" s="127"/>
      <c r="D922" s="108"/>
      <c r="E922" s="109"/>
      <c r="F922" s="58"/>
      <c r="G922" s="135"/>
      <c r="H922" s="129"/>
      <c r="I922" s="129"/>
      <c r="J922" s="130" t="b">
        <v>0</v>
      </c>
      <c r="K922" s="58"/>
      <c r="L922" s="131" t="str">
        <f t="shared" si="8"/>
        <v/>
      </c>
      <c r="M922" s="108"/>
      <c r="N922" s="109"/>
      <c r="O922" s="109"/>
      <c r="P922" s="109"/>
      <c r="Q922" s="58"/>
      <c r="R922" s="136" t="b">
        <v>0</v>
      </c>
      <c r="S922" s="58"/>
      <c r="T922" s="80"/>
      <c r="U922" s="80"/>
      <c r="V922" s="80"/>
      <c r="W922" s="80"/>
      <c r="X922" s="80"/>
      <c r="Y922" s="80"/>
      <c r="Z922" s="80"/>
      <c r="AA922" s="81"/>
      <c r="AB922" s="81"/>
      <c r="AC922" s="81"/>
      <c r="AD922" s="81"/>
      <c r="AE922" s="81"/>
    </row>
    <row r="923">
      <c r="A923" s="16"/>
      <c r="B923" s="127"/>
      <c r="C923" s="127"/>
      <c r="D923" s="108"/>
      <c r="E923" s="109"/>
      <c r="F923" s="58"/>
      <c r="G923" s="135"/>
      <c r="H923" s="129"/>
      <c r="I923" s="129"/>
      <c r="J923" s="130" t="b">
        <v>0</v>
      </c>
      <c r="K923" s="58"/>
      <c r="L923" s="131" t="str">
        <f t="shared" si="8"/>
        <v/>
      </c>
      <c r="M923" s="108"/>
      <c r="N923" s="109"/>
      <c r="O923" s="109"/>
      <c r="P923" s="109"/>
      <c r="Q923" s="58"/>
      <c r="R923" s="136" t="b">
        <v>0</v>
      </c>
      <c r="S923" s="58"/>
      <c r="T923" s="80"/>
      <c r="U923" s="80"/>
      <c r="V923" s="80"/>
      <c r="W923" s="80"/>
      <c r="X923" s="80"/>
      <c r="Y923" s="80"/>
      <c r="Z923" s="80"/>
      <c r="AA923" s="81"/>
      <c r="AB923" s="81"/>
      <c r="AC923" s="81"/>
      <c r="AD923" s="81"/>
      <c r="AE923" s="81"/>
    </row>
    <row r="924">
      <c r="A924" s="16"/>
      <c r="B924" s="127"/>
      <c r="C924" s="127"/>
      <c r="D924" s="108"/>
      <c r="E924" s="109"/>
      <c r="F924" s="58"/>
      <c r="G924" s="135"/>
      <c r="H924" s="129"/>
      <c r="I924" s="129"/>
      <c r="J924" s="130" t="b">
        <v>0</v>
      </c>
      <c r="K924" s="58"/>
      <c r="L924" s="131" t="str">
        <f t="shared" si="8"/>
        <v/>
      </c>
      <c r="M924" s="108"/>
      <c r="N924" s="109"/>
      <c r="O924" s="109"/>
      <c r="P924" s="109"/>
      <c r="Q924" s="58"/>
      <c r="R924" s="136" t="b">
        <v>0</v>
      </c>
      <c r="S924" s="58"/>
      <c r="T924" s="80"/>
      <c r="U924" s="80"/>
      <c r="V924" s="80"/>
      <c r="W924" s="80"/>
      <c r="X924" s="80"/>
      <c r="Y924" s="80"/>
      <c r="Z924" s="80"/>
      <c r="AA924" s="81"/>
      <c r="AB924" s="81"/>
      <c r="AC924" s="81"/>
      <c r="AD924" s="81"/>
      <c r="AE924" s="81"/>
    </row>
    <row r="925">
      <c r="A925" s="16"/>
      <c r="B925" s="127"/>
      <c r="C925" s="127"/>
      <c r="D925" s="108"/>
      <c r="E925" s="109"/>
      <c r="F925" s="58"/>
      <c r="G925" s="135"/>
      <c r="H925" s="129"/>
      <c r="I925" s="129"/>
      <c r="J925" s="130" t="b">
        <v>0</v>
      </c>
      <c r="K925" s="58"/>
      <c r="L925" s="131" t="str">
        <f t="shared" si="8"/>
        <v/>
      </c>
      <c r="M925" s="108"/>
      <c r="N925" s="109"/>
      <c r="O925" s="109"/>
      <c r="P925" s="109"/>
      <c r="Q925" s="58"/>
      <c r="R925" s="136" t="b">
        <v>0</v>
      </c>
      <c r="S925" s="58"/>
      <c r="T925" s="80"/>
      <c r="U925" s="80"/>
      <c r="V925" s="80"/>
      <c r="W925" s="80"/>
      <c r="X925" s="80"/>
      <c r="Y925" s="80"/>
      <c r="Z925" s="80"/>
      <c r="AA925" s="81"/>
      <c r="AB925" s="81"/>
      <c r="AC925" s="81"/>
      <c r="AD925" s="81"/>
      <c r="AE925" s="81"/>
    </row>
    <row r="926">
      <c r="A926" s="16"/>
      <c r="B926" s="127"/>
      <c r="C926" s="127"/>
      <c r="D926" s="108"/>
      <c r="E926" s="109"/>
      <c r="F926" s="58"/>
      <c r="G926" s="135"/>
      <c r="H926" s="129"/>
      <c r="I926" s="129"/>
      <c r="J926" s="130" t="b">
        <v>0</v>
      </c>
      <c r="K926" s="58"/>
      <c r="L926" s="131" t="str">
        <f t="shared" si="8"/>
        <v/>
      </c>
      <c r="M926" s="108"/>
      <c r="N926" s="109"/>
      <c r="O926" s="109"/>
      <c r="P926" s="109"/>
      <c r="Q926" s="58"/>
      <c r="R926" s="136" t="b">
        <v>0</v>
      </c>
      <c r="S926" s="58"/>
      <c r="T926" s="80"/>
      <c r="U926" s="80"/>
      <c r="V926" s="80"/>
      <c r="W926" s="80"/>
      <c r="X926" s="80"/>
      <c r="Y926" s="80"/>
      <c r="Z926" s="80"/>
      <c r="AA926" s="81"/>
      <c r="AB926" s="81"/>
      <c r="AC926" s="81"/>
      <c r="AD926" s="81"/>
      <c r="AE926" s="81"/>
    </row>
    <row r="927">
      <c r="A927" s="16"/>
      <c r="B927" s="127"/>
      <c r="C927" s="127"/>
      <c r="D927" s="108"/>
      <c r="E927" s="109"/>
      <c r="F927" s="58"/>
      <c r="G927" s="135"/>
      <c r="H927" s="129"/>
      <c r="I927" s="129"/>
      <c r="J927" s="130" t="b">
        <v>0</v>
      </c>
      <c r="K927" s="58"/>
      <c r="L927" s="131" t="str">
        <f t="shared" si="8"/>
        <v/>
      </c>
      <c r="M927" s="108"/>
      <c r="N927" s="109"/>
      <c r="O927" s="109"/>
      <c r="P927" s="109"/>
      <c r="Q927" s="58"/>
      <c r="R927" s="136" t="b">
        <v>0</v>
      </c>
      <c r="S927" s="58"/>
      <c r="T927" s="80"/>
      <c r="U927" s="80"/>
      <c r="V927" s="80"/>
      <c r="W927" s="80"/>
      <c r="X927" s="80"/>
      <c r="Y927" s="80"/>
      <c r="Z927" s="80"/>
      <c r="AA927" s="81"/>
      <c r="AB927" s="81"/>
      <c r="AC927" s="81"/>
      <c r="AD927" s="81"/>
      <c r="AE927" s="81"/>
    </row>
    <row r="928">
      <c r="A928" s="16"/>
      <c r="B928" s="127"/>
      <c r="C928" s="127"/>
      <c r="D928" s="108"/>
      <c r="E928" s="109"/>
      <c r="F928" s="58"/>
      <c r="G928" s="135"/>
      <c r="H928" s="129"/>
      <c r="I928" s="129"/>
      <c r="J928" s="130" t="b">
        <v>0</v>
      </c>
      <c r="K928" s="58"/>
      <c r="L928" s="131" t="str">
        <f t="shared" si="8"/>
        <v/>
      </c>
      <c r="M928" s="108"/>
      <c r="N928" s="109"/>
      <c r="O928" s="109"/>
      <c r="P928" s="109"/>
      <c r="Q928" s="58"/>
      <c r="R928" s="136" t="b">
        <v>0</v>
      </c>
      <c r="S928" s="58"/>
      <c r="T928" s="80"/>
      <c r="U928" s="80"/>
      <c r="V928" s="80"/>
      <c r="W928" s="80"/>
      <c r="X928" s="80"/>
      <c r="Y928" s="80"/>
      <c r="Z928" s="80"/>
      <c r="AA928" s="81"/>
      <c r="AB928" s="81"/>
      <c r="AC928" s="81"/>
      <c r="AD928" s="81"/>
      <c r="AE928" s="81"/>
    </row>
    <row r="929">
      <c r="A929" s="16"/>
      <c r="B929" s="127"/>
      <c r="C929" s="127"/>
      <c r="D929" s="108"/>
      <c r="E929" s="109"/>
      <c r="F929" s="58"/>
      <c r="G929" s="135"/>
      <c r="H929" s="129"/>
      <c r="I929" s="129"/>
      <c r="J929" s="130" t="b">
        <v>0</v>
      </c>
      <c r="K929" s="58"/>
      <c r="L929" s="131" t="str">
        <f t="shared" si="8"/>
        <v/>
      </c>
      <c r="M929" s="108"/>
      <c r="N929" s="109"/>
      <c r="O929" s="109"/>
      <c r="P929" s="109"/>
      <c r="Q929" s="58"/>
      <c r="R929" s="136" t="b">
        <v>0</v>
      </c>
      <c r="S929" s="58"/>
      <c r="T929" s="80"/>
      <c r="U929" s="80"/>
      <c r="V929" s="80"/>
      <c r="W929" s="80"/>
      <c r="X929" s="80"/>
      <c r="Y929" s="80"/>
      <c r="Z929" s="80"/>
      <c r="AA929" s="81"/>
      <c r="AB929" s="81"/>
      <c r="AC929" s="81"/>
      <c r="AD929" s="81"/>
      <c r="AE929" s="81"/>
    </row>
    <row r="930">
      <c r="A930" s="16"/>
      <c r="B930" s="127"/>
      <c r="C930" s="127"/>
      <c r="D930" s="108"/>
      <c r="E930" s="109"/>
      <c r="F930" s="58"/>
      <c r="G930" s="135"/>
      <c r="H930" s="129"/>
      <c r="I930" s="129"/>
      <c r="J930" s="130" t="b">
        <v>0</v>
      </c>
      <c r="K930" s="58"/>
      <c r="L930" s="131" t="str">
        <f t="shared" si="8"/>
        <v/>
      </c>
      <c r="M930" s="108"/>
      <c r="N930" s="109"/>
      <c r="O930" s="109"/>
      <c r="P930" s="109"/>
      <c r="Q930" s="58"/>
      <c r="R930" s="136" t="b">
        <v>0</v>
      </c>
      <c r="S930" s="58"/>
      <c r="T930" s="80"/>
      <c r="U930" s="80"/>
      <c r="V930" s="80"/>
      <c r="W930" s="80"/>
      <c r="X930" s="80"/>
      <c r="Y930" s="80"/>
      <c r="Z930" s="80"/>
      <c r="AA930" s="81"/>
      <c r="AB930" s="81"/>
      <c r="AC930" s="81"/>
      <c r="AD930" s="81"/>
      <c r="AE930" s="81"/>
    </row>
    <row r="931">
      <c r="A931" s="16"/>
      <c r="B931" s="127"/>
      <c r="C931" s="127"/>
      <c r="D931" s="108"/>
      <c r="E931" s="109"/>
      <c r="F931" s="58"/>
      <c r="G931" s="135"/>
      <c r="H931" s="129"/>
      <c r="I931" s="129"/>
      <c r="J931" s="130" t="b">
        <v>0</v>
      </c>
      <c r="K931" s="58"/>
      <c r="L931" s="131" t="str">
        <f t="shared" si="8"/>
        <v/>
      </c>
      <c r="M931" s="108"/>
      <c r="N931" s="109"/>
      <c r="O931" s="109"/>
      <c r="P931" s="109"/>
      <c r="Q931" s="58"/>
      <c r="R931" s="136" t="b">
        <v>0</v>
      </c>
      <c r="S931" s="58"/>
      <c r="T931" s="80"/>
      <c r="U931" s="80"/>
      <c r="V931" s="80"/>
      <c r="W931" s="80"/>
      <c r="X931" s="80"/>
      <c r="Y931" s="80"/>
      <c r="Z931" s="80"/>
      <c r="AA931" s="81"/>
      <c r="AB931" s="81"/>
      <c r="AC931" s="81"/>
      <c r="AD931" s="81"/>
      <c r="AE931" s="81"/>
    </row>
    <row r="932">
      <c r="A932" s="16"/>
      <c r="B932" s="127"/>
      <c r="C932" s="127"/>
      <c r="D932" s="108"/>
      <c r="E932" s="109"/>
      <c r="F932" s="58"/>
      <c r="G932" s="135"/>
      <c r="H932" s="129"/>
      <c r="I932" s="129"/>
      <c r="J932" s="130" t="b">
        <v>0</v>
      </c>
      <c r="K932" s="58"/>
      <c r="L932" s="131" t="str">
        <f t="shared" si="8"/>
        <v/>
      </c>
      <c r="M932" s="108"/>
      <c r="N932" s="109"/>
      <c r="O932" s="109"/>
      <c r="P932" s="109"/>
      <c r="Q932" s="58"/>
      <c r="R932" s="136" t="b">
        <v>0</v>
      </c>
      <c r="S932" s="58"/>
      <c r="T932" s="80"/>
      <c r="U932" s="80"/>
      <c r="V932" s="80"/>
      <c r="W932" s="80"/>
      <c r="X932" s="80"/>
      <c r="Y932" s="80"/>
      <c r="Z932" s="80"/>
      <c r="AA932" s="81"/>
      <c r="AB932" s="81"/>
      <c r="AC932" s="81"/>
      <c r="AD932" s="81"/>
      <c r="AE932" s="81"/>
    </row>
    <row r="933">
      <c r="A933" s="16"/>
      <c r="B933" s="127"/>
      <c r="C933" s="127"/>
      <c r="D933" s="108"/>
      <c r="E933" s="109"/>
      <c r="F933" s="58"/>
      <c r="G933" s="135"/>
      <c r="H933" s="129"/>
      <c r="I933" s="129"/>
      <c r="J933" s="130" t="b">
        <v>0</v>
      </c>
      <c r="K933" s="58"/>
      <c r="L933" s="131" t="str">
        <f t="shared" si="8"/>
        <v/>
      </c>
      <c r="M933" s="108"/>
      <c r="N933" s="109"/>
      <c r="O933" s="109"/>
      <c r="P933" s="109"/>
      <c r="Q933" s="58"/>
      <c r="R933" s="136" t="b">
        <v>0</v>
      </c>
      <c r="S933" s="58"/>
      <c r="T933" s="80"/>
      <c r="U933" s="80"/>
      <c r="V933" s="80"/>
      <c r="W933" s="80"/>
      <c r="X933" s="80"/>
      <c r="Y933" s="80"/>
      <c r="Z933" s="80"/>
      <c r="AA933" s="81"/>
      <c r="AB933" s="81"/>
      <c r="AC933" s="81"/>
      <c r="AD933" s="81"/>
      <c r="AE933" s="81"/>
    </row>
    <row r="934">
      <c r="A934" s="16"/>
      <c r="B934" s="127"/>
      <c r="C934" s="127"/>
      <c r="D934" s="108"/>
      <c r="E934" s="109"/>
      <c r="F934" s="58"/>
      <c r="G934" s="135"/>
      <c r="H934" s="129"/>
      <c r="I934" s="129"/>
      <c r="J934" s="130" t="b">
        <v>0</v>
      </c>
      <c r="K934" s="58"/>
      <c r="L934" s="131" t="str">
        <f t="shared" si="8"/>
        <v/>
      </c>
      <c r="M934" s="108"/>
      <c r="N934" s="109"/>
      <c r="O934" s="109"/>
      <c r="P934" s="109"/>
      <c r="Q934" s="58"/>
      <c r="R934" s="136" t="b">
        <v>0</v>
      </c>
      <c r="S934" s="58"/>
      <c r="T934" s="80"/>
      <c r="U934" s="80"/>
      <c r="V934" s="80"/>
      <c r="W934" s="80"/>
      <c r="X934" s="80"/>
      <c r="Y934" s="80"/>
      <c r="Z934" s="80"/>
      <c r="AA934" s="81"/>
      <c r="AB934" s="81"/>
      <c r="AC934" s="81"/>
      <c r="AD934" s="81"/>
      <c r="AE934" s="81"/>
    </row>
    <row r="935">
      <c r="A935" s="16"/>
      <c r="B935" s="127"/>
      <c r="C935" s="127"/>
      <c r="D935" s="108"/>
      <c r="E935" s="109"/>
      <c r="F935" s="58"/>
      <c r="G935" s="135"/>
      <c r="H935" s="129"/>
      <c r="I935" s="129"/>
      <c r="J935" s="130" t="b">
        <v>0</v>
      </c>
      <c r="K935" s="58"/>
      <c r="L935" s="131" t="str">
        <f t="shared" si="8"/>
        <v/>
      </c>
      <c r="M935" s="108"/>
      <c r="N935" s="109"/>
      <c r="O935" s="109"/>
      <c r="P935" s="109"/>
      <c r="Q935" s="58"/>
      <c r="R935" s="136" t="b">
        <v>0</v>
      </c>
      <c r="S935" s="58"/>
      <c r="T935" s="80"/>
      <c r="U935" s="80"/>
      <c r="V935" s="80"/>
      <c r="W935" s="80"/>
      <c r="X935" s="80"/>
      <c r="Y935" s="80"/>
      <c r="Z935" s="80"/>
      <c r="AA935" s="81"/>
      <c r="AB935" s="81"/>
      <c r="AC935" s="81"/>
      <c r="AD935" s="81"/>
      <c r="AE935" s="81"/>
    </row>
    <row r="936">
      <c r="A936" s="16"/>
      <c r="B936" s="127"/>
      <c r="C936" s="127"/>
      <c r="D936" s="108"/>
      <c r="E936" s="109"/>
      <c r="F936" s="58"/>
      <c r="G936" s="135"/>
      <c r="H936" s="129"/>
      <c r="I936" s="129"/>
      <c r="J936" s="130" t="b">
        <v>0</v>
      </c>
      <c r="K936" s="58"/>
      <c r="L936" s="131" t="str">
        <f t="shared" si="8"/>
        <v/>
      </c>
      <c r="M936" s="108"/>
      <c r="N936" s="109"/>
      <c r="O936" s="109"/>
      <c r="P936" s="109"/>
      <c r="Q936" s="58"/>
      <c r="R936" s="136" t="b">
        <v>0</v>
      </c>
      <c r="S936" s="58"/>
      <c r="T936" s="80"/>
      <c r="U936" s="80"/>
      <c r="V936" s="80"/>
      <c r="W936" s="80"/>
      <c r="X936" s="80"/>
      <c r="Y936" s="80"/>
      <c r="Z936" s="80"/>
      <c r="AA936" s="81"/>
      <c r="AB936" s="81"/>
      <c r="AC936" s="81"/>
      <c r="AD936" s="81"/>
      <c r="AE936" s="81"/>
    </row>
    <row r="937">
      <c r="A937" s="16"/>
      <c r="B937" s="127"/>
      <c r="C937" s="127"/>
      <c r="D937" s="108"/>
      <c r="E937" s="109"/>
      <c r="F937" s="58"/>
      <c r="G937" s="135"/>
      <c r="H937" s="129"/>
      <c r="I937" s="129"/>
      <c r="J937" s="130" t="b">
        <v>0</v>
      </c>
      <c r="K937" s="58"/>
      <c r="L937" s="131" t="str">
        <f t="shared" si="8"/>
        <v/>
      </c>
      <c r="M937" s="108"/>
      <c r="N937" s="109"/>
      <c r="O937" s="109"/>
      <c r="P937" s="109"/>
      <c r="Q937" s="58"/>
      <c r="R937" s="136" t="b">
        <v>0</v>
      </c>
      <c r="S937" s="58"/>
      <c r="T937" s="80"/>
      <c r="U937" s="80"/>
      <c r="V937" s="80"/>
      <c r="W937" s="80"/>
      <c r="X937" s="80"/>
      <c r="Y937" s="80"/>
      <c r="Z937" s="80"/>
      <c r="AA937" s="81"/>
      <c r="AB937" s="81"/>
      <c r="AC937" s="81"/>
      <c r="AD937" s="81"/>
      <c r="AE937" s="81"/>
    </row>
    <row r="938">
      <c r="A938" s="16"/>
      <c r="B938" s="127"/>
      <c r="C938" s="127"/>
      <c r="D938" s="108"/>
      <c r="E938" s="109"/>
      <c r="F938" s="58"/>
      <c r="G938" s="135"/>
      <c r="H938" s="129"/>
      <c r="I938" s="129"/>
      <c r="J938" s="130" t="b">
        <v>0</v>
      </c>
      <c r="K938" s="58"/>
      <c r="L938" s="131" t="str">
        <f t="shared" si="8"/>
        <v/>
      </c>
      <c r="M938" s="108"/>
      <c r="N938" s="109"/>
      <c r="O938" s="109"/>
      <c r="P938" s="109"/>
      <c r="Q938" s="58"/>
      <c r="R938" s="136" t="b">
        <v>0</v>
      </c>
      <c r="S938" s="58"/>
      <c r="T938" s="80"/>
      <c r="U938" s="80"/>
      <c r="V938" s="80"/>
      <c r="W938" s="80"/>
      <c r="X938" s="80"/>
      <c r="Y938" s="80"/>
      <c r="Z938" s="80"/>
      <c r="AA938" s="81"/>
      <c r="AB938" s="81"/>
      <c r="AC938" s="81"/>
      <c r="AD938" s="81"/>
      <c r="AE938" s="81"/>
    </row>
    <row r="939">
      <c r="A939" s="16"/>
      <c r="B939" s="127"/>
      <c r="C939" s="127"/>
      <c r="D939" s="108"/>
      <c r="E939" s="109"/>
      <c r="F939" s="58"/>
      <c r="G939" s="135"/>
      <c r="H939" s="129"/>
      <c r="I939" s="129"/>
      <c r="J939" s="130" t="b">
        <v>0</v>
      </c>
      <c r="K939" s="58"/>
      <c r="L939" s="131" t="str">
        <f t="shared" si="8"/>
        <v/>
      </c>
      <c r="M939" s="108"/>
      <c r="N939" s="109"/>
      <c r="O939" s="109"/>
      <c r="P939" s="109"/>
      <c r="Q939" s="58"/>
      <c r="R939" s="136" t="b">
        <v>0</v>
      </c>
      <c r="S939" s="58"/>
      <c r="T939" s="80"/>
      <c r="U939" s="80"/>
      <c r="V939" s="80"/>
      <c r="W939" s="80"/>
      <c r="X939" s="80"/>
      <c r="Y939" s="80"/>
      <c r="Z939" s="80"/>
      <c r="AA939" s="81"/>
      <c r="AB939" s="81"/>
      <c r="AC939" s="81"/>
      <c r="AD939" s="81"/>
      <c r="AE939" s="81"/>
    </row>
    <row r="940">
      <c r="A940" s="16"/>
      <c r="B940" s="127"/>
      <c r="C940" s="127"/>
      <c r="D940" s="108"/>
      <c r="E940" s="109"/>
      <c r="F940" s="58"/>
      <c r="G940" s="135"/>
      <c r="H940" s="129"/>
      <c r="I940" s="129"/>
      <c r="J940" s="130" t="b">
        <v>0</v>
      </c>
      <c r="K940" s="58"/>
      <c r="L940" s="131" t="str">
        <f t="shared" si="8"/>
        <v/>
      </c>
      <c r="M940" s="108"/>
      <c r="N940" s="109"/>
      <c r="O940" s="109"/>
      <c r="P940" s="109"/>
      <c r="Q940" s="58"/>
      <c r="R940" s="136" t="b">
        <v>0</v>
      </c>
      <c r="S940" s="58"/>
      <c r="T940" s="80"/>
      <c r="U940" s="80"/>
      <c r="V940" s="80"/>
      <c r="W940" s="80"/>
      <c r="X940" s="80"/>
      <c r="Y940" s="80"/>
      <c r="Z940" s="80"/>
      <c r="AA940" s="81"/>
      <c r="AB940" s="81"/>
      <c r="AC940" s="81"/>
      <c r="AD940" s="81"/>
      <c r="AE940" s="81"/>
    </row>
    <row r="941">
      <c r="A941" s="16"/>
      <c r="B941" s="127"/>
      <c r="C941" s="127"/>
      <c r="D941" s="108"/>
      <c r="E941" s="109"/>
      <c r="F941" s="58"/>
      <c r="G941" s="135"/>
      <c r="H941" s="129"/>
      <c r="I941" s="129"/>
      <c r="J941" s="130" t="b">
        <v>0</v>
      </c>
      <c r="K941" s="58"/>
      <c r="L941" s="131" t="str">
        <f t="shared" si="8"/>
        <v/>
      </c>
      <c r="M941" s="108"/>
      <c r="N941" s="109"/>
      <c r="O941" s="109"/>
      <c r="P941" s="109"/>
      <c r="Q941" s="58"/>
      <c r="R941" s="136" t="b">
        <v>0</v>
      </c>
      <c r="S941" s="58"/>
      <c r="T941" s="80"/>
      <c r="U941" s="80"/>
      <c r="V941" s="80"/>
      <c r="W941" s="80"/>
      <c r="X941" s="80"/>
      <c r="Y941" s="80"/>
      <c r="Z941" s="80"/>
      <c r="AA941" s="81"/>
      <c r="AB941" s="81"/>
      <c r="AC941" s="81"/>
      <c r="AD941" s="81"/>
      <c r="AE941" s="81"/>
    </row>
    <row r="942">
      <c r="A942" s="16"/>
      <c r="B942" s="127"/>
      <c r="C942" s="127"/>
      <c r="D942" s="108"/>
      <c r="E942" s="109"/>
      <c r="F942" s="58"/>
      <c r="G942" s="135"/>
      <c r="H942" s="129"/>
      <c r="I942" s="129"/>
      <c r="J942" s="130" t="b">
        <v>0</v>
      </c>
      <c r="K942" s="58"/>
      <c r="L942" s="131" t="str">
        <f t="shared" si="8"/>
        <v/>
      </c>
      <c r="M942" s="108"/>
      <c r="N942" s="109"/>
      <c r="O942" s="109"/>
      <c r="P942" s="109"/>
      <c r="Q942" s="58"/>
      <c r="R942" s="136" t="b">
        <v>0</v>
      </c>
      <c r="S942" s="58"/>
      <c r="T942" s="80"/>
      <c r="U942" s="80"/>
      <c r="V942" s="80"/>
      <c r="W942" s="80"/>
      <c r="X942" s="80"/>
      <c r="Y942" s="80"/>
      <c r="Z942" s="80"/>
      <c r="AA942" s="81"/>
      <c r="AB942" s="81"/>
      <c r="AC942" s="81"/>
      <c r="AD942" s="81"/>
      <c r="AE942" s="81"/>
    </row>
    <row r="943">
      <c r="A943" s="16"/>
      <c r="B943" s="127"/>
      <c r="C943" s="127"/>
      <c r="D943" s="108"/>
      <c r="E943" s="109"/>
      <c r="F943" s="58"/>
      <c r="G943" s="135"/>
      <c r="H943" s="129"/>
      <c r="I943" s="129"/>
      <c r="J943" s="130" t="b">
        <v>0</v>
      </c>
      <c r="K943" s="58"/>
      <c r="L943" s="131" t="str">
        <f t="shared" si="8"/>
        <v/>
      </c>
      <c r="M943" s="108"/>
      <c r="N943" s="109"/>
      <c r="O943" s="109"/>
      <c r="P943" s="109"/>
      <c r="Q943" s="58"/>
      <c r="R943" s="136" t="b">
        <v>0</v>
      </c>
      <c r="S943" s="58"/>
      <c r="T943" s="80"/>
      <c r="U943" s="80"/>
      <c r="V943" s="80"/>
      <c r="W943" s="80"/>
      <c r="X943" s="80"/>
      <c r="Y943" s="80"/>
      <c r="Z943" s="80"/>
      <c r="AA943" s="81"/>
      <c r="AB943" s="81"/>
      <c r="AC943" s="81"/>
      <c r="AD943" s="81"/>
      <c r="AE943" s="81"/>
    </row>
    <row r="944">
      <c r="A944" s="16"/>
      <c r="B944" s="127"/>
      <c r="C944" s="127"/>
      <c r="D944" s="108"/>
      <c r="E944" s="109"/>
      <c r="F944" s="58"/>
      <c r="G944" s="135"/>
      <c r="H944" s="129"/>
      <c r="I944" s="129"/>
      <c r="J944" s="130" t="b">
        <v>0</v>
      </c>
      <c r="K944" s="58"/>
      <c r="L944" s="131" t="str">
        <f t="shared" si="8"/>
        <v/>
      </c>
      <c r="M944" s="108"/>
      <c r="N944" s="109"/>
      <c r="O944" s="109"/>
      <c r="P944" s="109"/>
      <c r="Q944" s="58"/>
      <c r="R944" s="136" t="b">
        <v>0</v>
      </c>
      <c r="S944" s="58"/>
      <c r="T944" s="80"/>
      <c r="U944" s="80"/>
      <c r="V944" s="80"/>
      <c r="W944" s="80"/>
      <c r="X944" s="80"/>
      <c r="Y944" s="80"/>
      <c r="Z944" s="80"/>
      <c r="AA944" s="81"/>
      <c r="AB944" s="81"/>
      <c r="AC944" s="81"/>
      <c r="AD944" s="81"/>
      <c r="AE944" s="81"/>
    </row>
    <row r="945">
      <c r="A945" s="16"/>
      <c r="B945" s="127"/>
      <c r="C945" s="127"/>
      <c r="D945" s="108"/>
      <c r="E945" s="109"/>
      <c r="F945" s="58"/>
      <c r="G945" s="135"/>
      <c r="H945" s="129"/>
      <c r="I945" s="129"/>
      <c r="J945" s="130" t="b">
        <v>0</v>
      </c>
      <c r="K945" s="58"/>
      <c r="L945" s="131" t="str">
        <f t="shared" si="8"/>
        <v/>
      </c>
      <c r="M945" s="108"/>
      <c r="N945" s="109"/>
      <c r="O945" s="109"/>
      <c r="P945" s="109"/>
      <c r="Q945" s="58"/>
      <c r="R945" s="136" t="b">
        <v>0</v>
      </c>
      <c r="S945" s="58"/>
      <c r="T945" s="80"/>
      <c r="U945" s="80"/>
      <c r="V945" s="80"/>
      <c r="W945" s="80"/>
      <c r="X945" s="80"/>
      <c r="Y945" s="80"/>
      <c r="Z945" s="80"/>
      <c r="AA945" s="81"/>
      <c r="AB945" s="81"/>
      <c r="AC945" s="81"/>
      <c r="AD945" s="81"/>
      <c r="AE945" s="81"/>
    </row>
    <row r="946">
      <c r="A946" s="16"/>
      <c r="B946" s="127"/>
      <c r="C946" s="127"/>
      <c r="D946" s="108"/>
      <c r="E946" s="109"/>
      <c r="F946" s="58"/>
      <c r="G946" s="135"/>
      <c r="H946" s="129"/>
      <c r="I946" s="129"/>
      <c r="J946" s="130" t="b">
        <v>0</v>
      </c>
      <c r="K946" s="58"/>
      <c r="L946" s="131" t="str">
        <f t="shared" si="8"/>
        <v/>
      </c>
      <c r="M946" s="108"/>
      <c r="N946" s="109"/>
      <c r="O946" s="109"/>
      <c r="P946" s="109"/>
      <c r="Q946" s="58"/>
      <c r="R946" s="136" t="b">
        <v>0</v>
      </c>
      <c r="S946" s="58"/>
      <c r="T946" s="80"/>
      <c r="U946" s="80"/>
      <c r="V946" s="80"/>
      <c r="W946" s="80"/>
      <c r="X946" s="80"/>
      <c r="Y946" s="80"/>
      <c r="Z946" s="80"/>
      <c r="AA946" s="81"/>
      <c r="AB946" s="81"/>
      <c r="AC946" s="81"/>
      <c r="AD946" s="81"/>
      <c r="AE946" s="81"/>
    </row>
    <row r="947">
      <c r="A947" s="16"/>
      <c r="B947" s="127"/>
      <c r="C947" s="127"/>
      <c r="D947" s="108"/>
      <c r="E947" s="109"/>
      <c r="F947" s="58"/>
      <c r="G947" s="135"/>
      <c r="H947" s="129"/>
      <c r="I947" s="129"/>
      <c r="J947" s="130" t="b">
        <v>0</v>
      </c>
      <c r="K947" s="58"/>
      <c r="L947" s="131" t="str">
        <f t="shared" si="8"/>
        <v/>
      </c>
      <c r="M947" s="108"/>
      <c r="N947" s="109"/>
      <c r="O947" s="109"/>
      <c r="P947" s="109"/>
      <c r="Q947" s="58"/>
      <c r="R947" s="136" t="b">
        <v>0</v>
      </c>
      <c r="S947" s="58"/>
      <c r="T947" s="80"/>
      <c r="U947" s="80"/>
      <c r="V947" s="80"/>
      <c r="W947" s="80"/>
      <c r="X947" s="80"/>
      <c r="Y947" s="80"/>
      <c r="Z947" s="80"/>
      <c r="AA947" s="81"/>
      <c r="AB947" s="81"/>
      <c r="AC947" s="81"/>
      <c r="AD947" s="81"/>
      <c r="AE947" s="81"/>
    </row>
    <row r="948">
      <c r="A948" s="16"/>
      <c r="B948" s="127"/>
      <c r="C948" s="127"/>
      <c r="D948" s="108"/>
      <c r="E948" s="109"/>
      <c r="F948" s="58"/>
      <c r="G948" s="135"/>
      <c r="H948" s="129"/>
      <c r="I948" s="129"/>
      <c r="J948" s="130" t="b">
        <v>0</v>
      </c>
      <c r="K948" s="58"/>
      <c r="L948" s="131" t="str">
        <f t="shared" si="8"/>
        <v/>
      </c>
      <c r="M948" s="108"/>
      <c r="N948" s="109"/>
      <c r="O948" s="109"/>
      <c r="P948" s="109"/>
      <c r="Q948" s="58"/>
      <c r="R948" s="136" t="b">
        <v>0</v>
      </c>
      <c r="S948" s="58"/>
      <c r="T948" s="80"/>
      <c r="U948" s="80"/>
      <c r="V948" s="80"/>
      <c r="W948" s="80"/>
      <c r="X948" s="80"/>
      <c r="Y948" s="80"/>
      <c r="Z948" s="80"/>
      <c r="AA948" s="81"/>
      <c r="AB948" s="81"/>
      <c r="AC948" s="81"/>
      <c r="AD948" s="81"/>
      <c r="AE948" s="81"/>
    </row>
    <row r="949">
      <c r="A949" s="16"/>
      <c r="B949" s="127"/>
      <c r="C949" s="127"/>
      <c r="D949" s="108"/>
      <c r="E949" s="109"/>
      <c r="F949" s="58"/>
      <c r="G949" s="135"/>
      <c r="H949" s="129"/>
      <c r="I949" s="129"/>
      <c r="J949" s="130" t="b">
        <v>0</v>
      </c>
      <c r="K949" s="58"/>
      <c r="L949" s="131" t="str">
        <f t="shared" si="8"/>
        <v/>
      </c>
      <c r="M949" s="108"/>
      <c r="N949" s="109"/>
      <c r="O949" s="109"/>
      <c r="P949" s="109"/>
      <c r="Q949" s="58"/>
      <c r="R949" s="136" t="b">
        <v>0</v>
      </c>
      <c r="S949" s="58"/>
      <c r="T949" s="80"/>
      <c r="U949" s="80"/>
      <c r="V949" s="80"/>
      <c r="W949" s="80"/>
      <c r="X949" s="80"/>
      <c r="Y949" s="80"/>
      <c r="Z949" s="80"/>
      <c r="AA949" s="81"/>
      <c r="AB949" s="81"/>
      <c r="AC949" s="81"/>
      <c r="AD949" s="81"/>
      <c r="AE949" s="81"/>
    </row>
    <row r="950">
      <c r="A950" s="16"/>
      <c r="B950" s="127"/>
      <c r="C950" s="127"/>
      <c r="D950" s="108"/>
      <c r="E950" s="109"/>
      <c r="F950" s="58"/>
      <c r="G950" s="135"/>
      <c r="H950" s="129"/>
      <c r="I950" s="129"/>
      <c r="J950" s="130" t="b">
        <v>0</v>
      </c>
      <c r="K950" s="58"/>
      <c r="L950" s="131" t="str">
        <f t="shared" si="8"/>
        <v/>
      </c>
      <c r="M950" s="108"/>
      <c r="N950" s="109"/>
      <c r="O950" s="109"/>
      <c r="P950" s="109"/>
      <c r="Q950" s="58"/>
      <c r="R950" s="136" t="b">
        <v>0</v>
      </c>
      <c r="S950" s="58"/>
      <c r="T950" s="80"/>
      <c r="U950" s="80"/>
      <c r="V950" s="80"/>
      <c r="W950" s="80"/>
      <c r="X950" s="80"/>
      <c r="Y950" s="80"/>
      <c r="Z950" s="80"/>
      <c r="AA950" s="81"/>
      <c r="AB950" s="81"/>
      <c r="AC950" s="81"/>
      <c r="AD950" s="81"/>
      <c r="AE950" s="81"/>
    </row>
    <row r="951">
      <c r="A951" s="16"/>
      <c r="B951" s="127"/>
      <c r="C951" s="127"/>
      <c r="D951" s="108"/>
      <c r="E951" s="109"/>
      <c r="F951" s="58"/>
      <c r="G951" s="135"/>
      <c r="H951" s="129"/>
      <c r="I951" s="129"/>
      <c r="J951" s="130" t="b">
        <v>0</v>
      </c>
      <c r="K951" s="58"/>
      <c r="L951" s="131" t="str">
        <f t="shared" si="8"/>
        <v/>
      </c>
      <c r="M951" s="108"/>
      <c r="N951" s="109"/>
      <c r="O951" s="109"/>
      <c r="P951" s="109"/>
      <c r="Q951" s="58"/>
      <c r="R951" s="136" t="b">
        <v>0</v>
      </c>
      <c r="S951" s="58"/>
      <c r="T951" s="80"/>
      <c r="U951" s="80"/>
      <c r="V951" s="80"/>
      <c r="W951" s="80"/>
      <c r="X951" s="80"/>
      <c r="Y951" s="80"/>
      <c r="Z951" s="80"/>
      <c r="AA951" s="81"/>
      <c r="AB951" s="81"/>
      <c r="AC951" s="81"/>
      <c r="AD951" s="81"/>
      <c r="AE951" s="81"/>
    </row>
    <row r="952">
      <c r="A952" s="16"/>
      <c r="B952" s="127"/>
      <c r="C952" s="127"/>
      <c r="D952" s="108"/>
      <c r="E952" s="109"/>
      <c r="F952" s="58"/>
      <c r="G952" s="135"/>
      <c r="H952" s="129"/>
      <c r="I952" s="129"/>
      <c r="J952" s="130" t="b">
        <v>0</v>
      </c>
      <c r="K952" s="58"/>
      <c r="L952" s="131" t="str">
        <f t="shared" si="8"/>
        <v/>
      </c>
      <c r="M952" s="108"/>
      <c r="N952" s="109"/>
      <c r="O952" s="109"/>
      <c r="P952" s="109"/>
      <c r="Q952" s="58"/>
      <c r="R952" s="136" t="b">
        <v>0</v>
      </c>
      <c r="S952" s="58"/>
      <c r="T952" s="80"/>
      <c r="U952" s="80"/>
      <c r="V952" s="80"/>
      <c r="W952" s="80"/>
      <c r="X952" s="80"/>
      <c r="Y952" s="80"/>
      <c r="Z952" s="80"/>
      <c r="AA952" s="81"/>
      <c r="AB952" s="81"/>
      <c r="AC952" s="81"/>
      <c r="AD952" s="81"/>
      <c r="AE952" s="81"/>
    </row>
    <row r="953">
      <c r="A953" s="16"/>
      <c r="B953" s="127"/>
      <c r="C953" s="127"/>
      <c r="D953" s="108"/>
      <c r="E953" s="109"/>
      <c r="F953" s="58"/>
      <c r="G953" s="135"/>
      <c r="H953" s="129"/>
      <c r="I953" s="129"/>
      <c r="J953" s="130" t="b">
        <v>0</v>
      </c>
      <c r="K953" s="58"/>
      <c r="L953" s="131" t="str">
        <f t="shared" si="8"/>
        <v/>
      </c>
      <c r="M953" s="108"/>
      <c r="N953" s="109"/>
      <c r="O953" s="109"/>
      <c r="P953" s="109"/>
      <c r="Q953" s="58"/>
      <c r="R953" s="136" t="b">
        <v>0</v>
      </c>
      <c r="S953" s="58"/>
      <c r="T953" s="80"/>
      <c r="U953" s="80"/>
      <c r="V953" s="80"/>
      <c r="W953" s="80"/>
      <c r="X953" s="80"/>
      <c r="Y953" s="80"/>
      <c r="Z953" s="80"/>
      <c r="AA953" s="81"/>
      <c r="AB953" s="81"/>
      <c r="AC953" s="81"/>
      <c r="AD953" s="81"/>
      <c r="AE953" s="81"/>
    </row>
    <row r="954">
      <c r="A954" s="16"/>
      <c r="B954" s="127"/>
      <c r="C954" s="127"/>
      <c r="D954" s="108"/>
      <c r="E954" s="109"/>
      <c r="F954" s="58"/>
      <c r="G954" s="135"/>
      <c r="H954" s="129"/>
      <c r="I954" s="129"/>
      <c r="J954" s="130" t="b">
        <v>0</v>
      </c>
      <c r="K954" s="58"/>
      <c r="L954" s="131" t="str">
        <f t="shared" si="8"/>
        <v/>
      </c>
      <c r="M954" s="108"/>
      <c r="N954" s="109"/>
      <c r="O954" s="109"/>
      <c r="P954" s="109"/>
      <c r="Q954" s="58"/>
      <c r="R954" s="136" t="b">
        <v>0</v>
      </c>
      <c r="S954" s="58"/>
      <c r="T954" s="80"/>
      <c r="U954" s="80"/>
      <c r="V954" s="80"/>
      <c r="W954" s="80"/>
      <c r="X954" s="80"/>
      <c r="Y954" s="80"/>
      <c r="Z954" s="80"/>
      <c r="AA954" s="81"/>
      <c r="AB954" s="81"/>
      <c r="AC954" s="81"/>
      <c r="AD954" s="81"/>
      <c r="AE954" s="81"/>
    </row>
    <row r="955">
      <c r="A955" s="16"/>
      <c r="B955" s="127"/>
      <c r="C955" s="127"/>
      <c r="D955" s="108"/>
      <c r="E955" s="109"/>
      <c r="F955" s="58"/>
      <c r="G955" s="135"/>
      <c r="H955" s="129"/>
      <c r="I955" s="129"/>
      <c r="J955" s="130" t="b">
        <v>0</v>
      </c>
      <c r="K955" s="58"/>
      <c r="L955" s="131" t="str">
        <f t="shared" si="8"/>
        <v/>
      </c>
      <c r="M955" s="108"/>
      <c r="N955" s="109"/>
      <c r="O955" s="109"/>
      <c r="P955" s="109"/>
      <c r="Q955" s="58"/>
      <c r="R955" s="136" t="b">
        <v>0</v>
      </c>
      <c r="S955" s="58"/>
      <c r="T955" s="80"/>
      <c r="U955" s="80"/>
      <c r="V955" s="80"/>
      <c r="W955" s="80"/>
      <c r="X955" s="80"/>
      <c r="Y955" s="80"/>
      <c r="Z955" s="80"/>
      <c r="AA955" s="81"/>
      <c r="AB955" s="81"/>
      <c r="AC955" s="81"/>
      <c r="AD955" s="81"/>
      <c r="AE955" s="81"/>
    </row>
    <row r="956">
      <c r="A956" s="16"/>
      <c r="B956" s="127"/>
      <c r="C956" s="127"/>
      <c r="D956" s="108"/>
      <c r="E956" s="109"/>
      <c r="F956" s="58"/>
      <c r="G956" s="135"/>
      <c r="H956" s="129"/>
      <c r="I956" s="129"/>
      <c r="J956" s="130" t="b">
        <v>0</v>
      </c>
      <c r="K956" s="58"/>
      <c r="L956" s="131" t="str">
        <f t="shared" si="8"/>
        <v/>
      </c>
      <c r="M956" s="108"/>
      <c r="N956" s="109"/>
      <c r="O956" s="109"/>
      <c r="P956" s="109"/>
      <c r="Q956" s="58"/>
      <c r="R956" s="136" t="b">
        <v>0</v>
      </c>
      <c r="S956" s="58"/>
      <c r="T956" s="80"/>
      <c r="U956" s="80"/>
      <c r="V956" s="80"/>
      <c r="W956" s="80"/>
      <c r="X956" s="80"/>
      <c r="Y956" s="80"/>
      <c r="Z956" s="80"/>
      <c r="AA956" s="81"/>
      <c r="AB956" s="81"/>
      <c r="AC956" s="81"/>
      <c r="AD956" s="81"/>
      <c r="AE956" s="81"/>
    </row>
    <row r="957">
      <c r="A957" s="16"/>
      <c r="B957" s="127"/>
      <c r="C957" s="127"/>
      <c r="D957" s="108"/>
      <c r="E957" s="109"/>
      <c r="F957" s="58"/>
      <c r="G957" s="135"/>
      <c r="H957" s="129"/>
      <c r="I957" s="129"/>
      <c r="J957" s="130" t="b">
        <v>0</v>
      </c>
      <c r="K957" s="58"/>
      <c r="L957" s="131" t="str">
        <f t="shared" si="8"/>
        <v/>
      </c>
      <c r="M957" s="108"/>
      <c r="N957" s="109"/>
      <c r="O957" s="109"/>
      <c r="P957" s="109"/>
      <c r="Q957" s="58"/>
      <c r="R957" s="136" t="b">
        <v>0</v>
      </c>
      <c r="S957" s="58"/>
      <c r="T957" s="80"/>
      <c r="U957" s="80"/>
      <c r="V957" s="80"/>
      <c r="W957" s="80"/>
      <c r="X957" s="80"/>
      <c r="Y957" s="80"/>
      <c r="Z957" s="80"/>
      <c r="AA957" s="81"/>
      <c r="AB957" s="81"/>
      <c r="AC957" s="81"/>
      <c r="AD957" s="81"/>
      <c r="AE957" s="81"/>
    </row>
    <row r="958">
      <c r="A958" s="16"/>
      <c r="B958" s="127"/>
      <c r="C958" s="127"/>
      <c r="D958" s="108"/>
      <c r="E958" s="109"/>
      <c r="F958" s="58"/>
      <c r="G958" s="135"/>
      <c r="H958" s="129"/>
      <c r="I958" s="129"/>
      <c r="J958" s="130" t="b">
        <v>0</v>
      </c>
      <c r="K958" s="58"/>
      <c r="L958" s="131" t="str">
        <f t="shared" si="8"/>
        <v/>
      </c>
      <c r="M958" s="108"/>
      <c r="N958" s="109"/>
      <c r="O958" s="109"/>
      <c r="P958" s="109"/>
      <c r="Q958" s="58"/>
      <c r="R958" s="136" t="b">
        <v>0</v>
      </c>
      <c r="S958" s="58"/>
      <c r="T958" s="80"/>
      <c r="U958" s="80"/>
      <c r="V958" s="80"/>
      <c r="W958" s="80"/>
      <c r="X958" s="80"/>
      <c r="Y958" s="80"/>
      <c r="Z958" s="80"/>
      <c r="AA958" s="81"/>
      <c r="AB958" s="81"/>
      <c r="AC958" s="81"/>
      <c r="AD958" s="81"/>
      <c r="AE958" s="81"/>
    </row>
    <row r="959">
      <c r="A959" s="16"/>
      <c r="B959" s="127"/>
      <c r="C959" s="127"/>
      <c r="D959" s="108"/>
      <c r="E959" s="109"/>
      <c r="F959" s="58"/>
      <c r="G959" s="135"/>
      <c r="H959" s="129"/>
      <c r="I959" s="129"/>
      <c r="J959" s="130" t="b">
        <v>0</v>
      </c>
      <c r="K959" s="58"/>
      <c r="L959" s="131" t="str">
        <f t="shared" si="8"/>
        <v/>
      </c>
      <c r="M959" s="108"/>
      <c r="N959" s="109"/>
      <c r="O959" s="109"/>
      <c r="P959" s="109"/>
      <c r="Q959" s="58"/>
      <c r="R959" s="136" t="b">
        <v>0</v>
      </c>
      <c r="S959" s="58"/>
      <c r="T959" s="80"/>
      <c r="U959" s="80"/>
      <c r="V959" s="80"/>
      <c r="W959" s="80"/>
      <c r="X959" s="80"/>
      <c r="Y959" s="80"/>
      <c r="Z959" s="80"/>
      <c r="AA959" s="81"/>
      <c r="AB959" s="81"/>
      <c r="AC959" s="81"/>
      <c r="AD959" s="81"/>
      <c r="AE959" s="81"/>
    </row>
    <row r="960">
      <c r="A960" s="16"/>
      <c r="B960" s="127"/>
      <c r="C960" s="127"/>
      <c r="D960" s="108"/>
      <c r="E960" s="109"/>
      <c r="F960" s="58"/>
      <c r="G960" s="135"/>
      <c r="H960" s="129"/>
      <c r="I960" s="129"/>
      <c r="J960" s="130" t="b">
        <v>0</v>
      </c>
      <c r="K960" s="58"/>
      <c r="L960" s="131" t="str">
        <f t="shared" si="8"/>
        <v/>
      </c>
      <c r="M960" s="108"/>
      <c r="N960" s="109"/>
      <c r="O960" s="109"/>
      <c r="P960" s="109"/>
      <c r="Q960" s="58"/>
      <c r="R960" s="136" t="b">
        <v>0</v>
      </c>
      <c r="S960" s="58"/>
      <c r="T960" s="80"/>
      <c r="U960" s="80"/>
      <c r="V960" s="80"/>
      <c r="W960" s="80"/>
      <c r="X960" s="80"/>
      <c r="Y960" s="80"/>
      <c r="Z960" s="80"/>
      <c r="AA960" s="81"/>
      <c r="AB960" s="81"/>
      <c r="AC960" s="81"/>
      <c r="AD960" s="81"/>
      <c r="AE960" s="81"/>
    </row>
    <row r="961">
      <c r="A961" s="16"/>
      <c r="B961" s="127"/>
      <c r="C961" s="127"/>
      <c r="D961" s="108"/>
      <c r="E961" s="109"/>
      <c r="F961" s="58"/>
      <c r="G961" s="135"/>
      <c r="H961" s="129"/>
      <c r="I961" s="129"/>
      <c r="J961" s="130" t="b">
        <v>0</v>
      </c>
      <c r="K961" s="58"/>
      <c r="L961" s="131" t="str">
        <f t="shared" si="8"/>
        <v/>
      </c>
      <c r="M961" s="108"/>
      <c r="N961" s="109"/>
      <c r="O961" s="109"/>
      <c r="P961" s="109"/>
      <c r="Q961" s="58"/>
      <c r="R961" s="136" t="b">
        <v>0</v>
      </c>
      <c r="S961" s="58"/>
      <c r="T961" s="80"/>
      <c r="U961" s="80"/>
      <c r="V961" s="80"/>
      <c r="W961" s="80"/>
      <c r="X961" s="80"/>
      <c r="Y961" s="80"/>
      <c r="Z961" s="80"/>
      <c r="AA961" s="81"/>
      <c r="AB961" s="81"/>
      <c r="AC961" s="81"/>
      <c r="AD961" s="81"/>
      <c r="AE961" s="81"/>
    </row>
    <row r="962">
      <c r="A962" s="16"/>
      <c r="B962" s="127"/>
      <c r="C962" s="127"/>
      <c r="D962" s="108"/>
      <c r="E962" s="109"/>
      <c r="F962" s="58"/>
      <c r="G962" s="135"/>
      <c r="H962" s="129"/>
      <c r="I962" s="129"/>
      <c r="J962" s="130" t="b">
        <v>0</v>
      </c>
      <c r="K962" s="58"/>
      <c r="L962" s="131" t="str">
        <f t="shared" si="8"/>
        <v/>
      </c>
      <c r="M962" s="108"/>
      <c r="N962" s="109"/>
      <c r="O962" s="109"/>
      <c r="P962" s="109"/>
      <c r="Q962" s="58"/>
      <c r="R962" s="136" t="b">
        <v>0</v>
      </c>
      <c r="S962" s="58"/>
      <c r="T962" s="80"/>
      <c r="U962" s="80"/>
      <c r="V962" s="80"/>
      <c r="W962" s="80"/>
      <c r="X962" s="80"/>
      <c r="Y962" s="80"/>
      <c r="Z962" s="80"/>
      <c r="AA962" s="81"/>
      <c r="AB962" s="81"/>
      <c r="AC962" s="81"/>
      <c r="AD962" s="81"/>
      <c r="AE962" s="81"/>
    </row>
    <row r="963">
      <c r="A963" s="16"/>
      <c r="B963" s="127"/>
      <c r="C963" s="127"/>
      <c r="D963" s="108"/>
      <c r="E963" s="109"/>
      <c r="F963" s="58"/>
      <c r="G963" s="135"/>
      <c r="H963" s="129"/>
      <c r="I963" s="129"/>
      <c r="J963" s="130" t="b">
        <v>0</v>
      </c>
      <c r="K963" s="58"/>
      <c r="L963" s="131" t="str">
        <f t="shared" si="8"/>
        <v/>
      </c>
      <c r="M963" s="108"/>
      <c r="N963" s="109"/>
      <c r="O963" s="109"/>
      <c r="P963" s="109"/>
      <c r="Q963" s="58"/>
      <c r="R963" s="136" t="b">
        <v>0</v>
      </c>
      <c r="S963" s="58"/>
      <c r="T963" s="80"/>
      <c r="U963" s="80"/>
      <c r="V963" s="80"/>
      <c r="W963" s="80"/>
      <c r="X963" s="80"/>
      <c r="Y963" s="80"/>
      <c r="Z963" s="80"/>
      <c r="AA963" s="81"/>
      <c r="AB963" s="81"/>
      <c r="AC963" s="81"/>
      <c r="AD963" s="81"/>
      <c r="AE963" s="81"/>
    </row>
    <row r="964">
      <c r="A964" s="16"/>
      <c r="B964" s="127"/>
      <c r="C964" s="127"/>
      <c r="D964" s="108"/>
      <c r="E964" s="109"/>
      <c r="F964" s="58"/>
      <c r="G964" s="135"/>
      <c r="H964" s="129"/>
      <c r="I964" s="129"/>
      <c r="J964" s="130" t="b">
        <v>0</v>
      </c>
      <c r="K964" s="58"/>
      <c r="L964" s="131" t="str">
        <f t="shared" si="8"/>
        <v/>
      </c>
      <c r="M964" s="108"/>
      <c r="N964" s="109"/>
      <c r="O964" s="109"/>
      <c r="P964" s="109"/>
      <c r="Q964" s="58"/>
      <c r="R964" s="136" t="b">
        <v>0</v>
      </c>
      <c r="S964" s="58"/>
      <c r="T964" s="80"/>
      <c r="U964" s="80"/>
      <c r="V964" s="80"/>
      <c r="W964" s="80"/>
      <c r="X964" s="80"/>
      <c r="Y964" s="80"/>
      <c r="Z964" s="80"/>
      <c r="AA964" s="81"/>
      <c r="AB964" s="81"/>
      <c r="AC964" s="81"/>
      <c r="AD964" s="81"/>
      <c r="AE964" s="81"/>
    </row>
    <row r="965">
      <c r="A965" s="16"/>
      <c r="B965" s="127"/>
      <c r="C965" s="127"/>
      <c r="D965" s="108"/>
      <c r="E965" s="109"/>
      <c r="F965" s="58"/>
      <c r="G965" s="135"/>
      <c r="H965" s="129"/>
      <c r="I965" s="129"/>
      <c r="J965" s="130" t="b">
        <v>0</v>
      </c>
      <c r="K965" s="58"/>
      <c r="L965" s="131" t="str">
        <f t="shared" si="8"/>
        <v/>
      </c>
      <c r="M965" s="108"/>
      <c r="N965" s="109"/>
      <c r="O965" s="109"/>
      <c r="P965" s="109"/>
      <c r="Q965" s="58"/>
      <c r="R965" s="136" t="b">
        <v>0</v>
      </c>
      <c r="S965" s="58"/>
      <c r="T965" s="80"/>
      <c r="U965" s="80"/>
      <c r="V965" s="80"/>
      <c r="W965" s="80"/>
      <c r="X965" s="80"/>
      <c r="Y965" s="80"/>
      <c r="Z965" s="80"/>
      <c r="AA965" s="81"/>
      <c r="AB965" s="81"/>
      <c r="AC965" s="81"/>
      <c r="AD965" s="81"/>
      <c r="AE965" s="81"/>
    </row>
    <row r="966">
      <c r="A966" s="16"/>
      <c r="B966" s="127"/>
      <c r="C966" s="127"/>
      <c r="D966" s="108"/>
      <c r="E966" s="109"/>
      <c r="F966" s="58"/>
      <c r="G966" s="135"/>
      <c r="H966" s="129"/>
      <c r="I966" s="129"/>
      <c r="J966" s="130" t="b">
        <v>0</v>
      </c>
      <c r="K966" s="58"/>
      <c r="L966" s="131" t="str">
        <f t="shared" si="8"/>
        <v/>
      </c>
      <c r="M966" s="108"/>
      <c r="N966" s="109"/>
      <c r="O966" s="109"/>
      <c r="P966" s="109"/>
      <c r="Q966" s="58"/>
      <c r="R966" s="136" t="b">
        <v>0</v>
      </c>
      <c r="S966" s="58"/>
      <c r="T966" s="80"/>
      <c r="U966" s="80"/>
      <c r="V966" s="80"/>
      <c r="W966" s="80"/>
      <c r="X966" s="80"/>
      <c r="Y966" s="80"/>
      <c r="Z966" s="80"/>
      <c r="AA966" s="81"/>
      <c r="AB966" s="81"/>
      <c r="AC966" s="81"/>
      <c r="AD966" s="81"/>
      <c r="AE966" s="81"/>
    </row>
    <row r="967">
      <c r="A967" s="16"/>
      <c r="B967" s="127"/>
      <c r="C967" s="127"/>
      <c r="D967" s="108"/>
      <c r="E967" s="109"/>
      <c r="F967" s="58"/>
      <c r="G967" s="135"/>
      <c r="H967" s="129"/>
      <c r="I967" s="129"/>
      <c r="J967" s="130" t="b">
        <v>0</v>
      </c>
      <c r="K967" s="58"/>
      <c r="L967" s="131" t="str">
        <f t="shared" si="8"/>
        <v/>
      </c>
      <c r="M967" s="108"/>
      <c r="N967" s="109"/>
      <c r="O967" s="109"/>
      <c r="P967" s="109"/>
      <c r="Q967" s="58"/>
      <c r="R967" s="136" t="b">
        <v>0</v>
      </c>
      <c r="S967" s="58"/>
      <c r="T967" s="80"/>
      <c r="U967" s="80"/>
      <c r="V967" s="80"/>
      <c r="W967" s="80"/>
      <c r="X967" s="80"/>
      <c r="Y967" s="80"/>
      <c r="Z967" s="80"/>
      <c r="AA967" s="81"/>
      <c r="AB967" s="81"/>
      <c r="AC967" s="81"/>
      <c r="AD967" s="81"/>
      <c r="AE967" s="81"/>
    </row>
    <row r="968">
      <c r="A968" s="16"/>
      <c r="B968" s="127"/>
      <c r="C968" s="127"/>
      <c r="D968" s="108"/>
      <c r="E968" s="109"/>
      <c r="F968" s="58"/>
      <c r="G968" s="135"/>
      <c r="H968" s="129"/>
      <c r="I968" s="129"/>
      <c r="J968" s="130" t="b">
        <v>0</v>
      </c>
      <c r="K968" s="58"/>
      <c r="L968" s="131" t="str">
        <f t="shared" si="8"/>
        <v/>
      </c>
      <c r="M968" s="108"/>
      <c r="N968" s="109"/>
      <c r="O968" s="109"/>
      <c r="P968" s="109"/>
      <c r="Q968" s="58"/>
      <c r="R968" s="136" t="b">
        <v>0</v>
      </c>
      <c r="S968" s="58"/>
      <c r="T968" s="80"/>
      <c r="U968" s="80"/>
      <c r="V968" s="80"/>
      <c r="W968" s="80"/>
      <c r="X968" s="80"/>
      <c r="Y968" s="80"/>
      <c r="Z968" s="80"/>
      <c r="AA968" s="81"/>
      <c r="AB968" s="81"/>
      <c r="AC968" s="81"/>
      <c r="AD968" s="81"/>
      <c r="AE968" s="81"/>
    </row>
    <row r="969">
      <c r="A969" s="16"/>
      <c r="B969" s="127"/>
      <c r="C969" s="127"/>
      <c r="D969" s="108"/>
      <c r="E969" s="109"/>
      <c r="F969" s="58"/>
      <c r="G969" s="135"/>
      <c r="H969" s="129"/>
      <c r="I969" s="129"/>
      <c r="J969" s="130" t="b">
        <v>0</v>
      </c>
      <c r="K969" s="58"/>
      <c r="L969" s="131" t="str">
        <f t="shared" si="8"/>
        <v/>
      </c>
      <c r="M969" s="108"/>
      <c r="N969" s="109"/>
      <c r="O969" s="109"/>
      <c r="P969" s="109"/>
      <c r="Q969" s="58"/>
      <c r="R969" s="136" t="b">
        <v>0</v>
      </c>
      <c r="S969" s="58"/>
      <c r="T969" s="80"/>
      <c r="U969" s="80"/>
      <c r="V969" s="80"/>
      <c r="W969" s="80"/>
      <c r="X969" s="80"/>
      <c r="Y969" s="80"/>
      <c r="Z969" s="80"/>
      <c r="AA969" s="81"/>
      <c r="AB969" s="81"/>
      <c r="AC969" s="81"/>
      <c r="AD969" s="81"/>
      <c r="AE969" s="81"/>
    </row>
    <row r="970">
      <c r="A970" s="16"/>
      <c r="B970" s="127"/>
      <c r="C970" s="127"/>
      <c r="D970" s="108"/>
      <c r="E970" s="109"/>
      <c r="F970" s="58"/>
      <c r="G970" s="135"/>
      <c r="H970" s="129"/>
      <c r="I970" s="129"/>
      <c r="J970" s="130" t="b">
        <v>0</v>
      </c>
      <c r="K970" s="58"/>
      <c r="L970" s="131" t="str">
        <f t="shared" si="8"/>
        <v/>
      </c>
      <c r="M970" s="108"/>
      <c r="N970" s="109"/>
      <c r="O970" s="109"/>
      <c r="P970" s="109"/>
      <c r="Q970" s="58"/>
      <c r="R970" s="136" t="b">
        <v>0</v>
      </c>
      <c r="S970" s="58"/>
      <c r="T970" s="80"/>
      <c r="U970" s="80"/>
      <c r="V970" s="80"/>
      <c r="W970" s="80"/>
      <c r="X970" s="80"/>
      <c r="Y970" s="80"/>
      <c r="Z970" s="80"/>
      <c r="AA970" s="81"/>
      <c r="AB970" s="81"/>
      <c r="AC970" s="81"/>
      <c r="AD970" s="81"/>
      <c r="AE970" s="81"/>
    </row>
    <row r="971">
      <c r="A971" s="16"/>
      <c r="B971" s="127"/>
      <c r="C971" s="127"/>
      <c r="D971" s="108"/>
      <c r="E971" s="109"/>
      <c r="F971" s="58"/>
      <c r="G971" s="135"/>
      <c r="H971" s="129"/>
      <c r="I971" s="129"/>
      <c r="J971" s="130" t="b">
        <v>0</v>
      </c>
      <c r="K971" s="58"/>
      <c r="L971" s="131" t="str">
        <f t="shared" si="8"/>
        <v/>
      </c>
      <c r="M971" s="108"/>
      <c r="N971" s="109"/>
      <c r="O971" s="109"/>
      <c r="P971" s="109"/>
      <c r="Q971" s="58"/>
      <c r="R971" s="136" t="b">
        <v>0</v>
      </c>
      <c r="S971" s="58"/>
      <c r="T971" s="80"/>
      <c r="U971" s="80"/>
      <c r="V971" s="80"/>
      <c r="W971" s="80"/>
      <c r="X971" s="80"/>
      <c r="Y971" s="80"/>
      <c r="Z971" s="80"/>
      <c r="AA971" s="81"/>
      <c r="AB971" s="81"/>
      <c r="AC971" s="81"/>
      <c r="AD971" s="81"/>
      <c r="AE971" s="81"/>
    </row>
    <row r="972">
      <c r="A972" s="16"/>
      <c r="B972" s="127"/>
      <c r="C972" s="127"/>
      <c r="D972" s="108"/>
      <c r="E972" s="109"/>
      <c r="F972" s="58"/>
      <c r="G972" s="135"/>
      <c r="H972" s="129"/>
      <c r="I972" s="129"/>
      <c r="J972" s="130" t="b">
        <v>0</v>
      </c>
      <c r="K972" s="58"/>
      <c r="L972" s="131" t="str">
        <f t="shared" si="8"/>
        <v/>
      </c>
      <c r="M972" s="108"/>
      <c r="N972" s="109"/>
      <c r="O972" s="109"/>
      <c r="P972" s="109"/>
      <c r="Q972" s="58"/>
      <c r="R972" s="136" t="b">
        <v>0</v>
      </c>
      <c r="S972" s="58"/>
      <c r="T972" s="80"/>
      <c r="U972" s="80"/>
      <c r="V972" s="80"/>
      <c r="W972" s="80"/>
      <c r="X972" s="80"/>
      <c r="Y972" s="80"/>
      <c r="Z972" s="80"/>
      <c r="AA972" s="81"/>
      <c r="AB972" s="81"/>
      <c r="AC972" s="81"/>
      <c r="AD972" s="81"/>
      <c r="AE972" s="81"/>
    </row>
    <row r="973">
      <c r="A973" s="16"/>
      <c r="B973" s="127"/>
      <c r="C973" s="127"/>
      <c r="D973" s="108"/>
      <c r="E973" s="109"/>
      <c r="F973" s="58"/>
      <c r="G973" s="135"/>
      <c r="H973" s="129"/>
      <c r="I973" s="129"/>
      <c r="J973" s="130" t="b">
        <v>0</v>
      </c>
      <c r="K973" s="58"/>
      <c r="L973" s="131" t="str">
        <f t="shared" si="8"/>
        <v/>
      </c>
      <c r="M973" s="108"/>
      <c r="N973" s="109"/>
      <c r="O973" s="109"/>
      <c r="P973" s="109"/>
      <c r="Q973" s="58"/>
      <c r="R973" s="136" t="b">
        <v>0</v>
      </c>
      <c r="S973" s="58"/>
      <c r="T973" s="80"/>
      <c r="U973" s="80"/>
      <c r="V973" s="80"/>
      <c r="W973" s="80"/>
      <c r="X973" s="80"/>
      <c r="Y973" s="80"/>
      <c r="Z973" s="80"/>
      <c r="AA973" s="81"/>
      <c r="AB973" s="81"/>
      <c r="AC973" s="81"/>
      <c r="AD973" s="81"/>
      <c r="AE973" s="81"/>
    </row>
    <row r="974">
      <c r="A974" s="16"/>
      <c r="B974" s="127"/>
      <c r="C974" s="127"/>
      <c r="D974" s="108"/>
      <c r="E974" s="109"/>
      <c r="F974" s="58"/>
      <c r="G974" s="135"/>
      <c r="H974" s="129"/>
      <c r="I974" s="129"/>
      <c r="J974" s="130" t="b">
        <v>0</v>
      </c>
      <c r="K974" s="58"/>
      <c r="L974" s="131" t="str">
        <f t="shared" si="8"/>
        <v/>
      </c>
      <c r="M974" s="108"/>
      <c r="N974" s="109"/>
      <c r="O974" s="109"/>
      <c r="P974" s="109"/>
      <c r="Q974" s="58"/>
      <c r="R974" s="136" t="b">
        <v>0</v>
      </c>
      <c r="S974" s="58"/>
      <c r="T974" s="80"/>
      <c r="U974" s="80"/>
      <c r="V974" s="80"/>
      <c r="W974" s="80"/>
      <c r="X974" s="80"/>
      <c r="Y974" s="80"/>
      <c r="Z974" s="80"/>
      <c r="AA974" s="81"/>
      <c r="AB974" s="81"/>
      <c r="AC974" s="81"/>
      <c r="AD974" s="81"/>
      <c r="AE974" s="81"/>
    </row>
    <row r="975">
      <c r="A975" s="16"/>
      <c r="B975" s="127"/>
      <c r="C975" s="127"/>
      <c r="D975" s="108"/>
      <c r="E975" s="109"/>
      <c r="F975" s="58"/>
      <c r="G975" s="135"/>
      <c r="H975" s="129"/>
      <c r="I975" s="129"/>
      <c r="J975" s="130" t="b">
        <v>0</v>
      </c>
      <c r="K975" s="58"/>
      <c r="L975" s="131" t="str">
        <f t="shared" si="8"/>
        <v/>
      </c>
      <c r="M975" s="108"/>
      <c r="N975" s="109"/>
      <c r="O975" s="109"/>
      <c r="P975" s="109"/>
      <c r="Q975" s="58"/>
      <c r="R975" s="136" t="b">
        <v>0</v>
      </c>
      <c r="S975" s="58"/>
      <c r="T975" s="80"/>
      <c r="U975" s="80"/>
      <c r="V975" s="80"/>
      <c r="W975" s="80"/>
      <c r="X975" s="80"/>
      <c r="Y975" s="80"/>
      <c r="Z975" s="80"/>
      <c r="AA975" s="81"/>
      <c r="AB975" s="81"/>
      <c r="AC975" s="81"/>
      <c r="AD975" s="81"/>
      <c r="AE975" s="81"/>
    </row>
    <row r="976">
      <c r="A976" s="16"/>
      <c r="B976" s="127"/>
      <c r="C976" s="127"/>
      <c r="D976" s="108"/>
      <c r="E976" s="109"/>
      <c r="F976" s="58"/>
      <c r="G976" s="135"/>
      <c r="H976" s="129"/>
      <c r="I976" s="129"/>
      <c r="J976" s="130" t="b">
        <v>0</v>
      </c>
      <c r="K976" s="58"/>
      <c r="L976" s="131" t="str">
        <f t="shared" si="8"/>
        <v/>
      </c>
      <c r="M976" s="108"/>
      <c r="N976" s="109"/>
      <c r="O976" s="109"/>
      <c r="P976" s="109"/>
      <c r="Q976" s="58"/>
      <c r="R976" s="136" t="b">
        <v>0</v>
      </c>
      <c r="S976" s="58"/>
      <c r="T976" s="80"/>
      <c r="U976" s="80"/>
      <c r="V976" s="80"/>
      <c r="W976" s="80"/>
      <c r="X976" s="80"/>
      <c r="Y976" s="80"/>
      <c r="Z976" s="80"/>
      <c r="AA976" s="81"/>
      <c r="AB976" s="81"/>
      <c r="AC976" s="81"/>
      <c r="AD976" s="81"/>
      <c r="AE976" s="81"/>
    </row>
    <row r="977">
      <c r="A977" s="16"/>
      <c r="B977" s="127"/>
      <c r="C977" s="127"/>
      <c r="D977" s="108"/>
      <c r="E977" s="109"/>
      <c r="F977" s="58"/>
      <c r="G977" s="135"/>
      <c r="H977" s="129"/>
      <c r="I977" s="129"/>
      <c r="J977" s="130" t="b">
        <v>0</v>
      </c>
      <c r="K977" s="58"/>
      <c r="L977" s="131" t="str">
        <f t="shared" si="8"/>
        <v/>
      </c>
      <c r="M977" s="108"/>
      <c r="N977" s="109"/>
      <c r="O977" s="109"/>
      <c r="P977" s="109"/>
      <c r="Q977" s="58"/>
      <c r="R977" s="136" t="b">
        <v>0</v>
      </c>
      <c r="S977" s="58"/>
      <c r="T977" s="80"/>
      <c r="U977" s="80"/>
      <c r="V977" s="80"/>
      <c r="W977" s="80"/>
      <c r="X977" s="80"/>
      <c r="Y977" s="80"/>
      <c r="Z977" s="80"/>
      <c r="AA977" s="81"/>
      <c r="AB977" s="81"/>
      <c r="AC977" s="81"/>
      <c r="AD977" s="81"/>
      <c r="AE977" s="81"/>
    </row>
    <row r="978">
      <c r="A978" s="16"/>
      <c r="B978" s="127"/>
      <c r="C978" s="127"/>
      <c r="D978" s="108"/>
      <c r="E978" s="109"/>
      <c r="F978" s="58"/>
      <c r="G978" s="135"/>
      <c r="H978" s="129"/>
      <c r="I978" s="129"/>
      <c r="J978" s="130" t="b">
        <v>0</v>
      </c>
      <c r="K978" s="58"/>
      <c r="L978" s="131" t="str">
        <f t="shared" si="8"/>
        <v/>
      </c>
      <c r="M978" s="108"/>
      <c r="N978" s="109"/>
      <c r="O978" s="109"/>
      <c r="P978" s="109"/>
      <c r="Q978" s="58"/>
      <c r="R978" s="136" t="b">
        <v>0</v>
      </c>
      <c r="S978" s="58"/>
      <c r="T978" s="80"/>
      <c r="U978" s="80"/>
      <c r="V978" s="80"/>
      <c r="W978" s="80"/>
      <c r="X978" s="80"/>
      <c r="Y978" s="80"/>
      <c r="Z978" s="80"/>
      <c r="AA978" s="81"/>
      <c r="AB978" s="81"/>
      <c r="AC978" s="81"/>
      <c r="AD978" s="81"/>
      <c r="AE978" s="81"/>
    </row>
    <row r="979">
      <c r="A979" s="16"/>
      <c r="B979" s="127"/>
      <c r="C979" s="127"/>
      <c r="D979" s="108"/>
      <c r="E979" s="109"/>
      <c r="F979" s="58"/>
      <c r="G979" s="135"/>
      <c r="H979" s="129"/>
      <c r="I979" s="129"/>
      <c r="J979" s="130" t="b">
        <v>0</v>
      </c>
      <c r="K979" s="58"/>
      <c r="L979" s="131" t="str">
        <f t="shared" si="8"/>
        <v/>
      </c>
      <c r="M979" s="108"/>
      <c r="N979" s="109"/>
      <c r="O979" s="109"/>
      <c r="P979" s="109"/>
      <c r="Q979" s="58"/>
      <c r="R979" s="136" t="b">
        <v>0</v>
      </c>
      <c r="S979" s="58"/>
      <c r="T979" s="80"/>
      <c r="U979" s="80"/>
      <c r="V979" s="80"/>
      <c r="W979" s="80"/>
      <c r="X979" s="80"/>
      <c r="Y979" s="80"/>
      <c r="Z979" s="80"/>
      <c r="AA979" s="81"/>
      <c r="AB979" s="81"/>
      <c r="AC979" s="81"/>
      <c r="AD979" s="81"/>
      <c r="AE979" s="81"/>
    </row>
    <row r="980">
      <c r="A980" s="16"/>
      <c r="B980" s="127"/>
      <c r="C980" s="127"/>
      <c r="D980" s="108"/>
      <c r="E980" s="109"/>
      <c r="F980" s="58"/>
      <c r="G980" s="135"/>
      <c r="H980" s="129"/>
      <c r="I980" s="129"/>
      <c r="J980" s="130" t="b">
        <v>0</v>
      </c>
      <c r="K980" s="58"/>
      <c r="L980" s="131" t="str">
        <f t="shared" si="8"/>
        <v/>
      </c>
      <c r="M980" s="108"/>
      <c r="N980" s="109"/>
      <c r="O980" s="109"/>
      <c r="P980" s="109"/>
      <c r="Q980" s="58"/>
      <c r="R980" s="136" t="b">
        <v>0</v>
      </c>
      <c r="S980" s="58"/>
      <c r="T980" s="80"/>
      <c r="U980" s="80"/>
      <c r="V980" s="80"/>
      <c r="W980" s="80"/>
      <c r="X980" s="80"/>
      <c r="Y980" s="80"/>
      <c r="Z980" s="80"/>
      <c r="AA980" s="81"/>
      <c r="AB980" s="81"/>
      <c r="AC980" s="81"/>
      <c r="AD980" s="81"/>
      <c r="AE980" s="81"/>
    </row>
    <row r="981">
      <c r="A981" s="16"/>
      <c r="B981" s="127"/>
      <c r="C981" s="127"/>
      <c r="D981" s="108"/>
      <c r="E981" s="109"/>
      <c r="F981" s="58"/>
      <c r="G981" s="135"/>
      <c r="H981" s="129"/>
      <c r="I981" s="129"/>
      <c r="J981" s="130" t="b">
        <v>0</v>
      </c>
      <c r="K981" s="58"/>
      <c r="L981" s="131" t="str">
        <f t="shared" si="8"/>
        <v/>
      </c>
      <c r="M981" s="108"/>
      <c r="N981" s="109"/>
      <c r="O981" s="109"/>
      <c r="P981" s="109"/>
      <c r="Q981" s="58"/>
      <c r="R981" s="136" t="b">
        <v>0</v>
      </c>
      <c r="S981" s="58"/>
      <c r="T981" s="80"/>
      <c r="U981" s="80"/>
      <c r="V981" s="80"/>
      <c r="W981" s="80"/>
      <c r="X981" s="80"/>
      <c r="Y981" s="80"/>
      <c r="Z981" s="80"/>
      <c r="AA981" s="81"/>
      <c r="AB981" s="81"/>
      <c r="AC981" s="81"/>
      <c r="AD981" s="81"/>
      <c r="AE981" s="81"/>
    </row>
    <row r="982">
      <c r="A982" s="16"/>
      <c r="B982" s="127"/>
      <c r="C982" s="127"/>
      <c r="D982" s="108"/>
      <c r="E982" s="109"/>
      <c r="F982" s="58"/>
      <c r="G982" s="135"/>
      <c r="H982" s="129"/>
      <c r="I982" s="129"/>
      <c r="J982" s="130" t="b">
        <v>0</v>
      </c>
      <c r="K982" s="58"/>
      <c r="L982" s="131" t="str">
        <f t="shared" si="8"/>
        <v/>
      </c>
      <c r="M982" s="108"/>
      <c r="N982" s="109"/>
      <c r="O982" s="109"/>
      <c r="P982" s="109"/>
      <c r="Q982" s="58"/>
      <c r="R982" s="136" t="b">
        <v>0</v>
      </c>
      <c r="S982" s="58"/>
      <c r="T982" s="80"/>
      <c r="U982" s="80"/>
      <c r="V982" s="80"/>
      <c r="W982" s="80"/>
      <c r="X982" s="80"/>
      <c r="Y982" s="80"/>
      <c r="Z982" s="80"/>
      <c r="AA982" s="81"/>
      <c r="AB982" s="81"/>
      <c r="AC982" s="81"/>
      <c r="AD982" s="81"/>
      <c r="AE982" s="81"/>
    </row>
    <row r="983">
      <c r="A983" s="16"/>
      <c r="B983" s="127"/>
      <c r="C983" s="127"/>
      <c r="D983" s="108"/>
      <c r="E983" s="109"/>
      <c r="F983" s="58"/>
      <c r="G983" s="135"/>
      <c r="H983" s="129"/>
      <c r="I983" s="129"/>
      <c r="J983" s="130" t="b">
        <v>0</v>
      </c>
      <c r="K983" s="58"/>
      <c r="L983" s="131" t="str">
        <f t="shared" si="8"/>
        <v/>
      </c>
      <c r="M983" s="108"/>
      <c r="N983" s="109"/>
      <c r="O983" s="109"/>
      <c r="P983" s="109"/>
      <c r="Q983" s="58"/>
      <c r="R983" s="136" t="b">
        <v>0</v>
      </c>
      <c r="S983" s="58"/>
      <c r="T983" s="80"/>
      <c r="U983" s="80"/>
      <c r="V983" s="80"/>
      <c r="W983" s="80"/>
      <c r="X983" s="80"/>
      <c r="Y983" s="80"/>
      <c r="Z983" s="80"/>
      <c r="AA983" s="81"/>
      <c r="AB983" s="81"/>
      <c r="AC983" s="81"/>
      <c r="AD983" s="81"/>
      <c r="AE983" s="81"/>
    </row>
    <row r="984">
      <c r="A984" s="16"/>
      <c r="B984" s="127"/>
      <c r="C984" s="127"/>
      <c r="D984" s="108"/>
      <c r="E984" s="109"/>
      <c r="F984" s="58"/>
      <c r="G984" s="135"/>
      <c r="H984" s="129"/>
      <c r="I984" s="129"/>
      <c r="J984" s="130" t="b">
        <v>0</v>
      </c>
      <c r="K984" s="58"/>
      <c r="L984" s="131" t="str">
        <f t="shared" si="8"/>
        <v/>
      </c>
      <c r="M984" s="108"/>
      <c r="N984" s="109"/>
      <c r="O984" s="109"/>
      <c r="P984" s="109"/>
      <c r="Q984" s="58"/>
      <c r="R984" s="136" t="b">
        <v>0</v>
      </c>
      <c r="S984" s="58"/>
      <c r="T984" s="80"/>
      <c r="U984" s="80"/>
      <c r="V984" s="80"/>
      <c r="W984" s="80"/>
      <c r="X984" s="80"/>
      <c r="Y984" s="80"/>
      <c r="Z984" s="80"/>
      <c r="AA984" s="81"/>
      <c r="AB984" s="81"/>
      <c r="AC984" s="81"/>
      <c r="AD984" s="81"/>
      <c r="AE984" s="81"/>
    </row>
    <row r="985">
      <c r="A985" s="16"/>
      <c r="B985" s="127"/>
      <c r="C985" s="127"/>
      <c r="D985" s="108"/>
      <c r="E985" s="109"/>
      <c r="F985" s="58"/>
      <c r="G985" s="135"/>
      <c r="H985" s="129"/>
      <c r="I985" s="129"/>
      <c r="J985" s="130" t="b">
        <v>0</v>
      </c>
      <c r="K985" s="58"/>
      <c r="L985" s="131" t="str">
        <f t="shared" si="8"/>
        <v/>
      </c>
      <c r="M985" s="108"/>
      <c r="N985" s="109"/>
      <c r="O985" s="109"/>
      <c r="P985" s="109"/>
      <c r="Q985" s="58"/>
      <c r="R985" s="136" t="b">
        <v>0</v>
      </c>
      <c r="S985" s="58"/>
      <c r="T985" s="80"/>
      <c r="U985" s="80"/>
      <c r="V985" s="80"/>
      <c r="W985" s="80"/>
      <c r="X985" s="80"/>
      <c r="Y985" s="80"/>
      <c r="Z985" s="80"/>
      <c r="AA985" s="81"/>
      <c r="AB985" s="81"/>
      <c r="AC985" s="81"/>
      <c r="AD985" s="81"/>
      <c r="AE985" s="81"/>
    </row>
    <row r="986">
      <c r="A986" s="16"/>
      <c r="B986" s="127"/>
      <c r="C986" s="127"/>
      <c r="D986" s="108"/>
      <c r="E986" s="109"/>
      <c r="F986" s="58"/>
      <c r="G986" s="135"/>
      <c r="H986" s="129"/>
      <c r="I986" s="129"/>
      <c r="J986" s="130" t="b">
        <v>0</v>
      </c>
      <c r="K986" s="58"/>
      <c r="L986" s="131" t="str">
        <f t="shared" si="8"/>
        <v/>
      </c>
      <c r="M986" s="108"/>
      <c r="N986" s="109"/>
      <c r="O986" s="109"/>
      <c r="P986" s="109"/>
      <c r="Q986" s="58"/>
      <c r="R986" s="136" t="b">
        <v>0</v>
      </c>
      <c r="S986" s="58"/>
      <c r="T986" s="80"/>
      <c r="U986" s="80"/>
      <c r="V986" s="80"/>
      <c r="W986" s="80"/>
      <c r="X986" s="80"/>
      <c r="Y986" s="80"/>
      <c r="Z986" s="80"/>
      <c r="AA986" s="81"/>
      <c r="AB986" s="81"/>
      <c r="AC986" s="81"/>
      <c r="AD986" s="81"/>
      <c r="AE986" s="81"/>
    </row>
    <row r="987">
      <c r="A987" s="16"/>
      <c r="B987" s="127"/>
      <c r="C987" s="127"/>
      <c r="D987" s="108"/>
      <c r="E987" s="109"/>
      <c r="F987" s="58"/>
      <c r="G987" s="135"/>
      <c r="H987" s="129"/>
      <c r="I987" s="129"/>
      <c r="J987" s="130" t="b">
        <v>0</v>
      </c>
      <c r="K987" s="58"/>
      <c r="L987" s="131" t="str">
        <f t="shared" si="8"/>
        <v/>
      </c>
      <c r="M987" s="108"/>
      <c r="N987" s="109"/>
      <c r="O987" s="109"/>
      <c r="P987" s="109"/>
      <c r="Q987" s="58"/>
      <c r="R987" s="136" t="b">
        <v>0</v>
      </c>
      <c r="S987" s="58"/>
      <c r="T987" s="80"/>
      <c r="U987" s="80"/>
      <c r="V987" s="80"/>
      <c r="W987" s="80"/>
      <c r="X987" s="80"/>
      <c r="Y987" s="80"/>
      <c r="Z987" s="80"/>
      <c r="AA987" s="81"/>
      <c r="AB987" s="81"/>
      <c r="AC987" s="81"/>
      <c r="AD987" s="81"/>
      <c r="AE987" s="81"/>
    </row>
    <row r="988">
      <c r="A988" s="16"/>
      <c r="B988" s="127"/>
      <c r="C988" s="127"/>
      <c r="D988" s="108"/>
      <c r="E988" s="109"/>
      <c r="F988" s="58"/>
      <c r="G988" s="135"/>
      <c r="H988" s="129"/>
      <c r="I988" s="129"/>
      <c r="J988" s="130" t="b">
        <v>0</v>
      </c>
      <c r="K988" s="58"/>
      <c r="L988" s="131" t="str">
        <f t="shared" si="8"/>
        <v/>
      </c>
      <c r="M988" s="108"/>
      <c r="N988" s="109"/>
      <c r="O988" s="109"/>
      <c r="P988" s="109"/>
      <c r="Q988" s="58"/>
      <c r="R988" s="136" t="b">
        <v>0</v>
      </c>
      <c r="S988" s="58"/>
      <c r="T988" s="80"/>
      <c r="U988" s="80"/>
      <c r="V988" s="80"/>
      <c r="W988" s="80"/>
      <c r="X988" s="80"/>
      <c r="Y988" s="80"/>
      <c r="Z988" s="80"/>
      <c r="AA988" s="81"/>
      <c r="AB988" s="81"/>
      <c r="AC988" s="81"/>
      <c r="AD988" s="81"/>
      <c r="AE988" s="81"/>
    </row>
    <row r="989">
      <c r="A989" s="16"/>
      <c r="B989" s="127"/>
      <c r="C989" s="127"/>
      <c r="D989" s="108"/>
      <c r="E989" s="109"/>
      <c r="F989" s="58"/>
      <c r="G989" s="135"/>
      <c r="H989" s="129"/>
      <c r="I989" s="129"/>
      <c r="J989" s="130" t="b">
        <v>0</v>
      </c>
      <c r="K989" s="58"/>
      <c r="L989" s="131" t="str">
        <f t="shared" si="8"/>
        <v/>
      </c>
      <c r="M989" s="108"/>
      <c r="N989" s="109"/>
      <c r="O989" s="109"/>
      <c r="P989" s="109"/>
      <c r="Q989" s="58"/>
      <c r="R989" s="136" t="b">
        <v>0</v>
      </c>
      <c r="S989" s="58"/>
      <c r="T989" s="80"/>
      <c r="U989" s="80"/>
      <c r="V989" s="80"/>
      <c r="W989" s="80"/>
      <c r="X989" s="80"/>
      <c r="Y989" s="80"/>
      <c r="Z989" s="80"/>
      <c r="AA989" s="81"/>
      <c r="AB989" s="81"/>
      <c r="AC989" s="81"/>
      <c r="AD989" s="81"/>
      <c r="AE989" s="81"/>
    </row>
    <row r="990">
      <c r="A990" s="16"/>
      <c r="B990" s="127"/>
      <c r="C990" s="127"/>
      <c r="D990" s="108"/>
      <c r="E990" s="109"/>
      <c r="F990" s="58"/>
      <c r="G990" s="135"/>
      <c r="H990" s="129"/>
      <c r="I990" s="129"/>
      <c r="J990" s="130" t="b">
        <v>0</v>
      </c>
      <c r="K990" s="58"/>
      <c r="L990" s="131" t="str">
        <f t="shared" si="8"/>
        <v/>
      </c>
      <c r="M990" s="108"/>
      <c r="N990" s="109"/>
      <c r="O990" s="109"/>
      <c r="P990" s="109"/>
      <c r="Q990" s="58"/>
      <c r="R990" s="136" t="b">
        <v>0</v>
      </c>
      <c r="S990" s="58"/>
      <c r="T990" s="80"/>
      <c r="U990" s="80"/>
      <c r="V990" s="80"/>
      <c r="W990" s="80"/>
      <c r="X990" s="80"/>
      <c r="Y990" s="80"/>
      <c r="Z990" s="80"/>
      <c r="AA990" s="81"/>
      <c r="AB990" s="81"/>
      <c r="AC990" s="81"/>
      <c r="AD990" s="81"/>
      <c r="AE990" s="81"/>
    </row>
    <row r="991">
      <c r="A991" s="16"/>
      <c r="B991" s="127"/>
      <c r="C991" s="127"/>
      <c r="D991" s="108"/>
      <c r="E991" s="109"/>
      <c r="F991" s="58"/>
      <c r="G991" s="135"/>
      <c r="H991" s="129"/>
      <c r="I991" s="129"/>
      <c r="J991" s="130" t="b">
        <v>0</v>
      </c>
      <c r="K991" s="58"/>
      <c r="L991" s="131" t="str">
        <f t="shared" si="8"/>
        <v/>
      </c>
      <c r="M991" s="108"/>
      <c r="N991" s="109"/>
      <c r="O991" s="109"/>
      <c r="P991" s="109"/>
      <c r="Q991" s="58"/>
      <c r="R991" s="136" t="b">
        <v>0</v>
      </c>
      <c r="S991" s="58"/>
      <c r="T991" s="80"/>
      <c r="U991" s="80"/>
      <c r="V991" s="80"/>
      <c r="W991" s="80"/>
      <c r="X991" s="80"/>
      <c r="Y991" s="80"/>
      <c r="Z991" s="80"/>
      <c r="AA991" s="81"/>
      <c r="AB991" s="81"/>
      <c r="AC991" s="81"/>
      <c r="AD991" s="81"/>
      <c r="AE991" s="81"/>
    </row>
    <row r="992">
      <c r="A992" s="16"/>
      <c r="B992" s="127"/>
      <c r="C992" s="127"/>
      <c r="D992" s="108"/>
      <c r="E992" s="109"/>
      <c r="F992" s="58"/>
      <c r="G992" s="135"/>
      <c r="H992" s="129"/>
      <c r="I992" s="129"/>
      <c r="J992" s="130" t="b">
        <v>0</v>
      </c>
      <c r="K992" s="58"/>
      <c r="L992" s="131" t="str">
        <f t="shared" si="8"/>
        <v/>
      </c>
      <c r="M992" s="108"/>
      <c r="N992" s="109"/>
      <c r="O992" s="109"/>
      <c r="P992" s="109"/>
      <c r="Q992" s="58"/>
      <c r="R992" s="136" t="b">
        <v>0</v>
      </c>
      <c r="S992" s="58"/>
      <c r="T992" s="80"/>
      <c r="U992" s="80"/>
      <c r="V992" s="80"/>
      <c r="W992" s="80"/>
      <c r="X992" s="80"/>
      <c r="Y992" s="80"/>
      <c r="Z992" s="80"/>
      <c r="AA992" s="81"/>
      <c r="AB992" s="81"/>
      <c r="AC992" s="81"/>
      <c r="AD992" s="81"/>
      <c r="AE992" s="81"/>
    </row>
    <row r="993">
      <c r="A993" s="16"/>
      <c r="B993" s="127"/>
      <c r="C993" s="127"/>
      <c r="D993" s="108"/>
      <c r="E993" s="109"/>
      <c r="F993" s="58"/>
      <c r="G993" s="135"/>
      <c r="H993" s="129"/>
      <c r="I993" s="129"/>
      <c r="J993" s="130" t="b">
        <v>0</v>
      </c>
      <c r="K993" s="58"/>
      <c r="L993" s="131" t="str">
        <f t="shared" si="8"/>
        <v/>
      </c>
      <c r="M993" s="108"/>
      <c r="N993" s="109"/>
      <c r="O993" s="109"/>
      <c r="P993" s="109"/>
      <c r="Q993" s="58"/>
      <c r="R993" s="136" t="b">
        <v>0</v>
      </c>
      <c r="S993" s="58"/>
      <c r="T993" s="80"/>
      <c r="U993" s="80"/>
      <c r="V993" s="80"/>
      <c r="W993" s="80"/>
      <c r="X993" s="80"/>
      <c r="Y993" s="80"/>
      <c r="Z993" s="80"/>
      <c r="AA993" s="81"/>
      <c r="AB993" s="81"/>
      <c r="AC993" s="81"/>
      <c r="AD993" s="81"/>
      <c r="AE993" s="81"/>
    </row>
    <row r="994">
      <c r="A994" s="16"/>
      <c r="B994" s="127"/>
      <c r="C994" s="127"/>
      <c r="D994" s="108"/>
      <c r="E994" s="109"/>
      <c r="F994" s="58"/>
      <c r="G994" s="135"/>
      <c r="H994" s="129"/>
      <c r="I994" s="129"/>
      <c r="J994" s="130" t="b">
        <v>0</v>
      </c>
      <c r="K994" s="58"/>
      <c r="L994" s="131" t="str">
        <f t="shared" si="8"/>
        <v/>
      </c>
      <c r="M994" s="108"/>
      <c r="N994" s="109"/>
      <c r="O994" s="109"/>
      <c r="P994" s="109"/>
      <c r="Q994" s="58"/>
      <c r="R994" s="136" t="b">
        <v>0</v>
      </c>
      <c r="S994" s="58"/>
      <c r="T994" s="80"/>
      <c r="U994" s="80"/>
      <c r="V994" s="80"/>
      <c r="W994" s="80"/>
      <c r="X994" s="80"/>
      <c r="Y994" s="80"/>
      <c r="Z994" s="80"/>
      <c r="AA994" s="81"/>
      <c r="AB994" s="81"/>
      <c r="AC994" s="81"/>
      <c r="AD994" s="81"/>
      <c r="AE994" s="81"/>
    </row>
    <row r="995">
      <c r="A995" s="16"/>
      <c r="B995" s="127"/>
      <c r="C995" s="127"/>
      <c r="D995" s="108"/>
      <c r="E995" s="109"/>
      <c r="F995" s="58"/>
      <c r="G995" s="135"/>
      <c r="H995" s="129"/>
      <c r="I995" s="129"/>
      <c r="J995" s="130" t="b">
        <v>0</v>
      </c>
      <c r="K995" s="58"/>
      <c r="L995" s="131" t="str">
        <f t="shared" si="8"/>
        <v/>
      </c>
      <c r="M995" s="108"/>
      <c r="N995" s="109"/>
      <c r="O995" s="109"/>
      <c r="P995" s="109"/>
      <c r="Q995" s="58"/>
      <c r="R995" s="136" t="b">
        <v>0</v>
      </c>
      <c r="S995" s="58"/>
      <c r="T995" s="80"/>
      <c r="U995" s="80"/>
      <c r="V995" s="80"/>
      <c r="W995" s="80"/>
      <c r="X995" s="80"/>
      <c r="Y995" s="80"/>
      <c r="Z995" s="80"/>
      <c r="AA995" s="81"/>
      <c r="AB995" s="81"/>
      <c r="AC995" s="81"/>
      <c r="AD995" s="81"/>
      <c r="AE995" s="81"/>
    </row>
    <row r="996">
      <c r="A996" s="16"/>
      <c r="B996" s="127"/>
      <c r="C996" s="127"/>
      <c r="D996" s="108"/>
      <c r="E996" s="109"/>
      <c r="F996" s="58"/>
      <c r="G996" s="135"/>
      <c r="H996" s="129"/>
      <c r="I996" s="129"/>
      <c r="J996" s="130" t="b">
        <v>0</v>
      </c>
      <c r="K996" s="58"/>
      <c r="L996" s="131" t="str">
        <f t="shared" si="8"/>
        <v/>
      </c>
      <c r="M996" s="108"/>
      <c r="N996" s="109"/>
      <c r="O996" s="109"/>
      <c r="P996" s="109"/>
      <c r="Q996" s="58"/>
      <c r="R996" s="136" t="b">
        <v>0</v>
      </c>
      <c r="S996" s="58"/>
      <c r="T996" s="80"/>
      <c r="U996" s="80"/>
      <c r="V996" s="80"/>
      <c r="W996" s="80"/>
      <c r="X996" s="80"/>
      <c r="Y996" s="80"/>
      <c r="Z996" s="80"/>
      <c r="AA996" s="81"/>
      <c r="AB996" s="81"/>
      <c r="AC996" s="81"/>
      <c r="AD996" s="81"/>
      <c r="AE996" s="81"/>
    </row>
    <row r="997">
      <c r="A997" s="16"/>
      <c r="B997" s="127"/>
      <c r="C997" s="127"/>
      <c r="D997" s="108"/>
      <c r="E997" s="109"/>
      <c r="F997" s="58"/>
      <c r="G997" s="135"/>
      <c r="H997" s="129"/>
      <c r="I997" s="129"/>
      <c r="J997" s="130" t="b">
        <v>0</v>
      </c>
      <c r="K997" s="58"/>
      <c r="L997" s="131" t="str">
        <f t="shared" si="8"/>
        <v/>
      </c>
      <c r="M997" s="108"/>
      <c r="N997" s="109"/>
      <c r="O997" s="109"/>
      <c r="P997" s="109"/>
      <c r="Q997" s="58"/>
      <c r="R997" s="136" t="b">
        <v>0</v>
      </c>
      <c r="S997" s="58"/>
      <c r="T997" s="80"/>
      <c r="U997" s="80"/>
      <c r="V997" s="80"/>
      <c r="W997" s="80"/>
      <c r="X997" s="80"/>
      <c r="Y997" s="80"/>
      <c r="Z997" s="80"/>
      <c r="AA997" s="81"/>
      <c r="AB997" s="81"/>
      <c r="AC997" s="81"/>
      <c r="AD997" s="81"/>
      <c r="AE997" s="81"/>
    </row>
    <row r="998">
      <c r="A998" s="16"/>
      <c r="B998" s="127"/>
      <c r="C998" s="127"/>
      <c r="D998" s="108"/>
      <c r="E998" s="109"/>
      <c r="F998" s="58"/>
      <c r="G998" s="135"/>
      <c r="H998" s="129"/>
      <c r="I998" s="129"/>
      <c r="J998" s="130" t="b">
        <v>0</v>
      </c>
      <c r="K998" s="58"/>
      <c r="L998" s="131" t="str">
        <f t="shared" si="8"/>
        <v/>
      </c>
      <c r="M998" s="108"/>
      <c r="N998" s="109"/>
      <c r="O998" s="109"/>
      <c r="P998" s="109"/>
      <c r="Q998" s="58"/>
      <c r="R998" s="136" t="b">
        <v>0</v>
      </c>
      <c r="S998" s="58"/>
      <c r="T998" s="80"/>
      <c r="U998" s="80"/>
      <c r="V998" s="80"/>
      <c r="W998" s="80"/>
      <c r="X998" s="80"/>
      <c r="Y998" s="80"/>
      <c r="Z998" s="80"/>
      <c r="AA998" s="81"/>
      <c r="AB998" s="81"/>
      <c r="AC998" s="81"/>
      <c r="AD998" s="81"/>
      <c r="AE998" s="81"/>
    </row>
    <row r="999">
      <c r="A999" s="16"/>
      <c r="B999" s="127"/>
      <c r="C999" s="127"/>
      <c r="D999" s="108"/>
      <c r="E999" s="109"/>
      <c r="F999" s="58"/>
      <c r="G999" s="135"/>
      <c r="H999" s="129"/>
      <c r="I999" s="129"/>
      <c r="J999" s="130" t="b">
        <v>0</v>
      </c>
      <c r="K999" s="58"/>
      <c r="L999" s="131" t="str">
        <f t="shared" si="8"/>
        <v/>
      </c>
      <c r="M999" s="108"/>
      <c r="N999" s="109"/>
      <c r="O999" s="109"/>
      <c r="P999" s="109"/>
      <c r="Q999" s="58"/>
      <c r="R999" s="136" t="b">
        <v>0</v>
      </c>
      <c r="S999" s="58"/>
      <c r="T999" s="80"/>
      <c r="U999" s="80"/>
      <c r="V999" s="80"/>
      <c r="W999" s="80"/>
      <c r="X999" s="80"/>
      <c r="Y999" s="80"/>
      <c r="Z999" s="80"/>
      <c r="AA999" s="81"/>
      <c r="AB999" s="81"/>
      <c r="AC999" s="81"/>
      <c r="AD999" s="81"/>
      <c r="AE999" s="81"/>
    </row>
    <row r="1000">
      <c r="A1000" s="16"/>
      <c r="B1000" s="127"/>
      <c r="C1000" s="127"/>
      <c r="D1000" s="108"/>
      <c r="E1000" s="109"/>
      <c r="F1000" s="58"/>
      <c r="G1000" s="135"/>
      <c r="H1000" s="129"/>
      <c r="I1000" s="129"/>
      <c r="J1000" s="130" t="b">
        <v>0</v>
      </c>
      <c r="K1000" s="58"/>
      <c r="L1000" s="131" t="str">
        <f t="shared" si="8"/>
        <v/>
      </c>
      <c r="M1000" s="108"/>
      <c r="N1000" s="109"/>
      <c r="O1000" s="109"/>
      <c r="P1000" s="109"/>
      <c r="Q1000" s="58"/>
      <c r="R1000" s="136" t="b">
        <v>0</v>
      </c>
      <c r="S1000" s="58"/>
      <c r="T1000" s="80"/>
      <c r="U1000" s="80"/>
      <c r="V1000" s="80"/>
      <c r="W1000" s="80"/>
      <c r="X1000" s="80"/>
      <c r="Y1000" s="80"/>
      <c r="Z1000" s="80"/>
      <c r="AA1000" s="81"/>
      <c r="AB1000" s="81"/>
      <c r="AC1000" s="81"/>
      <c r="AD1000" s="81"/>
      <c r="AE1000" s="81"/>
    </row>
    <row r="1001">
      <c r="A1001" s="16"/>
      <c r="B1001" s="127"/>
      <c r="C1001" s="127"/>
      <c r="D1001" s="108"/>
      <c r="E1001" s="109"/>
      <c r="F1001" s="58"/>
      <c r="G1001" s="135"/>
      <c r="H1001" s="129"/>
      <c r="I1001" s="129"/>
      <c r="J1001" s="130" t="b">
        <v>0</v>
      </c>
      <c r="K1001" s="58"/>
      <c r="L1001" s="131" t="str">
        <f t="shared" si="8"/>
        <v/>
      </c>
      <c r="M1001" s="108"/>
      <c r="N1001" s="109"/>
      <c r="O1001" s="109"/>
      <c r="P1001" s="109"/>
      <c r="Q1001" s="58"/>
      <c r="R1001" s="136" t="b">
        <v>0</v>
      </c>
      <c r="S1001" s="58"/>
      <c r="T1001" s="80"/>
      <c r="U1001" s="80"/>
      <c r="V1001" s="80"/>
      <c r="W1001" s="80"/>
      <c r="X1001" s="80"/>
      <c r="Y1001" s="80"/>
      <c r="Z1001" s="80"/>
      <c r="AA1001" s="81"/>
      <c r="AB1001" s="81"/>
      <c r="AC1001" s="81"/>
      <c r="AD1001" s="81"/>
      <c r="AE1001" s="81"/>
    </row>
    <row r="1002">
      <c r="A1002" s="16"/>
      <c r="B1002" s="127"/>
      <c r="C1002" s="127"/>
      <c r="D1002" s="108"/>
      <c r="E1002" s="109"/>
      <c r="F1002" s="58"/>
      <c r="G1002" s="135"/>
      <c r="H1002" s="129"/>
      <c r="I1002" s="129"/>
      <c r="J1002" s="130" t="b">
        <v>0</v>
      </c>
      <c r="K1002" s="58"/>
      <c r="L1002" s="131" t="str">
        <f t="shared" si="8"/>
        <v/>
      </c>
      <c r="M1002" s="108"/>
      <c r="N1002" s="109"/>
      <c r="O1002" s="109"/>
      <c r="P1002" s="109"/>
      <c r="Q1002" s="58"/>
      <c r="R1002" s="136" t="b">
        <v>0</v>
      </c>
      <c r="S1002" s="58"/>
      <c r="T1002" s="80"/>
      <c r="U1002" s="80"/>
      <c r="V1002" s="80"/>
      <c r="W1002" s="80"/>
      <c r="X1002" s="80"/>
      <c r="Y1002" s="80"/>
      <c r="Z1002" s="80"/>
      <c r="AA1002" s="81"/>
      <c r="AB1002" s="81"/>
      <c r="AC1002" s="81"/>
      <c r="AD1002" s="81"/>
      <c r="AE1002" s="81"/>
    </row>
    <row r="1003">
      <c r="A1003" s="16"/>
      <c r="B1003" s="127"/>
      <c r="C1003" s="127"/>
      <c r="D1003" s="108"/>
      <c r="E1003" s="109"/>
      <c r="F1003" s="58"/>
      <c r="G1003" s="135"/>
      <c r="H1003" s="129"/>
      <c r="I1003" s="129"/>
      <c r="J1003" s="130" t="b">
        <v>0</v>
      </c>
      <c r="K1003" s="58"/>
      <c r="L1003" s="131" t="str">
        <f t="shared" si="8"/>
        <v/>
      </c>
      <c r="M1003" s="108"/>
      <c r="N1003" s="109"/>
      <c r="O1003" s="109"/>
      <c r="P1003" s="109"/>
      <c r="Q1003" s="58"/>
      <c r="R1003" s="136" t="b">
        <v>0</v>
      </c>
      <c r="S1003" s="58"/>
      <c r="T1003" s="80"/>
      <c r="U1003" s="80"/>
      <c r="V1003" s="80"/>
      <c r="W1003" s="80"/>
      <c r="X1003" s="80"/>
      <c r="Y1003" s="80"/>
      <c r="Z1003" s="80"/>
      <c r="AA1003" s="81"/>
      <c r="AB1003" s="81"/>
      <c r="AC1003" s="81"/>
      <c r="AD1003" s="81"/>
      <c r="AE1003" s="81"/>
    </row>
    <row r="1004">
      <c r="A1004" s="16"/>
      <c r="B1004" s="127"/>
      <c r="C1004" s="127"/>
      <c r="D1004" s="108"/>
      <c r="E1004" s="109"/>
      <c r="F1004" s="58"/>
      <c r="G1004" s="135"/>
      <c r="H1004" s="129"/>
      <c r="I1004" s="129"/>
      <c r="J1004" s="130" t="b">
        <v>0</v>
      </c>
      <c r="K1004" s="58"/>
      <c r="L1004" s="131" t="str">
        <f t="shared" si="8"/>
        <v/>
      </c>
      <c r="M1004" s="108"/>
      <c r="N1004" s="109"/>
      <c r="O1004" s="109"/>
      <c r="P1004" s="109"/>
      <c r="Q1004" s="58"/>
      <c r="R1004" s="136" t="b">
        <v>0</v>
      </c>
      <c r="S1004" s="58"/>
      <c r="T1004" s="80"/>
      <c r="U1004" s="80"/>
      <c r="V1004" s="80"/>
      <c r="W1004" s="80"/>
      <c r="X1004" s="80"/>
      <c r="Y1004" s="80"/>
      <c r="Z1004" s="80"/>
      <c r="AA1004" s="81"/>
      <c r="AB1004" s="81"/>
      <c r="AC1004" s="81"/>
      <c r="AD1004" s="81"/>
      <c r="AE1004" s="81"/>
    </row>
    <row r="1005">
      <c r="A1005" s="16"/>
      <c r="B1005" s="127"/>
      <c r="C1005" s="127"/>
      <c r="D1005" s="108"/>
      <c r="E1005" s="109"/>
      <c r="F1005" s="58"/>
      <c r="G1005" s="135"/>
      <c r="H1005" s="129"/>
      <c r="I1005" s="129"/>
      <c r="J1005" s="130" t="b">
        <v>0</v>
      </c>
      <c r="K1005" s="58"/>
      <c r="L1005" s="131" t="str">
        <f t="shared" si="8"/>
        <v/>
      </c>
      <c r="M1005" s="108"/>
      <c r="N1005" s="109"/>
      <c r="O1005" s="109"/>
      <c r="P1005" s="109"/>
      <c r="Q1005" s="58"/>
      <c r="R1005" s="136" t="b">
        <v>0</v>
      </c>
      <c r="S1005" s="58"/>
      <c r="T1005" s="80"/>
      <c r="U1005" s="80"/>
      <c r="V1005" s="80"/>
      <c r="W1005" s="80"/>
      <c r="X1005" s="80"/>
      <c r="Y1005" s="80"/>
      <c r="Z1005" s="80"/>
      <c r="AA1005" s="81"/>
      <c r="AB1005" s="81"/>
      <c r="AC1005" s="81"/>
      <c r="AD1005" s="81"/>
      <c r="AE1005" s="81"/>
    </row>
    <row r="1006">
      <c r="A1006" s="16"/>
      <c r="B1006" s="127"/>
      <c r="C1006" s="127"/>
      <c r="D1006" s="108"/>
      <c r="E1006" s="109"/>
      <c r="F1006" s="58"/>
      <c r="G1006" s="135"/>
      <c r="H1006" s="129"/>
      <c r="I1006" s="129"/>
      <c r="J1006" s="130" t="b">
        <v>0</v>
      </c>
      <c r="K1006" s="58"/>
      <c r="L1006" s="131" t="str">
        <f t="shared" si="8"/>
        <v/>
      </c>
      <c r="M1006" s="108"/>
      <c r="N1006" s="109"/>
      <c r="O1006" s="109"/>
      <c r="P1006" s="109"/>
      <c r="Q1006" s="58"/>
      <c r="R1006" s="136" t="b">
        <v>0</v>
      </c>
      <c r="S1006" s="58"/>
      <c r="T1006" s="80"/>
      <c r="U1006" s="80"/>
      <c r="V1006" s="80"/>
      <c r="W1006" s="80"/>
      <c r="X1006" s="80"/>
      <c r="Y1006" s="80"/>
      <c r="Z1006" s="80"/>
      <c r="AA1006" s="81"/>
      <c r="AB1006" s="81"/>
      <c r="AC1006" s="81"/>
      <c r="AD1006" s="81"/>
      <c r="AE1006" s="81"/>
    </row>
    <row r="1007">
      <c r="A1007" s="16"/>
      <c r="B1007" s="127"/>
      <c r="C1007" s="127"/>
      <c r="D1007" s="108"/>
      <c r="E1007" s="109"/>
      <c r="F1007" s="58"/>
      <c r="G1007" s="135"/>
      <c r="H1007" s="129"/>
      <c r="I1007" s="129"/>
      <c r="J1007" s="130" t="b">
        <v>0</v>
      </c>
      <c r="K1007" s="58"/>
      <c r="L1007" s="131" t="str">
        <f t="shared" si="8"/>
        <v/>
      </c>
      <c r="M1007" s="108"/>
      <c r="N1007" s="109"/>
      <c r="O1007" s="109"/>
      <c r="P1007" s="109"/>
      <c r="Q1007" s="58"/>
      <c r="R1007" s="136" t="b">
        <v>0</v>
      </c>
      <c r="S1007" s="58"/>
      <c r="T1007" s="80"/>
      <c r="U1007" s="80"/>
      <c r="V1007" s="80"/>
      <c r="W1007" s="80"/>
      <c r="X1007" s="80"/>
      <c r="Y1007" s="80"/>
      <c r="Z1007" s="80"/>
      <c r="AA1007" s="81"/>
      <c r="AB1007" s="81"/>
      <c r="AC1007" s="81"/>
      <c r="AD1007" s="81"/>
      <c r="AE1007" s="81"/>
    </row>
    <row r="1008">
      <c r="A1008" s="16"/>
      <c r="B1008" s="127"/>
      <c r="C1008" s="127"/>
      <c r="D1008" s="108"/>
      <c r="E1008" s="109"/>
      <c r="F1008" s="58"/>
      <c r="G1008" s="135"/>
      <c r="H1008" s="129"/>
      <c r="I1008" s="129"/>
      <c r="J1008" s="130" t="b">
        <v>0</v>
      </c>
      <c r="K1008" s="58"/>
      <c r="L1008" s="131" t="str">
        <f t="shared" si="8"/>
        <v/>
      </c>
      <c r="M1008" s="108"/>
      <c r="N1008" s="109"/>
      <c r="O1008" s="109"/>
      <c r="P1008" s="109"/>
      <c r="Q1008" s="58"/>
      <c r="R1008" s="136" t="b">
        <v>0</v>
      </c>
      <c r="S1008" s="58"/>
      <c r="T1008" s="80"/>
      <c r="U1008" s="80"/>
      <c r="V1008" s="80"/>
      <c r="W1008" s="80"/>
      <c r="X1008" s="80"/>
      <c r="Y1008" s="80"/>
      <c r="Z1008" s="80"/>
      <c r="AA1008" s="81"/>
      <c r="AB1008" s="81"/>
      <c r="AC1008" s="81"/>
      <c r="AD1008" s="81"/>
      <c r="AE1008" s="81"/>
    </row>
    <row r="1009">
      <c r="A1009" s="16"/>
      <c r="B1009" s="127"/>
      <c r="C1009" s="127"/>
      <c r="D1009" s="108"/>
      <c r="E1009" s="109"/>
      <c r="F1009" s="58"/>
      <c r="G1009" s="135"/>
      <c r="H1009" s="129"/>
      <c r="I1009" s="129"/>
      <c r="J1009" s="130" t="b">
        <v>0</v>
      </c>
      <c r="K1009" s="58"/>
      <c r="L1009" s="131" t="str">
        <f t="shared" si="8"/>
        <v/>
      </c>
      <c r="M1009" s="108"/>
      <c r="N1009" s="109"/>
      <c r="O1009" s="109"/>
      <c r="P1009" s="109"/>
      <c r="Q1009" s="58"/>
      <c r="R1009" s="136" t="b">
        <v>0</v>
      </c>
      <c r="S1009" s="58"/>
      <c r="T1009" s="80"/>
      <c r="U1009" s="80"/>
      <c r="V1009" s="80"/>
      <c r="W1009" s="80"/>
      <c r="X1009" s="80"/>
      <c r="Y1009" s="80"/>
      <c r="Z1009" s="80"/>
      <c r="AA1009" s="81"/>
      <c r="AB1009" s="81"/>
      <c r="AC1009" s="81"/>
      <c r="AD1009" s="81"/>
      <c r="AE1009" s="81"/>
    </row>
    <row r="1010">
      <c r="A1010" s="16"/>
      <c r="B1010" s="127"/>
      <c r="C1010" s="127"/>
      <c r="D1010" s="108"/>
      <c r="E1010" s="109"/>
      <c r="F1010" s="58"/>
      <c r="G1010" s="135"/>
      <c r="H1010" s="129"/>
      <c r="I1010" s="129"/>
      <c r="J1010" s="130" t="b">
        <v>0</v>
      </c>
      <c r="K1010" s="58"/>
      <c r="L1010" s="131" t="str">
        <f t="shared" si="8"/>
        <v/>
      </c>
      <c r="M1010" s="108"/>
      <c r="N1010" s="109"/>
      <c r="O1010" s="109"/>
      <c r="P1010" s="109"/>
      <c r="Q1010" s="58"/>
      <c r="R1010" s="136" t="b">
        <v>0</v>
      </c>
      <c r="S1010" s="58"/>
      <c r="T1010" s="80"/>
      <c r="U1010" s="80"/>
      <c r="V1010" s="80"/>
      <c r="W1010" s="80"/>
      <c r="X1010" s="80"/>
      <c r="Y1010" s="80"/>
      <c r="Z1010" s="80"/>
      <c r="AA1010" s="81"/>
      <c r="AB1010" s="81"/>
      <c r="AC1010" s="81"/>
      <c r="AD1010" s="81"/>
      <c r="AE1010" s="81"/>
    </row>
    <row r="1011">
      <c r="A1011" s="16"/>
      <c r="B1011" s="127"/>
      <c r="C1011" s="127"/>
      <c r="D1011" s="108"/>
      <c r="E1011" s="109"/>
      <c r="F1011" s="58"/>
      <c r="G1011" s="135"/>
      <c r="H1011" s="129"/>
      <c r="I1011" s="129"/>
      <c r="J1011" s="130" t="b">
        <v>0</v>
      </c>
      <c r="K1011" s="58"/>
      <c r="L1011" s="131" t="str">
        <f t="shared" si="8"/>
        <v/>
      </c>
      <c r="M1011" s="108"/>
      <c r="N1011" s="109"/>
      <c r="O1011" s="109"/>
      <c r="P1011" s="109"/>
      <c r="Q1011" s="58"/>
      <c r="R1011" s="136" t="b">
        <v>0</v>
      </c>
      <c r="S1011" s="58"/>
      <c r="T1011" s="80"/>
      <c r="U1011" s="80"/>
      <c r="V1011" s="80"/>
      <c r="W1011" s="80"/>
      <c r="X1011" s="80"/>
      <c r="Y1011" s="80"/>
      <c r="Z1011" s="80"/>
      <c r="AA1011" s="81"/>
      <c r="AB1011" s="81"/>
      <c r="AC1011" s="81"/>
      <c r="AD1011" s="81"/>
      <c r="AE1011" s="81"/>
    </row>
    <row r="1012">
      <c r="A1012" s="16"/>
      <c r="B1012" s="127"/>
      <c r="C1012" s="127"/>
      <c r="D1012" s="108"/>
      <c r="E1012" s="109"/>
      <c r="F1012" s="58"/>
      <c r="G1012" s="135"/>
      <c r="H1012" s="129"/>
      <c r="I1012" s="129"/>
      <c r="J1012" s="130" t="b">
        <v>0</v>
      </c>
      <c r="K1012" s="58"/>
      <c r="L1012" s="131" t="str">
        <f t="shared" si="8"/>
        <v/>
      </c>
      <c r="M1012" s="108"/>
      <c r="N1012" s="109"/>
      <c r="O1012" s="109"/>
      <c r="P1012" s="109"/>
      <c r="Q1012" s="58"/>
      <c r="R1012" s="136" t="b">
        <v>0</v>
      </c>
      <c r="S1012" s="58"/>
      <c r="T1012" s="80"/>
      <c r="U1012" s="80"/>
      <c r="V1012" s="80"/>
      <c r="W1012" s="80"/>
      <c r="X1012" s="80"/>
      <c r="Y1012" s="80"/>
      <c r="Z1012" s="80"/>
      <c r="AA1012" s="81"/>
      <c r="AB1012" s="81"/>
      <c r="AC1012" s="81"/>
      <c r="AD1012" s="81"/>
      <c r="AE1012" s="81"/>
    </row>
    <row r="1013">
      <c r="A1013" s="16"/>
      <c r="B1013" s="127"/>
      <c r="C1013" s="127"/>
      <c r="D1013" s="108"/>
      <c r="E1013" s="109"/>
      <c r="F1013" s="58"/>
      <c r="G1013" s="135"/>
      <c r="H1013" s="129"/>
      <c r="I1013" s="129"/>
      <c r="J1013" s="130" t="b">
        <v>0</v>
      </c>
      <c r="K1013" s="58"/>
      <c r="L1013" s="131" t="str">
        <f t="shared" si="8"/>
        <v/>
      </c>
      <c r="M1013" s="108"/>
      <c r="N1013" s="109"/>
      <c r="O1013" s="109"/>
      <c r="P1013" s="109"/>
      <c r="Q1013" s="58"/>
      <c r="R1013" s="136" t="b">
        <v>0</v>
      </c>
      <c r="S1013" s="58"/>
      <c r="T1013" s="80"/>
      <c r="U1013" s="80"/>
      <c r="V1013" s="80"/>
      <c r="W1013" s="80"/>
      <c r="X1013" s="80"/>
      <c r="Y1013" s="80"/>
      <c r="Z1013" s="80"/>
      <c r="AA1013" s="81"/>
      <c r="AB1013" s="81"/>
      <c r="AC1013" s="81"/>
      <c r="AD1013" s="81"/>
      <c r="AE1013" s="81"/>
    </row>
    <row r="1014">
      <c r="A1014" s="16"/>
      <c r="B1014" s="127"/>
      <c r="C1014" s="127"/>
      <c r="D1014" s="108"/>
      <c r="E1014" s="109"/>
      <c r="F1014" s="58"/>
      <c r="G1014" s="135"/>
      <c r="H1014" s="129"/>
      <c r="I1014" s="129"/>
      <c r="J1014" s="130" t="b">
        <v>0</v>
      </c>
      <c r="K1014" s="58"/>
      <c r="L1014" s="131" t="str">
        <f t="shared" si="8"/>
        <v/>
      </c>
      <c r="M1014" s="108"/>
      <c r="N1014" s="109"/>
      <c r="O1014" s="109"/>
      <c r="P1014" s="109"/>
      <c r="Q1014" s="58"/>
      <c r="R1014" s="136" t="b">
        <v>0</v>
      </c>
      <c r="S1014" s="58"/>
      <c r="T1014" s="80"/>
      <c r="U1014" s="80"/>
      <c r="V1014" s="80"/>
      <c r="W1014" s="80"/>
      <c r="X1014" s="80"/>
      <c r="Y1014" s="80"/>
      <c r="Z1014" s="80"/>
      <c r="AA1014" s="81"/>
      <c r="AB1014" s="81"/>
      <c r="AC1014" s="81"/>
      <c r="AD1014" s="81"/>
      <c r="AE1014" s="81"/>
    </row>
    <row r="1015">
      <c r="A1015" s="16"/>
      <c r="B1015" s="127"/>
      <c r="C1015" s="127"/>
      <c r="D1015" s="108"/>
      <c r="E1015" s="109"/>
      <c r="F1015" s="58"/>
      <c r="G1015" s="135"/>
      <c r="H1015" s="129"/>
      <c r="I1015" s="129"/>
      <c r="J1015" s="130" t="b">
        <v>0</v>
      </c>
      <c r="K1015" s="58"/>
      <c r="L1015" s="131" t="str">
        <f t="shared" si="8"/>
        <v/>
      </c>
      <c r="M1015" s="108"/>
      <c r="N1015" s="109"/>
      <c r="O1015" s="109"/>
      <c r="P1015" s="109"/>
      <c r="Q1015" s="58"/>
      <c r="R1015" s="136" t="b">
        <v>0</v>
      </c>
      <c r="S1015" s="58"/>
      <c r="T1015" s="80"/>
      <c r="U1015" s="80"/>
      <c r="V1015" s="80"/>
      <c r="W1015" s="80"/>
      <c r="X1015" s="80"/>
      <c r="Y1015" s="80"/>
      <c r="Z1015" s="80"/>
      <c r="AA1015" s="81"/>
      <c r="AB1015" s="81"/>
      <c r="AC1015" s="81"/>
      <c r="AD1015" s="81"/>
      <c r="AE1015" s="81"/>
    </row>
    <row r="1016">
      <c r="A1016" s="16"/>
      <c r="B1016" s="127"/>
      <c r="C1016" s="127"/>
      <c r="D1016" s="108"/>
      <c r="E1016" s="109"/>
      <c r="F1016" s="58"/>
      <c r="G1016" s="135"/>
      <c r="H1016" s="129"/>
      <c r="I1016" s="129"/>
      <c r="J1016" s="130" t="b">
        <v>0</v>
      </c>
      <c r="K1016" s="58"/>
      <c r="L1016" s="131" t="str">
        <f t="shared" si="8"/>
        <v/>
      </c>
      <c r="M1016" s="108"/>
      <c r="N1016" s="109"/>
      <c r="O1016" s="109"/>
      <c r="P1016" s="109"/>
      <c r="Q1016" s="58"/>
      <c r="R1016" s="136" t="b">
        <v>0</v>
      </c>
      <c r="S1016" s="58"/>
      <c r="T1016" s="80"/>
      <c r="U1016" s="80"/>
      <c r="V1016" s="80"/>
      <c r="W1016" s="80"/>
      <c r="X1016" s="80"/>
      <c r="Y1016" s="80"/>
      <c r="Z1016" s="80"/>
      <c r="AA1016" s="81"/>
      <c r="AB1016" s="81"/>
      <c r="AC1016" s="81"/>
      <c r="AD1016" s="81"/>
      <c r="AE1016" s="81"/>
    </row>
    <row r="1017">
      <c r="A1017" s="16"/>
      <c r="B1017" s="127"/>
      <c r="C1017" s="127"/>
      <c r="D1017" s="108"/>
      <c r="E1017" s="109"/>
      <c r="F1017" s="58"/>
      <c r="G1017" s="135"/>
      <c r="H1017" s="129"/>
      <c r="I1017" s="129"/>
      <c r="J1017" s="130" t="b">
        <v>0</v>
      </c>
      <c r="K1017" s="58"/>
      <c r="L1017" s="131" t="str">
        <f t="shared" si="8"/>
        <v/>
      </c>
      <c r="M1017" s="108"/>
      <c r="N1017" s="109"/>
      <c r="O1017" s="109"/>
      <c r="P1017" s="109"/>
      <c r="Q1017" s="58"/>
      <c r="R1017" s="136" t="b">
        <v>0</v>
      </c>
      <c r="S1017" s="58"/>
      <c r="T1017" s="80"/>
      <c r="U1017" s="80"/>
      <c r="V1017" s="80"/>
      <c r="W1017" s="80"/>
      <c r="X1017" s="80"/>
      <c r="Y1017" s="80"/>
      <c r="Z1017" s="80"/>
      <c r="AA1017" s="81"/>
      <c r="AB1017" s="81"/>
      <c r="AC1017" s="81"/>
      <c r="AD1017" s="81"/>
      <c r="AE1017" s="81"/>
    </row>
    <row r="1018">
      <c r="A1018" s="16"/>
      <c r="B1018" s="127"/>
      <c r="C1018" s="127"/>
      <c r="D1018" s="108"/>
      <c r="E1018" s="109"/>
      <c r="F1018" s="58"/>
      <c r="G1018" s="135"/>
      <c r="H1018" s="129"/>
      <c r="I1018" s="129"/>
      <c r="J1018" s="130" t="b">
        <v>0</v>
      </c>
      <c r="K1018" s="58"/>
      <c r="L1018" s="131" t="str">
        <f t="shared" si="8"/>
        <v/>
      </c>
      <c r="M1018" s="108"/>
      <c r="N1018" s="109"/>
      <c r="O1018" s="109"/>
      <c r="P1018" s="109"/>
      <c r="Q1018" s="58"/>
      <c r="R1018" s="136" t="b">
        <v>0</v>
      </c>
      <c r="S1018" s="58"/>
      <c r="T1018" s="80"/>
      <c r="U1018" s="80"/>
      <c r="V1018" s="80"/>
      <c r="W1018" s="80"/>
      <c r="X1018" s="80"/>
      <c r="Y1018" s="80"/>
      <c r="Z1018" s="80"/>
      <c r="AA1018" s="81"/>
      <c r="AB1018" s="81"/>
      <c r="AC1018" s="81"/>
      <c r="AD1018" s="81"/>
      <c r="AE1018" s="81"/>
    </row>
    <row r="1019">
      <c r="A1019" s="16"/>
      <c r="B1019" s="127"/>
      <c r="C1019" s="127"/>
      <c r="D1019" s="108"/>
      <c r="E1019" s="109"/>
      <c r="F1019" s="58"/>
      <c r="G1019" s="135"/>
      <c r="H1019" s="129"/>
      <c r="I1019" s="129"/>
      <c r="J1019" s="130" t="b">
        <v>0</v>
      </c>
      <c r="K1019" s="58"/>
      <c r="L1019" s="131" t="str">
        <f t="shared" si="8"/>
        <v/>
      </c>
      <c r="M1019" s="108"/>
      <c r="N1019" s="109"/>
      <c r="O1019" s="109"/>
      <c r="P1019" s="109"/>
      <c r="Q1019" s="58"/>
      <c r="R1019" s="136" t="b">
        <v>0</v>
      </c>
      <c r="S1019" s="58"/>
      <c r="T1019" s="80"/>
      <c r="U1019" s="80"/>
      <c r="V1019" s="80"/>
      <c r="W1019" s="80"/>
      <c r="X1019" s="80"/>
      <c r="Y1019" s="80"/>
      <c r="Z1019" s="80"/>
      <c r="AA1019" s="81"/>
      <c r="AB1019" s="81"/>
      <c r="AC1019" s="81"/>
      <c r="AD1019" s="81"/>
      <c r="AE1019" s="81"/>
    </row>
    <row r="1020">
      <c r="A1020" s="16"/>
      <c r="B1020" s="127"/>
      <c r="C1020" s="127"/>
      <c r="D1020" s="108"/>
      <c r="E1020" s="109"/>
      <c r="F1020" s="58"/>
      <c r="G1020" s="135"/>
      <c r="H1020" s="129"/>
      <c r="I1020" s="129"/>
      <c r="J1020" s="130" t="b">
        <v>0</v>
      </c>
      <c r="K1020" s="58"/>
      <c r="L1020" s="131" t="str">
        <f t="shared" si="8"/>
        <v/>
      </c>
      <c r="M1020" s="108"/>
      <c r="N1020" s="109"/>
      <c r="O1020" s="109"/>
      <c r="P1020" s="109"/>
      <c r="Q1020" s="58"/>
      <c r="R1020" s="136" t="b">
        <v>0</v>
      </c>
      <c r="S1020" s="58"/>
      <c r="T1020" s="80"/>
      <c r="U1020" s="80"/>
      <c r="V1020" s="80"/>
      <c r="W1020" s="80"/>
      <c r="X1020" s="80"/>
      <c r="Y1020" s="80"/>
      <c r="Z1020" s="80"/>
      <c r="AA1020" s="81"/>
      <c r="AB1020" s="81"/>
      <c r="AC1020" s="81"/>
      <c r="AD1020" s="81"/>
      <c r="AE1020" s="81"/>
    </row>
    <row r="1021">
      <c r="A1021" s="16"/>
      <c r="B1021" s="127"/>
      <c r="C1021" s="127"/>
      <c r="D1021" s="108"/>
      <c r="E1021" s="109"/>
      <c r="F1021" s="58"/>
      <c r="G1021" s="135"/>
      <c r="H1021" s="129"/>
      <c r="I1021" s="129"/>
      <c r="J1021" s="130" t="b">
        <v>0</v>
      </c>
      <c r="K1021" s="58"/>
      <c r="L1021" s="131" t="str">
        <f t="shared" si="8"/>
        <v/>
      </c>
      <c r="M1021" s="108"/>
      <c r="N1021" s="109"/>
      <c r="O1021" s="109"/>
      <c r="P1021" s="109"/>
      <c r="Q1021" s="58"/>
      <c r="R1021" s="136" t="b">
        <v>0</v>
      </c>
      <c r="S1021" s="58"/>
      <c r="T1021" s="80"/>
      <c r="U1021" s="80"/>
      <c r="V1021" s="80"/>
      <c r="W1021" s="80"/>
      <c r="X1021" s="80"/>
      <c r="Y1021" s="80"/>
      <c r="Z1021" s="80"/>
      <c r="AA1021" s="81"/>
      <c r="AB1021" s="81"/>
      <c r="AC1021" s="81"/>
      <c r="AD1021" s="81"/>
      <c r="AE1021" s="81"/>
    </row>
    <row r="1022">
      <c r="A1022" s="16"/>
      <c r="B1022" s="127"/>
      <c r="C1022" s="127"/>
      <c r="D1022" s="108"/>
      <c r="E1022" s="109"/>
      <c r="F1022" s="58"/>
      <c r="G1022" s="135"/>
      <c r="H1022" s="129"/>
      <c r="I1022" s="129"/>
      <c r="J1022" s="130" t="b">
        <v>0</v>
      </c>
      <c r="K1022" s="58"/>
      <c r="L1022" s="131" t="str">
        <f t="shared" si="8"/>
        <v/>
      </c>
      <c r="M1022" s="108"/>
      <c r="N1022" s="109"/>
      <c r="O1022" s="109"/>
      <c r="P1022" s="109"/>
      <c r="Q1022" s="58"/>
      <c r="R1022" s="136" t="b">
        <v>0</v>
      </c>
      <c r="S1022" s="58"/>
      <c r="T1022" s="80"/>
      <c r="U1022" s="80"/>
      <c r="V1022" s="80"/>
      <c r="W1022" s="80"/>
      <c r="X1022" s="80"/>
      <c r="Y1022" s="80"/>
      <c r="Z1022" s="80"/>
      <c r="AA1022" s="81"/>
      <c r="AB1022" s="81"/>
      <c r="AC1022" s="81"/>
      <c r="AD1022" s="81"/>
      <c r="AE1022" s="81"/>
    </row>
    <row r="1023">
      <c r="A1023" s="16"/>
      <c r="B1023" s="127"/>
      <c r="C1023" s="127"/>
      <c r="D1023" s="108"/>
      <c r="E1023" s="109"/>
      <c r="F1023" s="58"/>
      <c r="G1023" s="135"/>
      <c r="H1023" s="129"/>
      <c r="I1023" s="129"/>
      <c r="J1023" s="130" t="b">
        <v>0</v>
      </c>
      <c r="K1023" s="58"/>
      <c r="L1023" s="131" t="str">
        <f t="shared" si="8"/>
        <v/>
      </c>
      <c r="M1023" s="108"/>
      <c r="N1023" s="109"/>
      <c r="O1023" s="109"/>
      <c r="P1023" s="109"/>
      <c r="Q1023" s="58"/>
      <c r="R1023" s="136" t="b">
        <v>0</v>
      </c>
      <c r="S1023" s="58"/>
      <c r="T1023" s="80"/>
      <c r="U1023" s="80"/>
      <c r="V1023" s="80"/>
      <c r="W1023" s="80"/>
      <c r="X1023" s="80"/>
      <c r="Y1023" s="80"/>
      <c r="Z1023" s="80"/>
      <c r="AA1023" s="81"/>
      <c r="AB1023" s="81"/>
      <c r="AC1023" s="81"/>
      <c r="AD1023" s="81"/>
      <c r="AE1023" s="81"/>
    </row>
    <row r="1024">
      <c r="A1024" s="16"/>
      <c r="B1024" s="127"/>
      <c r="C1024" s="127"/>
      <c r="D1024" s="108"/>
      <c r="E1024" s="109"/>
      <c r="F1024" s="58"/>
      <c r="G1024" s="135"/>
      <c r="H1024" s="129"/>
      <c r="I1024" s="129"/>
      <c r="J1024" s="130" t="b">
        <v>0</v>
      </c>
      <c r="K1024" s="58"/>
      <c r="L1024" s="131" t="str">
        <f t="shared" si="8"/>
        <v/>
      </c>
      <c r="M1024" s="108"/>
      <c r="N1024" s="109"/>
      <c r="O1024" s="109"/>
      <c r="P1024" s="109"/>
      <c r="Q1024" s="58"/>
      <c r="R1024" s="136" t="b">
        <v>0</v>
      </c>
      <c r="S1024" s="58"/>
      <c r="T1024" s="80"/>
      <c r="U1024" s="80"/>
      <c r="V1024" s="80"/>
      <c r="W1024" s="80"/>
      <c r="X1024" s="80"/>
      <c r="Y1024" s="80"/>
      <c r="Z1024" s="80"/>
      <c r="AA1024" s="81"/>
      <c r="AB1024" s="81"/>
      <c r="AC1024" s="81"/>
      <c r="AD1024" s="81"/>
      <c r="AE1024" s="81"/>
    </row>
    <row r="1025">
      <c r="A1025" s="16"/>
      <c r="B1025" s="127"/>
      <c r="C1025" s="127"/>
      <c r="D1025" s="108"/>
      <c r="E1025" s="109"/>
      <c r="F1025" s="58"/>
      <c r="G1025" s="135"/>
      <c r="H1025" s="129"/>
      <c r="I1025" s="129"/>
      <c r="J1025" s="130" t="b">
        <v>0</v>
      </c>
      <c r="K1025" s="58"/>
      <c r="L1025" s="131" t="str">
        <f t="shared" si="8"/>
        <v/>
      </c>
      <c r="M1025" s="108"/>
      <c r="N1025" s="109"/>
      <c r="O1025" s="109"/>
      <c r="P1025" s="109"/>
      <c r="Q1025" s="58"/>
      <c r="R1025" s="136" t="b">
        <v>0</v>
      </c>
      <c r="S1025" s="58"/>
      <c r="T1025" s="80"/>
      <c r="U1025" s="80"/>
      <c r="V1025" s="80"/>
      <c r="W1025" s="80"/>
      <c r="X1025" s="80"/>
      <c r="Y1025" s="80"/>
      <c r="Z1025" s="80"/>
      <c r="AA1025" s="81"/>
      <c r="AB1025" s="81"/>
      <c r="AC1025" s="81"/>
      <c r="AD1025" s="81"/>
      <c r="AE1025" s="81"/>
    </row>
    <row r="1026">
      <c r="A1026" s="16"/>
      <c r="B1026" s="127"/>
      <c r="C1026" s="127"/>
      <c r="D1026" s="108"/>
      <c r="E1026" s="109"/>
      <c r="F1026" s="58"/>
      <c r="G1026" s="135"/>
      <c r="H1026" s="129"/>
      <c r="I1026" s="129"/>
      <c r="J1026" s="130" t="b">
        <v>0</v>
      </c>
      <c r="K1026" s="58"/>
      <c r="L1026" s="131" t="str">
        <f t="shared" si="8"/>
        <v/>
      </c>
      <c r="M1026" s="108"/>
      <c r="N1026" s="109"/>
      <c r="O1026" s="109"/>
      <c r="P1026" s="109"/>
      <c r="Q1026" s="58"/>
      <c r="R1026" s="136" t="b">
        <v>0</v>
      </c>
      <c r="S1026" s="58"/>
      <c r="T1026" s="80"/>
      <c r="U1026" s="80"/>
      <c r="V1026" s="80"/>
      <c r="W1026" s="80"/>
      <c r="X1026" s="80"/>
      <c r="Y1026" s="80"/>
      <c r="Z1026" s="80"/>
      <c r="AA1026" s="81"/>
      <c r="AB1026" s="81"/>
      <c r="AC1026" s="81"/>
      <c r="AD1026" s="81"/>
      <c r="AE1026" s="81"/>
    </row>
    <row r="1027">
      <c r="A1027" s="16"/>
      <c r="B1027" s="127"/>
      <c r="C1027" s="127"/>
      <c r="D1027" s="108"/>
      <c r="E1027" s="109"/>
      <c r="F1027" s="58"/>
      <c r="G1027" s="135"/>
      <c r="H1027" s="129"/>
      <c r="I1027" s="129"/>
      <c r="J1027" s="130" t="b">
        <v>0</v>
      </c>
      <c r="K1027" s="58"/>
      <c r="L1027" s="131" t="str">
        <f t="shared" si="8"/>
        <v/>
      </c>
      <c r="M1027" s="108"/>
      <c r="N1027" s="109"/>
      <c r="O1027" s="109"/>
      <c r="P1027" s="109"/>
      <c r="Q1027" s="58"/>
      <c r="R1027" s="136" t="b">
        <v>0</v>
      </c>
      <c r="S1027" s="58"/>
      <c r="T1027" s="80"/>
      <c r="U1027" s="80"/>
      <c r="V1027" s="80"/>
      <c r="W1027" s="80"/>
      <c r="X1027" s="80"/>
      <c r="Y1027" s="80"/>
      <c r="Z1027" s="80"/>
      <c r="AA1027" s="81"/>
      <c r="AB1027" s="81"/>
      <c r="AC1027" s="81"/>
      <c r="AD1027" s="81"/>
      <c r="AE1027" s="81"/>
    </row>
    <row r="1028">
      <c r="A1028" s="16"/>
      <c r="B1028" s="127"/>
      <c r="C1028" s="127"/>
      <c r="D1028" s="108"/>
      <c r="E1028" s="109"/>
      <c r="F1028" s="58"/>
      <c r="G1028" s="135"/>
      <c r="H1028" s="129"/>
      <c r="I1028" s="129"/>
      <c r="J1028" s="130" t="b">
        <v>0</v>
      </c>
      <c r="K1028" s="58"/>
      <c r="L1028" s="131" t="str">
        <f t="shared" si="8"/>
        <v/>
      </c>
      <c r="M1028" s="108"/>
      <c r="N1028" s="109"/>
      <c r="O1028" s="109"/>
      <c r="P1028" s="109"/>
      <c r="Q1028" s="58"/>
      <c r="R1028" s="136" t="b">
        <v>0</v>
      </c>
      <c r="S1028" s="58"/>
      <c r="T1028" s="80"/>
      <c r="U1028" s="80"/>
      <c r="V1028" s="80"/>
      <c r="W1028" s="80"/>
      <c r="X1028" s="80"/>
      <c r="Y1028" s="80"/>
      <c r="Z1028" s="80"/>
      <c r="AA1028" s="81"/>
      <c r="AB1028" s="81"/>
      <c r="AC1028" s="81"/>
      <c r="AD1028" s="81"/>
      <c r="AE1028" s="81"/>
    </row>
    <row r="1029">
      <c r="A1029" s="16"/>
      <c r="B1029" s="127"/>
      <c r="C1029" s="127"/>
      <c r="D1029" s="108"/>
      <c r="E1029" s="109"/>
      <c r="F1029" s="58"/>
      <c r="G1029" s="135"/>
      <c r="H1029" s="129"/>
      <c r="I1029" s="129"/>
      <c r="J1029" s="130" t="b">
        <v>0</v>
      </c>
      <c r="K1029" s="58"/>
      <c r="L1029" s="131" t="str">
        <f t="shared" si="8"/>
        <v/>
      </c>
      <c r="M1029" s="108"/>
      <c r="N1029" s="109"/>
      <c r="O1029" s="109"/>
      <c r="P1029" s="109"/>
      <c r="Q1029" s="58"/>
      <c r="R1029" s="136" t="b">
        <v>0</v>
      </c>
      <c r="S1029" s="58"/>
      <c r="T1029" s="80"/>
      <c r="U1029" s="80"/>
      <c r="V1029" s="80"/>
      <c r="W1029" s="80"/>
      <c r="X1029" s="80"/>
      <c r="Y1029" s="80"/>
      <c r="Z1029" s="80"/>
      <c r="AA1029" s="81"/>
      <c r="AB1029" s="81"/>
      <c r="AC1029" s="81"/>
      <c r="AD1029" s="81"/>
      <c r="AE1029" s="81"/>
    </row>
    <row r="1030">
      <c r="A1030" s="16"/>
      <c r="B1030" s="127"/>
      <c r="C1030" s="127"/>
      <c r="D1030" s="108"/>
      <c r="E1030" s="109"/>
      <c r="F1030" s="58"/>
      <c r="G1030" s="135"/>
      <c r="H1030" s="129"/>
      <c r="I1030" s="129"/>
      <c r="J1030" s="130" t="b">
        <v>0</v>
      </c>
      <c r="K1030" s="58"/>
      <c r="L1030" s="131" t="str">
        <f t="shared" si="8"/>
        <v/>
      </c>
      <c r="M1030" s="108"/>
      <c r="N1030" s="109"/>
      <c r="O1030" s="109"/>
      <c r="P1030" s="109"/>
      <c r="Q1030" s="58"/>
      <c r="R1030" s="136" t="b">
        <v>0</v>
      </c>
      <c r="S1030" s="58"/>
      <c r="T1030" s="80"/>
      <c r="U1030" s="80"/>
      <c r="V1030" s="80"/>
      <c r="W1030" s="80"/>
      <c r="X1030" s="80"/>
      <c r="Y1030" s="80"/>
      <c r="Z1030" s="80"/>
      <c r="AA1030" s="81"/>
      <c r="AB1030" s="81"/>
      <c r="AC1030" s="81"/>
      <c r="AD1030" s="81"/>
      <c r="AE1030" s="81"/>
    </row>
    <row r="1031">
      <c r="A1031" s="16"/>
      <c r="B1031" s="127"/>
      <c r="C1031" s="127"/>
      <c r="D1031" s="108"/>
      <c r="E1031" s="109"/>
      <c r="F1031" s="58"/>
      <c r="G1031" s="135"/>
      <c r="H1031" s="129"/>
      <c r="I1031" s="129"/>
      <c r="J1031" s="130" t="b">
        <v>0</v>
      </c>
      <c r="K1031" s="58"/>
      <c r="L1031" s="131" t="str">
        <f t="shared" si="8"/>
        <v/>
      </c>
      <c r="M1031" s="108"/>
      <c r="N1031" s="109"/>
      <c r="O1031" s="109"/>
      <c r="P1031" s="109"/>
      <c r="Q1031" s="58"/>
      <c r="R1031" s="136" t="b">
        <v>0</v>
      </c>
      <c r="S1031" s="58"/>
      <c r="T1031" s="80"/>
      <c r="U1031" s="80"/>
      <c r="V1031" s="80"/>
      <c r="W1031" s="80"/>
      <c r="X1031" s="80"/>
      <c r="Y1031" s="80"/>
      <c r="Z1031" s="80"/>
      <c r="AA1031" s="81"/>
      <c r="AB1031" s="81"/>
      <c r="AC1031" s="81"/>
      <c r="AD1031" s="81"/>
      <c r="AE1031" s="81"/>
    </row>
    <row r="1032">
      <c r="A1032" s="16"/>
      <c r="B1032" s="127"/>
      <c r="C1032" s="127"/>
      <c r="D1032" s="108"/>
      <c r="E1032" s="109"/>
      <c r="F1032" s="58"/>
      <c r="G1032" s="135"/>
      <c r="H1032" s="129"/>
      <c r="I1032" s="129"/>
      <c r="J1032" s="130" t="b">
        <v>0</v>
      </c>
      <c r="K1032" s="58"/>
      <c r="L1032" s="131" t="str">
        <f t="shared" si="8"/>
        <v/>
      </c>
      <c r="M1032" s="108"/>
      <c r="N1032" s="109"/>
      <c r="O1032" s="109"/>
      <c r="P1032" s="109"/>
      <c r="Q1032" s="58"/>
      <c r="R1032" s="136" t="b">
        <v>0</v>
      </c>
      <c r="S1032" s="58"/>
      <c r="T1032" s="80"/>
      <c r="U1032" s="80"/>
      <c r="V1032" s="80"/>
      <c r="W1032" s="80"/>
      <c r="X1032" s="80"/>
      <c r="Y1032" s="80"/>
      <c r="Z1032" s="80"/>
      <c r="AA1032" s="81"/>
      <c r="AB1032" s="81"/>
      <c r="AC1032" s="81"/>
      <c r="AD1032" s="81"/>
      <c r="AE1032" s="81"/>
    </row>
    <row r="1033">
      <c r="A1033" s="16"/>
      <c r="B1033" s="127"/>
      <c r="C1033" s="127"/>
      <c r="D1033" s="108"/>
      <c r="E1033" s="109"/>
      <c r="F1033" s="58"/>
      <c r="G1033" s="135"/>
      <c r="H1033" s="129"/>
      <c r="I1033" s="129"/>
      <c r="J1033" s="130" t="b">
        <v>0</v>
      </c>
      <c r="K1033" s="58"/>
      <c r="L1033" s="131" t="str">
        <f t="shared" si="8"/>
        <v/>
      </c>
      <c r="M1033" s="108"/>
      <c r="N1033" s="109"/>
      <c r="O1033" s="109"/>
      <c r="P1033" s="109"/>
      <c r="Q1033" s="58"/>
      <c r="R1033" s="136" t="b">
        <v>0</v>
      </c>
      <c r="S1033" s="58"/>
      <c r="T1033" s="80"/>
      <c r="U1033" s="80"/>
      <c r="V1033" s="80"/>
      <c r="W1033" s="80"/>
      <c r="X1033" s="80"/>
      <c r="Y1033" s="80"/>
      <c r="Z1033" s="80"/>
      <c r="AA1033" s="81"/>
      <c r="AB1033" s="81"/>
      <c r="AC1033" s="81"/>
      <c r="AD1033" s="81"/>
      <c r="AE1033" s="81"/>
    </row>
    <row r="1034">
      <c r="A1034" s="16"/>
      <c r="B1034" s="127"/>
      <c r="C1034" s="127"/>
      <c r="D1034" s="108"/>
      <c r="E1034" s="109"/>
      <c r="F1034" s="58"/>
      <c r="G1034" s="135"/>
      <c r="H1034" s="129"/>
      <c r="I1034" s="129"/>
      <c r="J1034" s="130" t="b">
        <v>0</v>
      </c>
      <c r="K1034" s="58"/>
      <c r="L1034" s="131" t="str">
        <f t="shared" si="8"/>
        <v/>
      </c>
      <c r="M1034" s="108"/>
      <c r="N1034" s="109"/>
      <c r="O1034" s="109"/>
      <c r="P1034" s="109"/>
      <c r="Q1034" s="58"/>
      <c r="R1034" s="136" t="b">
        <v>0</v>
      </c>
      <c r="S1034" s="58"/>
      <c r="T1034" s="80"/>
      <c r="U1034" s="80"/>
      <c r="V1034" s="80"/>
      <c r="W1034" s="80"/>
      <c r="X1034" s="80"/>
      <c r="Y1034" s="80"/>
      <c r="Z1034" s="80"/>
      <c r="AA1034" s="81"/>
      <c r="AB1034" s="81"/>
      <c r="AC1034" s="81"/>
      <c r="AD1034" s="81"/>
      <c r="AE1034" s="81"/>
    </row>
    <row r="1035">
      <c r="A1035" s="16"/>
      <c r="B1035" s="127"/>
      <c r="C1035" s="127"/>
      <c r="D1035" s="108"/>
      <c r="E1035" s="109"/>
      <c r="F1035" s="58"/>
      <c r="G1035" s="135"/>
      <c r="H1035" s="129"/>
      <c r="I1035" s="129"/>
      <c r="J1035" s="130" t="b">
        <v>0</v>
      </c>
      <c r="K1035" s="58"/>
      <c r="L1035" s="131" t="str">
        <f t="shared" si="8"/>
        <v/>
      </c>
      <c r="M1035" s="108"/>
      <c r="N1035" s="109"/>
      <c r="O1035" s="109"/>
      <c r="P1035" s="109"/>
      <c r="Q1035" s="58"/>
      <c r="R1035" s="136" t="b">
        <v>0</v>
      </c>
      <c r="S1035" s="58"/>
      <c r="T1035" s="80"/>
      <c r="U1035" s="80"/>
      <c r="V1035" s="80"/>
      <c r="W1035" s="80"/>
      <c r="X1035" s="80"/>
      <c r="Y1035" s="80"/>
      <c r="Z1035" s="80"/>
      <c r="AA1035" s="81"/>
      <c r="AB1035" s="81"/>
      <c r="AC1035" s="81"/>
      <c r="AD1035" s="81"/>
      <c r="AE1035" s="81"/>
    </row>
    <row r="1036">
      <c r="A1036" s="16"/>
      <c r="B1036" s="127"/>
      <c r="C1036" s="127"/>
      <c r="D1036" s="108"/>
      <c r="E1036" s="109"/>
      <c r="F1036" s="58"/>
      <c r="G1036" s="135"/>
      <c r="H1036" s="129"/>
      <c r="I1036" s="129"/>
      <c r="J1036" s="130" t="b">
        <v>0</v>
      </c>
      <c r="K1036" s="58"/>
      <c r="L1036" s="131" t="str">
        <f t="shared" si="8"/>
        <v/>
      </c>
      <c r="M1036" s="108"/>
      <c r="N1036" s="109"/>
      <c r="O1036" s="109"/>
      <c r="P1036" s="109"/>
      <c r="Q1036" s="58"/>
      <c r="R1036" s="136" t="b">
        <v>0</v>
      </c>
      <c r="S1036" s="58"/>
      <c r="T1036" s="80"/>
      <c r="U1036" s="80"/>
      <c r="V1036" s="80"/>
      <c r="W1036" s="80"/>
      <c r="X1036" s="80"/>
      <c r="Y1036" s="80"/>
      <c r="Z1036" s="80"/>
      <c r="AA1036" s="81"/>
      <c r="AB1036" s="81"/>
      <c r="AC1036" s="81"/>
      <c r="AD1036" s="81"/>
      <c r="AE1036" s="81"/>
    </row>
    <row r="1037">
      <c r="A1037" s="16"/>
      <c r="B1037" s="127"/>
      <c r="C1037" s="127"/>
      <c r="D1037" s="108"/>
      <c r="E1037" s="109"/>
      <c r="F1037" s="58"/>
      <c r="G1037" s="135"/>
      <c r="H1037" s="129"/>
      <c r="I1037" s="129"/>
      <c r="J1037" s="130" t="b">
        <v>0</v>
      </c>
      <c r="K1037" s="58"/>
      <c r="L1037" s="131" t="str">
        <f t="shared" si="8"/>
        <v/>
      </c>
      <c r="M1037" s="108"/>
      <c r="N1037" s="109"/>
      <c r="O1037" s="109"/>
      <c r="P1037" s="109"/>
      <c r="Q1037" s="58"/>
      <c r="R1037" s="136" t="b">
        <v>0</v>
      </c>
      <c r="S1037" s="58"/>
      <c r="T1037" s="80"/>
      <c r="U1037" s="80"/>
      <c r="V1037" s="80"/>
      <c r="W1037" s="80"/>
      <c r="X1037" s="80"/>
      <c r="Y1037" s="80"/>
      <c r="Z1037" s="80"/>
      <c r="AA1037" s="81"/>
      <c r="AB1037" s="81"/>
      <c r="AC1037" s="81"/>
      <c r="AD1037" s="81"/>
      <c r="AE1037" s="81"/>
    </row>
    <row r="1038">
      <c r="A1038" s="16"/>
      <c r="B1038" s="127"/>
      <c r="C1038" s="127"/>
      <c r="D1038" s="108"/>
      <c r="E1038" s="109"/>
      <c r="F1038" s="58"/>
      <c r="G1038" s="135"/>
      <c r="H1038" s="129"/>
      <c r="I1038" s="129"/>
      <c r="J1038" s="130" t="b">
        <v>0</v>
      </c>
      <c r="K1038" s="58"/>
      <c r="L1038" s="131" t="str">
        <f t="shared" si="8"/>
        <v/>
      </c>
      <c r="M1038" s="108"/>
      <c r="N1038" s="109"/>
      <c r="O1038" s="109"/>
      <c r="P1038" s="109"/>
      <c r="Q1038" s="58"/>
      <c r="R1038" s="136" t="b">
        <v>0</v>
      </c>
      <c r="S1038" s="58"/>
      <c r="T1038" s="80"/>
      <c r="U1038" s="80"/>
      <c r="V1038" s="80"/>
      <c r="W1038" s="80"/>
      <c r="X1038" s="80"/>
      <c r="Y1038" s="80"/>
      <c r="Z1038" s="80"/>
      <c r="AA1038" s="81"/>
      <c r="AB1038" s="81"/>
      <c r="AC1038" s="81"/>
      <c r="AD1038" s="81"/>
      <c r="AE1038" s="81"/>
    </row>
    <row r="1039">
      <c r="A1039" s="16"/>
      <c r="B1039" s="127"/>
      <c r="C1039" s="127"/>
      <c r="D1039" s="108"/>
      <c r="E1039" s="109"/>
      <c r="F1039" s="58"/>
      <c r="G1039" s="135"/>
      <c r="H1039" s="129"/>
      <c r="I1039" s="129"/>
      <c r="J1039" s="130" t="b">
        <v>0</v>
      </c>
      <c r="K1039" s="58"/>
      <c r="L1039" s="131" t="str">
        <f t="shared" si="8"/>
        <v/>
      </c>
      <c r="M1039" s="108"/>
      <c r="N1039" s="109"/>
      <c r="O1039" s="109"/>
      <c r="P1039" s="109"/>
      <c r="Q1039" s="58"/>
      <c r="R1039" s="136" t="b">
        <v>0</v>
      </c>
      <c r="S1039" s="58"/>
      <c r="T1039" s="80"/>
      <c r="U1039" s="80"/>
      <c r="V1039" s="80"/>
      <c r="W1039" s="80"/>
      <c r="X1039" s="80"/>
      <c r="Y1039" s="80"/>
      <c r="Z1039" s="80"/>
      <c r="AA1039" s="81"/>
      <c r="AB1039" s="81"/>
      <c r="AC1039" s="81"/>
      <c r="AD1039" s="81"/>
      <c r="AE1039" s="81"/>
    </row>
    <row r="1040">
      <c r="A1040" s="16"/>
      <c r="B1040" s="127"/>
      <c r="C1040" s="127"/>
      <c r="D1040" s="108"/>
      <c r="E1040" s="109"/>
      <c r="F1040" s="58"/>
      <c r="G1040" s="135"/>
      <c r="H1040" s="129"/>
      <c r="I1040" s="129"/>
      <c r="J1040" s="130" t="b">
        <v>0</v>
      </c>
      <c r="K1040" s="58"/>
      <c r="L1040" s="131" t="str">
        <f t="shared" si="8"/>
        <v/>
      </c>
      <c r="M1040" s="108"/>
      <c r="N1040" s="109"/>
      <c r="O1040" s="109"/>
      <c r="P1040" s="109"/>
      <c r="Q1040" s="58"/>
      <c r="R1040" s="136" t="b">
        <v>0</v>
      </c>
      <c r="S1040" s="58"/>
      <c r="T1040" s="80"/>
      <c r="U1040" s="80"/>
      <c r="V1040" s="80"/>
      <c r="W1040" s="80"/>
      <c r="X1040" s="80"/>
      <c r="Y1040" s="80"/>
      <c r="Z1040" s="80"/>
      <c r="AA1040" s="81"/>
      <c r="AB1040" s="81"/>
      <c r="AC1040" s="81"/>
      <c r="AD1040" s="81"/>
      <c r="AE1040" s="81"/>
    </row>
    <row r="1041">
      <c r="A1041" s="16"/>
      <c r="B1041" s="127"/>
      <c r="C1041" s="127"/>
      <c r="D1041" s="108"/>
      <c r="E1041" s="109"/>
      <c r="F1041" s="58"/>
      <c r="G1041" s="135"/>
      <c r="H1041" s="129"/>
      <c r="I1041" s="129"/>
      <c r="J1041" s="130" t="b">
        <v>0</v>
      </c>
      <c r="K1041" s="58"/>
      <c r="L1041" s="131" t="str">
        <f t="shared" si="8"/>
        <v/>
      </c>
      <c r="M1041" s="108"/>
      <c r="N1041" s="109"/>
      <c r="O1041" s="109"/>
      <c r="P1041" s="109"/>
      <c r="Q1041" s="58"/>
      <c r="R1041" s="136" t="b">
        <v>0</v>
      </c>
      <c r="S1041" s="58"/>
      <c r="T1041" s="80"/>
      <c r="U1041" s="80"/>
      <c r="V1041" s="80"/>
      <c r="W1041" s="80"/>
      <c r="X1041" s="80"/>
      <c r="Y1041" s="80"/>
      <c r="Z1041" s="80"/>
      <c r="AA1041" s="81"/>
      <c r="AB1041" s="81"/>
      <c r="AC1041" s="81"/>
      <c r="AD1041" s="81"/>
      <c r="AE1041" s="81"/>
    </row>
    <row r="1042">
      <c r="A1042" s="16"/>
      <c r="B1042" s="127"/>
      <c r="C1042" s="127"/>
      <c r="D1042" s="108"/>
      <c r="E1042" s="109"/>
      <c r="F1042" s="58"/>
      <c r="G1042" s="135"/>
      <c r="H1042" s="129"/>
      <c r="I1042" s="129"/>
      <c r="J1042" s="130" t="b">
        <v>0</v>
      </c>
      <c r="K1042" s="58"/>
      <c r="L1042" s="131" t="str">
        <f t="shared" si="8"/>
        <v/>
      </c>
      <c r="M1042" s="108"/>
      <c r="N1042" s="109"/>
      <c r="O1042" s="109"/>
      <c r="P1042" s="109"/>
      <c r="Q1042" s="58"/>
      <c r="R1042" s="136" t="b">
        <v>0</v>
      </c>
      <c r="S1042" s="58"/>
      <c r="T1042" s="80"/>
      <c r="U1042" s="80"/>
      <c r="V1042" s="80"/>
      <c r="W1042" s="80"/>
      <c r="X1042" s="80"/>
      <c r="Y1042" s="80"/>
      <c r="Z1042" s="80"/>
      <c r="AA1042" s="81"/>
      <c r="AB1042" s="81"/>
      <c r="AC1042" s="81"/>
      <c r="AD1042" s="81"/>
      <c r="AE1042" s="81"/>
    </row>
    <row r="1043">
      <c r="A1043" s="16"/>
      <c r="B1043" s="127"/>
      <c r="C1043" s="127"/>
      <c r="D1043" s="108"/>
      <c r="E1043" s="109"/>
      <c r="F1043" s="58"/>
      <c r="G1043" s="135"/>
      <c r="H1043" s="129"/>
      <c r="I1043" s="129"/>
      <c r="J1043" s="130" t="b">
        <v>0</v>
      </c>
      <c r="K1043" s="58"/>
      <c r="L1043" s="131" t="str">
        <f t="shared" si="8"/>
        <v/>
      </c>
      <c r="M1043" s="108"/>
      <c r="N1043" s="109"/>
      <c r="O1043" s="109"/>
      <c r="P1043" s="109"/>
      <c r="Q1043" s="58"/>
      <c r="R1043" s="136" t="b">
        <v>0</v>
      </c>
      <c r="S1043" s="58"/>
      <c r="T1043" s="80"/>
      <c r="U1043" s="80"/>
      <c r="V1043" s="80"/>
      <c r="W1043" s="80"/>
      <c r="X1043" s="80"/>
      <c r="Y1043" s="80"/>
      <c r="Z1043" s="80"/>
      <c r="AA1043" s="81"/>
      <c r="AB1043" s="81"/>
      <c r="AC1043" s="81"/>
      <c r="AD1043" s="81"/>
      <c r="AE1043" s="81"/>
    </row>
    <row r="1044">
      <c r="A1044" s="16"/>
      <c r="B1044" s="127"/>
      <c r="C1044" s="127"/>
      <c r="D1044" s="108"/>
      <c r="E1044" s="109"/>
      <c r="F1044" s="58"/>
      <c r="G1044" s="135"/>
      <c r="H1044" s="129"/>
      <c r="I1044" s="129"/>
      <c r="J1044" s="130" t="b">
        <v>0</v>
      </c>
      <c r="K1044" s="58"/>
      <c r="L1044" s="131" t="str">
        <f t="shared" si="8"/>
        <v/>
      </c>
      <c r="M1044" s="108"/>
      <c r="N1044" s="109"/>
      <c r="O1044" s="109"/>
      <c r="P1044" s="109"/>
      <c r="Q1044" s="58"/>
      <c r="R1044" s="136" t="b">
        <v>0</v>
      </c>
      <c r="S1044" s="58"/>
      <c r="T1044" s="80"/>
      <c r="U1044" s="80"/>
      <c r="V1044" s="80"/>
      <c r="W1044" s="80"/>
      <c r="X1044" s="80"/>
      <c r="Y1044" s="80"/>
      <c r="Z1044" s="80"/>
      <c r="AA1044" s="81"/>
      <c r="AB1044" s="81"/>
      <c r="AC1044" s="81"/>
      <c r="AD1044" s="81"/>
      <c r="AE1044" s="81"/>
    </row>
    <row r="1045">
      <c r="A1045" s="16"/>
      <c r="B1045" s="127"/>
      <c r="C1045" s="127"/>
      <c r="D1045" s="108"/>
      <c r="E1045" s="109"/>
      <c r="F1045" s="58"/>
      <c r="G1045" s="135"/>
      <c r="H1045" s="129"/>
      <c r="I1045" s="129"/>
      <c r="J1045" s="130" t="b">
        <v>0</v>
      </c>
      <c r="K1045" s="58"/>
      <c r="L1045" s="131" t="str">
        <f t="shared" si="8"/>
        <v/>
      </c>
      <c r="M1045" s="108"/>
      <c r="N1045" s="109"/>
      <c r="O1045" s="109"/>
      <c r="P1045" s="109"/>
      <c r="Q1045" s="58"/>
      <c r="R1045" s="136" t="b">
        <v>0</v>
      </c>
      <c r="S1045" s="58"/>
      <c r="T1045" s="80"/>
      <c r="U1045" s="80"/>
      <c r="V1045" s="80"/>
      <c r="W1045" s="80"/>
      <c r="X1045" s="80"/>
      <c r="Y1045" s="80"/>
      <c r="Z1045" s="80"/>
      <c r="AA1045" s="81"/>
      <c r="AB1045" s="81"/>
      <c r="AC1045" s="81"/>
      <c r="AD1045" s="81"/>
      <c r="AE1045" s="81"/>
    </row>
    <row r="1046">
      <c r="A1046" s="16"/>
      <c r="B1046" s="127"/>
      <c r="C1046" s="127"/>
      <c r="D1046" s="108"/>
      <c r="E1046" s="109"/>
      <c r="F1046" s="58"/>
      <c r="G1046" s="135"/>
      <c r="H1046" s="129"/>
      <c r="I1046" s="129"/>
      <c r="J1046" s="130" t="b">
        <v>0</v>
      </c>
      <c r="K1046" s="58"/>
      <c r="L1046" s="131" t="str">
        <f t="shared" si="8"/>
        <v/>
      </c>
      <c r="M1046" s="108"/>
      <c r="N1046" s="109"/>
      <c r="O1046" s="109"/>
      <c r="P1046" s="109"/>
      <c r="Q1046" s="58"/>
      <c r="R1046" s="136" t="b">
        <v>0</v>
      </c>
      <c r="S1046" s="58"/>
      <c r="T1046" s="80"/>
      <c r="U1046" s="80"/>
      <c r="V1046" s="80"/>
      <c r="W1046" s="80"/>
      <c r="X1046" s="80"/>
      <c r="Y1046" s="80"/>
      <c r="Z1046" s="80"/>
      <c r="AA1046" s="81"/>
      <c r="AB1046" s="81"/>
      <c r="AC1046" s="81"/>
      <c r="AD1046" s="81"/>
      <c r="AE1046" s="81"/>
    </row>
    <row r="1047">
      <c r="A1047" s="16"/>
      <c r="B1047" s="127"/>
      <c r="C1047" s="127"/>
      <c r="D1047" s="108"/>
      <c r="E1047" s="109"/>
      <c r="F1047" s="58"/>
      <c r="G1047" s="135"/>
      <c r="H1047" s="129"/>
      <c r="I1047" s="129"/>
      <c r="J1047" s="130" t="b">
        <v>0</v>
      </c>
      <c r="K1047" s="58"/>
      <c r="L1047" s="131" t="str">
        <f t="shared" si="8"/>
        <v/>
      </c>
      <c r="M1047" s="108"/>
      <c r="N1047" s="109"/>
      <c r="O1047" s="109"/>
      <c r="P1047" s="109"/>
      <c r="Q1047" s="58"/>
      <c r="R1047" s="136" t="b">
        <v>0</v>
      </c>
      <c r="S1047" s="58"/>
      <c r="T1047" s="80"/>
      <c r="U1047" s="80"/>
      <c r="V1047" s="80"/>
      <c r="W1047" s="80"/>
      <c r="X1047" s="80"/>
      <c r="Y1047" s="80"/>
      <c r="Z1047" s="80"/>
      <c r="AA1047" s="81"/>
      <c r="AB1047" s="81"/>
      <c r="AC1047" s="81"/>
      <c r="AD1047" s="81"/>
      <c r="AE1047" s="81"/>
    </row>
    <row r="1048">
      <c r="A1048" s="16"/>
      <c r="B1048" s="127"/>
      <c r="C1048" s="127"/>
      <c r="D1048" s="108"/>
      <c r="E1048" s="109"/>
      <c r="F1048" s="58"/>
      <c r="G1048" s="135"/>
      <c r="H1048" s="129"/>
      <c r="I1048" s="129"/>
      <c r="J1048" s="130" t="b">
        <v>0</v>
      </c>
      <c r="K1048" s="58"/>
      <c r="L1048" s="131" t="str">
        <f t="shared" si="8"/>
        <v/>
      </c>
      <c r="M1048" s="108"/>
      <c r="N1048" s="109"/>
      <c r="O1048" s="109"/>
      <c r="P1048" s="109"/>
      <c r="Q1048" s="58"/>
      <c r="R1048" s="136" t="b">
        <v>0</v>
      </c>
      <c r="S1048" s="58"/>
      <c r="T1048" s="80"/>
      <c r="U1048" s="80"/>
      <c r="V1048" s="80"/>
      <c r="W1048" s="80"/>
      <c r="X1048" s="80"/>
      <c r="Y1048" s="80"/>
      <c r="Z1048" s="80"/>
      <c r="AA1048" s="81"/>
      <c r="AB1048" s="81"/>
      <c r="AC1048" s="81"/>
      <c r="AD1048" s="81"/>
      <c r="AE1048" s="81"/>
    </row>
    <row r="1049">
      <c r="A1049" s="16"/>
      <c r="B1049" s="127"/>
      <c r="C1049" s="127"/>
      <c r="D1049" s="108"/>
      <c r="E1049" s="109"/>
      <c r="F1049" s="58"/>
      <c r="G1049" s="135"/>
      <c r="H1049" s="129"/>
      <c r="I1049" s="129"/>
      <c r="J1049" s="130" t="b">
        <v>0</v>
      </c>
      <c r="K1049" s="58"/>
      <c r="L1049" s="131" t="str">
        <f t="shared" si="8"/>
        <v/>
      </c>
      <c r="M1049" s="108"/>
      <c r="N1049" s="109"/>
      <c r="O1049" s="109"/>
      <c r="P1049" s="109"/>
      <c r="Q1049" s="58"/>
      <c r="R1049" s="136" t="b">
        <v>0</v>
      </c>
      <c r="S1049" s="58"/>
      <c r="T1049" s="80"/>
      <c r="U1049" s="80"/>
      <c r="V1049" s="80"/>
      <c r="W1049" s="80"/>
      <c r="X1049" s="80"/>
      <c r="Y1049" s="80"/>
      <c r="Z1049" s="80"/>
      <c r="AA1049" s="81"/>
      <c r="AB1049" s="81"/>
      <c r="AC1049" s="81"/>
      <c r="AD1049" s="81"/>
      <c r="AE1049" s="81"/>
    </row>
    <row r="1050">
      <c r="A1050" s="16"/>
      <c r="B1050" s="127"/>
      <c r="C1050" s="127"/>
      <c r="D1050" s="108"/>
      <c r="E1050" s="109"/>
      <c r="F1050" s="58"/>
      <c r="G1050" s="135"/>
      <c r="H1050" s="129"/>
      <c r="I1050" s="129"/>
      <c r="J1050" s="130" t="b">
        <v>0</v>
      </c>
      <c r="K1050" s="58"/>
      <c r="L1050" s="131" t="str">
        <f t="shared" si="8"/>
        <v/>
      </c>
      <c r="M1050" s="108"/>
      <c r="N1050" s="109"/>
      <c r="O1050" s="109"/>
      <c r="P1050" s="109"/>
      <c r="Q1050" s="58"/>
      <c r="R1050" s="136" t="b">
        <v>0</v>
      </c>
      <c r="S1050" s="58"/>
      <c r="T1050" s="80"/>
      <c r="U1050" s="80"/>
      <c r="V1050" s="80"/>
      <c r="W1050" s="80"/>
      <c r="X1050" s="80"/>
      <c r="Y1050" s="80"/>
      <c r="Z1050" s="80"/>
      <c r="AA1050" s="81"/>
      <c r="AB1050" s="81"/>
      <c r="AC1050" s="81"/>
      <c r="AD1050" s="81"/>
      <c r="AE1050" s="81"/>
    </row>
    <row r="1051">
      <c r="A1051" s="16"/>
      <c r="B1051" s="127"/>
      <c r="C1051" s="127"/>
      <c r="D1051" s="108"/>
      <c r="E1051" s="109"/>
      <c r="F1051" s="58"/>
      <c r="G1051" s="135"/>
      <c r="H1051" s="129"/>
      <c r="I1051" s="129"/>
      <c r="J1051" s="130" t="b">
        <v>0</v>
      </c>
      <c r="K1051" s="58"/>
      <c r="L1051" s="131" t="str">
        <f t="shared" si="8"/>
        <v/>
      </c>
      <c r="M1051" s="108"/>
      <c r="N1051" s="109"/>
      <c r="O1051" s="109"/>
      <c r="P1051" s="109"/>
      <c r="Q1051" s="58"/>
      <c r="R1051" s="136" t="b">
        <v>0</v>
      </c>
      <c r="S1051" s="58"/>
      <c r="T1051" s="80"/>
      <c r="U1051" s="80"/>
      <c r="V1051" s="80"/>
      <c r="W1051" s="80"/>
      <c r="X1051" s="80"/>
      <c r="Y1051" s="80"/>
      <c r="Z1051" s="80"/>
      <c r="AA1051" s="81"/>
      <c r="AB1051" s="81"/>
      <c r="AC1051" s="81"/>
      <c r="AD1051" s="81"/>
      <c r="AE1051" s="81"/>
    </row>
    <row r="1052">
      <c r="A1052" s="16"/>
      <c r="B1052" s="127"/>
      <c r="C1052" s="127"/>
      <c r="D1052" s="108"/>
      <c r="E1052" s="109"/>
      <c r="F1052" s="58"/>
      <c r="G1052" s="135"/>
      <c r="H1052" s="129"/>
      <c r="I1052" s="129"/>
      <c r="J1052" s="130" t="b">
        <v>0</v>
      </c>
      <c r="K1052" s="58"/>
      <c r="L1052" s="131" t="str">
        <f t="shared" si="8"/>
        <v/>
      </c>
      <c r="M1052" s="108"/>
      <c r="N1052" s="109"/>
      <c r="O1052" s="109"/>
      <c r="P1052" s="109"/>
      <c r="Q1052" s="58"/>
      <c r="R1052" s="136" t="b">
        <v>0</v>
      </c>
      <c r="S1052" s="58"/>
      <c r="T1052" s="80"/>
      <c r="U1052" s="80"/>
      <c r="V1052" s="80"/>
      <c r="W1052" s="80"/>
      <c r="X1052" s="80"/>
      <c r="Y1052" s="80"/>
      <c r="Z1052" s="80"/>
      <c r="AA1052" s="81"/>
      <c r="AB1052" s="81"/>
      <c r="AC1052" s="81"/>
      <c r="AD1052" s="81"/>
      <c r="AE1052" s="81"/>
    </row>
    <row r="1053">
      <c r="A1053" s="16"/>
      <c r="B1053" s="127"/>
      <c r="C1053" s="127"/>
      <c r="D1053" s="108"/>
      <c r="E1053" s="109"/>
      <c r="F1053" s="58"/>
      <c r="G1053" s="135"/>
      <c r="H1053" s="129"/>
      <c r="I1053" s="129"/>
      <c r="J1053" s="130" t="b">
        <v>0</v>
      </c>
      <c r="K1053" s="58"/>
      <c r="L1053" s="131" t="str">
        <f t="shared" si="8"/>
        <v/>
      </c>
      <c r="M1053" s="108"/>
      <c r="N1053" s="109"/>
      <c r="O1053" s="109"/>
      <c r="P1053" s="109"/>
      <c r="Q1053" s="58"/>
      <c r="R1053" s="136" t="b">
        <v>0</v>
      </c>
      <c r="S1053" s="58"/>
      <c r="T1053" s="80"/>
      <c r="U1053" s="80"/>
      <c r="V1053" s="80"/>
      <c r="W1053" s="80"/>
      <c r="X1053" s="80"/>
      <c r="Y1053" s="80"/>
      <c r="Z1053" s="80"/>
      <c r="AA1053" s="81"/>
      <c r="AB1053" s="81"/>
      <c r="AC1053" s="81"/>
      <c r="AD1053" s="81"/>
      <c r="AE1053" s="81"/>
    </row>
    <row r="1054">
      <c r="A1054" s="16"/>
      <c r="B1054" s="127"/>
      <c r="C1054" s="127"/>
      <c r="D1054" s="108"/>
      <c r="E1054" s="109"/>
      <c r="F1054" s="58"/>
      <c r="G1054" s="135"/>
      <c r="H1054" s="129"/>
      <c r="I1054" s="129"/>
      <c r="J1054" s="130" t="b">
        <v>0</v>
      </c>
      <c r="K1054" s="58"/>
      <c r="L1054" s="131" t="str">
        <f t="shared" si="8"/>
        <v/>
      </c>
      <c r="M1054" s="108"/>
      <c r="N1054" s="109"/>
      <c r="O1054" s="109"/>
      <c r="P1054" s="109"/>
      <c r="Q1054" s="58"/>
      <c r="R1054" s="136" t="b">
        <v>0</v>
      </c>
      <c r="S1054" s="58"/>
      <c r="T1054" s="80"/>
      <c r="U1054" s="80"/>
      <c r="V1054" s="80"/>
      <c r="W1054" s="80"/>
      <c r="X1054" s="80"/>
      <c r="Y1054" s="80"/>
      <c r="Z1054" s="80"/>
      <c r="AA1054" s="81"/>
      <c r="AB1054" s="81"/>
      <c r="AC1054" s="81"/>
      <c r="AD1054" s="81"/>
      <c r="AE1054" s="81"/>
    </row>
    <row r="1055">
      <c r="A1055" s="16"/>
      <c r="B1055" s="127"/>
      <c r="C1055" s="127"/>
      <c r="D1055" s="108"/>
      <c r="E1055" s="109"/>
      <c r="F1055" s="58"/>
      <c r="G1055" s="135"/>
      <c r="H1055" s="129"/>
      <c r="I1055" s="129"/>
      <c r="J1055" s="130" t="b">
        <v>0</v>
      </c>
      <c r="K1055" s="58"/>
      <c r="L1055" s="131" t="str">
        <f t="shared" si="8"/>
        <v/>
      </c>
      <c r="M1055" s="108"/>
      <c r="N1055" s="109"/>
      <c r="O1055" s="109"/>
      <c r="P1055" s="109"/>
      <c r="Q1055" s="58"/>
      <c r="R1055" s="136" t="b">
        <v>0</v>
      </c>
      <c r="S1055" s="58"/>
      <c r="T1055" s="80"/>
      <c r="U1055" s="80"/>
      <c r="V1055" s="80"/>
      <c r="W1055" s="80"/>
      <c r="X1055" s="80"/>
      <c r="Y1055" s="80"/>
      <c r="Z1055" s="80"/>
      <c r="AA1055" s="81"/>
      <c r="AB1055" s="81"/>
      <c r="AC1055" s="81"/>
      <c r="AD1055" s="81"/>
      <c r="AE1055" s="81"/>
    </row>
    <row r="1056">
      <c r="A1056" s="16"/>
      <c r="B1056" s="127"/>
      <c r="C1056" s="127"/>
      <c r="D1056" s="108"/>
      <c r="E1056" s="109"/>
      <c r="F1056" s="58"/>
      <c r="G1056" s="135"/>
      <c r="H1056" s="129"/>
      <c r="I1056" s="129"/>
      <c r="J1056" s="130" t="b">
        <v>0</v>
      </c>
      <c r="K1056" s="58"/>
      <c r="L1056" s="131" t="str">
        <f t="shared" si="8"/>
        <v/>
      </c>
      <c r="M1056" s="108"/>
      <c r="N1056" s="109"/>
      <c r="O1056" s="109"/>
      <c r="P1056" s="109"/>
      <c r="Q1056" s="58"/>
      <c r="R1056" s="136" t="b">
        <v>0</v>
      </c>
      <c r="S1056" s="58"/>
      <c r="T1056" s="80"/>
      <c r="U1056" s="80"/>
      <c r="V1056" s="80"/>
      <c r="W1056" s="80"/>
      <c r="X1056" s="80"/>
      <c r="Y1056" s="80"/>
      <c r="Z1056" s="80"/>
      <c r="AA1056" s="81"/>
      <c r="AB1056" s="81"/>
      <c r="AC1056" s="81"/>
      <c r="AD1056" s="81"/>
      <c r="AE1056" s="81"/>
    </row>
    <row r="1057">
      <c r="A1057" s="16"/>
      <c r="B1057" s="127"/>
      <c r="C1057" s="127"/>
      <c r="D1057" s="108"/>
      <c r="E1057" s="109"/>
      <c r="F1057" s="58"/>
      <c r="G1057" s="135"/>
      <c r="H1057" s="129"/>
      <c r="I1057" s="129"/>
      <c r="J1057" s="130" t="b">
        <v>0</v>
      </c>
      <c r="K1057" s="58"/>
      <c r="L1057" s="131" t="str">
        <f t="shared" si="8"/>
        <v/>
      </c>
      <c r="M1057" s="108"/>
      <c r="N1057" s="109"/>
      <c r="O1057" s="109"/>
      <c r="P1057" s="109"/>
      <c r="Q1057" s="58"/>
      <c r="R1057" s="136" t="b">
        <v>0</v>
      </c>
      <c r="S1057" s="58"/>
      <c r="T1057" s="80"/>
      <c r="U1057" s="80"/>
      <c r="V1057" s="80"/>
      <c r="W1057" s="80"/>
      <c r="X1057" s="80"/>
      <c r="Y1057" s="80"/>
      <c r="Z1057" s="80"/>
      <c r="AA1057" s="81"/>
      <c r="AB1057" s="81"/>
      <c r="AC1057" s="81"/>
      <c r="AD1057" s="81"/>
      <c r="AE1057" s="81"/>
    </row>
    <row r="1058">
      <c r="A1058" s="16"/>
      <c r="B1058" s="127"/>
      <c r="C1058" s="127"/>
      <c r="D1058" s="108"/>
      <c r="E1058" s="109"/>
      <c r="F1058" s="58"/>
      <c r="G1058" s="135"/>
      <c r="H1058" s="129"/>
      <c r="I1058" s="129"/>
      <c r="J1058" s="130" t="b">
        <v>0</v>
      </c>
      <c r="K1058" s="58"/>
      <c r="L1058" s="131" t="str">
        <f t="shared" si="8"/>
        <v/>
      </c>
      <c r="M1058" s="108"/>
      <c r="N1058" s="109"/>
      <c r="O1058" s="109"/>
      <c r="P1058" s="109"/>
      <c r="Q1058" s="58"/>
      <c r="R1058" s="136" t="b">
        <v>0</v>
      </c>
      <c r="S1058" s="58"/>
      <c r="T1058" s="80"/>
      <c r="U1058" s="80"/>
      <c r="V1058" s="80"/>
      <c r="W1058" s="80"/>
      <c r="X1058" s="80"/>
      <c r="Y1058" s="80"/>
      <c r="Z1058" s="80"/>
      <c r="AA1058" s="81"/>
      <c r="AB1058" s="81"/>
      <c r="AC1058" s="81"/>
      <c r="AD1058" s="81"/>
      <c r="AE1058" s="81"/>
    </row>
    <row r="1059">
      <c r="A1059" s="16"/>
      <c r="B1059" s="127"/>
      <c r="C1059" s="127"/>
      <c r="D1059" s="108"/>
      <c r="E1059" s="109"/>
      <c r="F1059" s="58"/>
      <c r="G1059" s="135"/>
      <c r="H1059" s="129"/>
      <c r="I1059" s="129"/>
      <c r="J1059" s="130" t="b">
        <v>0</v>
      </c>
      <c r="K1059" s="58"/>
      <c r="L1059" s="131" t="str">
        <f t="shared" si="8"/>
        <v/>
      </c>
      <c r="M1059" s="108"/>
      <c r="N1059" s="109"/>
      <c r="O1059" s="109"/>
      <c r="P1059" s="109"/>
      <c r="Q1059" s="58"/>
      <c r="R1059" s="136" t="b">
        <v>0</v>
      </c>
      <c r="S1059" s="58"/>
      <c r="T1059" s="80"/>
      <c r="U1059" s="80"/>
      <c r="V1059" s="80"/>
      <c r="W1059" s="80"/>
      <c r="X1059" s="80"/>
      <c r="Y1059" s="80"/>
      <c r="Z1059" s="80"/>
      <c r="AA1059" s="81"/>
      <c r="AB1059" s="81"/>
      <c r="AC1059" s="81"/>
      <c r="AD1059" s="81"/>
      <c r="AE1059" s="81"/>
    </row>
    <row r="1060">
      <c r="A1060" s="16"/>
      <c r="B1060" s="127"/>
      <c r="C1060" s="127"/>
      <c r="D1060" s="108"/>
      <c r="E1060" s="109"/>
      <c r="F1060" s="58"/>
      <c r="G1060" s="135"/>
      <c r="H1060" s="129"/>
      <c r="I1060" s="129"/>
      <c r="J1060" s="130" t="b">
        <v>0</v>
      </c>
      <c r="K1060" s="58"/>
      <c r="L1060" s="131" t="str">
        <f t="shared" si="8"/>
        <v/>
      </c>
      <c r="M1060" s="108"/>
      <c r="N1060" s="109"/>
      <c r="O1060" s="109"/>
      <c r="P1060" s="109"/>
      <c r="Q1060" s="58"/>
      <c r="R1060" s="136" t="b">
        <v>0</v>
      </c>
      <c r="S1060" s="58"/>
      <c r="T1060" s="80"/>
      <c r="U1060" s="80"/>
      <c r="V1060" s="80"/>
      <c r="W1060" s="80"/>
      <c r="X1060" s="80"/>
      <c r="Y1060" s="80"/>
      <c r="Z1060" s="80"/>
      <c r="AA1060" s="81"/>
      <c r="AB1060" s="81"/>
      <c r="AC1060" s="81"/>
      <c r="AD1060" s="81"/>
      <c r="AE1060" s="81"/>
    </row>
    <row r="1061">
      <c r="A1061" s="16"/>
      <c r="B1061" s="127"/>
      <c r="C1061" s="127"/>
      <c r="D1061" s="108"/>
      <c r="E1061" s="109"/>
      <c r="F1061" s="58"/>
      <c r="G1061" s="135"/>
      <c r="H1061" s="129"/>
      <c r="I1061" s="129"/>
      <c r="J1061" s="130" t="b">
        <v>0</v>
      </c>
      <c r="K1061" s="58"/>
      <c r="L1061" s="131" t="str">
        <f t="shared" si="8"/>
        <v/>
      </c>
      <c r="M1061" s="108"/>
      <c r="N1061" s="109"/>
      <c r="O1061" s="109"/>
      <c r="P1061" s="109"/>
      <c r="Q1061" s="58"/>
      <c r="R1061" s="136" t="b">
        <v>0</v>
      </c>
      <c r="S1061" s="58"/>
      <c r="T1061" s="80"/>
      <c r="U1061" s="80"/>
      <c r="V1061" s="80"/>
      <c r="W1061" s="80"/>
      <c r="X1061" s="80"/>
      <c r="Y1061" s="80"/>
      <c r="Z1061" s="80"/>
      <c r="AA1061" s="81"/>
      <c r="AB1061" s="81"/>
      <c r="AC1061" s="81"/>
      <c r="AD1061" s="81"/>
      <c r="AE1061" s="81"/>
    </row>
    <row r="1062">
      <c r="A1062" s="16"/>
      <c r="B1062" s="127"/>
      <c r="C1062" s="127"/>
      <c r="D1062" s="108"/>
      <c r="E1062" s="109"/>
      <c r="F1062" s="58"/>
      <c r="G1062" s="135"/>
      <c r="H1062" s="129"/>
      <c r="I1062" s="129"/>
      <c r="J1062" s="130" t="b">
        <v>0</v>
      </c>
      <c r="K1062" s="58"/>
      <c r="L1062" s="131" t="str">
        <f t="shared" si="8"/>
        <v/>
      </c>
      <c r="M1062" s="108"/>
      <c r="N1062" s="109"/>
      <c r="O1062" s="109"/>
      <c r="P1062" s="109"/>
      <c r="Q1062" s="58"/>
      <c r="R1062" s="136" t="b">
        <v>0</v>
      </c>
      <c r="S1062" s="58"/>
      <c r="T1062" s="80"/>
      <c r="U1062" s="80"/>
      <c r="V1062" s="80"/>
      <c r="W1062" s="80"/>
      <c r="X1062" s="80"/>
      <c r="Y1062" s="80"/>
      <c r="Z1062" s="80"/>
      <c r="AA1062" s="81"/>
      <c r="AB1062" s="81"/>
      <c r="AC1062" s="81"/>
      <c r="AD1062" s="81"/>
      <c r="AE1062" s="81"/>
    </row>
    <row r="1063">
      <c r="A1063" s="16"/>
      <c r="B1063" s="127"/>
      <c r="C1063" s="127"/>
      <c r="D1063" s="108"/>
      <c r="E1063" s="109"/>
      <c r="F1063" s="58"/>
      <c r="G1063" s="135"/>
      <c r="H1063" s="129"/>
      <c r="I1063" s="129"/>
      <c r="J1063" s="130" t="b">
        <v>0</v>
      </c>
      <c r="K1063" s="58"/>
      <c r="L1063" s="131" t="str">
        <f t="shared" si="8"/>
        <v/>
      </c>
      <c r="M1063" s="108"/>
      <c r="N1063" s="109"/>
      <c r="O1063" s="109"/>
      <c r="P1063" s="109"/>
      <c r="Q1063" s="58"/>
      <c r="R1063" s="136" t="b">
        <v>0</v>
      </c>
      <c r="S1063" s="58"/>
      <c r="T1063" s="80"/>
      <c r="U1063" s="80"/>
      <c r="V1063" s="80"/>
      <c r="W1063" s="80"/>
      <c r="X1063" s="80"/>
      <c r="Y1063" s="80"/>
      <c r="Z1063" s="80"/>
      <c r="AA1063" s="81"/>
      <c r="AB1063" s="81"/>
      <c r="AC1063" s="81"/>
      <c r="AD1063" s="81"/>
      <c r="AE1063" s="81"/>
    </row>
    <row r="1064">
      <c r="A1064" s="16"/>
      <c r="B1064" s="127"/>
      <c r="C1064" s="127"/>
      <c r="D1064" s="108"/>
      <c r="E1064" s="109"/>
      <c r="F1064" s="58"/>
      <c r="G1064" s="135"/>
      <c r="H1064" s="129"/>
      <c r="I1064" s="129"/>
      <c r="J1064" s="130" t="b">
        <v>0</v>
      </c>
      <c r="K1064" s="58"/>
      <c r="L1064" s="131" t="str">
        <f t="shared" si="8"/>
        <v/>
      </c>
      <c r="M1064" s="108"/>
      <c r="N1064" s="109"/>
      <c r="O1064" s="109"/>
      <c r="P1064" s="109"/>
      <c r="Q1064" s="58"/>
      <c r="R1064" s="136" t="b">
        <v>0</v>
      </c>
      <c r="S1064" s="58"/>
      <c r="T1064" s="80"/>
      <c r="U1064" s="80"/>
      <c r="V1064" s="80"/>
      <c r="W1064" s="80"/>
      <c r="X1064" s="80"/>
      <c r="Y1064" s="80"/>
      <c r="Z1064" s="80"/>
      <c r="AA1064" s="81"/>
      <c r="AB1064" s="81"/>
      <c r="AC1064" s="81"/>
      <c r="AD1064" s="81"/>
      <c r="AE1064" s="81"/>
    </row>
    <row r="1065">
      <c r="A1065" s="16"/>
      <c r="B1065" s="127"/>
      <c r="C1065" s="127"/>
      <c r="D1065" s="108"/>
      <c r="E1065" s="109"/>
      <c r="F1065" s="58"/>
      <c r="G1065" s="135"/>
      <c r="H1065" s="129"/>
      <c r="I1065" s="129"/>
      <c r="J1065" s="130" t="b">
        <v>0</v>
      </c>
      <c r="K1065" s="58"/>
      <c r="L1065" s="131" t="str">
        <f t="shared" si="8"/>
        <v/>
      </c>
      <c r="M1065" s="108"/>
      <c r="N1065" s="109"/>
      <c r="O1065" s="109"/>
      <c r="P1065" s="109"/>
      <c r="Q1065" s="58"/>
      <c r="R1065" s="136" t="b">
        <v>0</v>
      </c>
      <c r="S1065" s="58"/>
      <c r="T1065" s="80"/>
      <c r="U1065" s="80"/>
      <c r="V1065" s="80"/>
      <c r="W1065" s="80"/>
      <c r="X1065" s="80"/>
      <c r="Y1065" s="80"/>
      <c r="Z1065" s="80"/>
      <c r="AA1065" s="81"/>
      <c r="AB1065" s="81"/>
      <c r="AC1065" s="81"/>
      <c r="AD1065" s="81"/>
      <c r="AE1065" s="81"/>
    </row>
    <row r="1066">
      <c r="A1066" s="16"/>
      <c r="B1066" s="127"/>
      <c r="C1066" s="127"/>
      <c r="D1066" s="108"/>
      <c r="E1066" s="109"/>
      <c r="F1066" s="58"/>
      <c r="G1066" s="135"/>
      <c r="H1066" s="129"/>
      <c r="I1066" s="129"/>
      <c r="J1066" s="130" t="b">
        <v>0</v>
      </c>
      <c r="K1066" s="58"/>
      <c r="L1066" s="131" t="str">
        <f t="shared" si="8"/>
        <v/>
      </c>
      <c r="M1066" s="108"/>
      <c r="N1066" s="109"/>
      <c r="O1066" s="109"/>
      <c r="P1066" s="109"/>
      <c r="Q1066" s="58"/>
      <c r="R1066" s="136" t="b">
        <v>0</v>
      </c>
      <c r="S1066" s="58"/>
      <c r="T1066" s="80"/>
      <c r="U1066" s="80"/>
      <c r="V1066" s="80"/>
      <c r="W1066" s="80"/>
      <c r="X1066" s="80"/>
      <c r="Y1066" s="80"/>
      <c r="Z1066" s="80"/>
      <c r="AA1066" s="81"/>
      <c r="AB1066" s="81"/>
      <c r="AC1066" s="81"/>
      <c r="AD1066" s="81"/>
      <c r="AE1066" s="81"/>
    </row>
    <row r="1067">
      <c r="A1067" s="16"/>
      <c r="B1067" s="127"/>
      <c r="C1067" s="127"/>
      <c r="D1067" s="108"/>
      <c r="E1067" s="109"/>
      <c r="F1067" s="58"/>
      <c r="G1067" s="135"/>
      <c r="H1067" s="129"/>
      <c r="I1067" s="129"/>
      <c r="J1067" s="130" t="b">
        <v>0</v>
      </c>
      <c r="K1067" s="58"/>
      <c r="L1067" s="131" t="str">
        <f t="shared" si="8"/>
        <v/>
      </c>
      <c r="M1067" s="108"/>
      <c r="N1067" s="109"/>
      <c r="O1067" s="109"/>
      <c r="P1067" s="109"/>
      <c r="Q1067" s="58"/>
      <c r="R1067" s="136" t="b">
        <v>0</v>
      </c>
      <c r="S1067" s="58"/>
      <c r="T1067" s="80"/>
      <c r="U1067" s="80"/>
      <c r="V1067" s="80"/>
      <c r="W1067" s="80"/>
      <c r="X1067" s="80"/>
      <c r="Y1067" s="80"/>
      <c r="Z1067" s="80"/>
      <c r="AA1067" s="81"/>
      <c r="AB1067" s="81"/>
      <c r="AC1067" s="81"/>
      <c r="AD1067" s="81"/>
      <c r="AE1067" s="81"/>
    </row>
    <row r="1068">
      <c r="A1068" s="16"/>
      <c r="B1068" s="127"/>
      <c r="C1068" s="127"/>
      <c r="D1068" s="108"/>
      <c r="E1068" s="109"/>
      <c r="F1068" s="58"/>
      <c r="G1068" s="135"/>
      <c r="H1068" s="129"/>
      <c r="I1068" s="129"/>
      <c r="J1068" s="130" t="b">
        <v>0</v>
      </c>
      <c r="K1068" s="58"/>
      <c r="L1068" s="131" t="str">
        <f t="shared" si="8"/>
        <v/>
      </c>
      <c r="M1068" s="108"/>
      <c r="N1068" s="109"/>
      <c r="O1068" s="109"/>
      <c r="P1068" s="109"/>
      <c r="Q1068" s="58"/>
      <c r="R1068" s="136" t="b">
        <v>0</v>
      </c>
      <c r="S1068" s="58"/>
      <c r="T1068" s="80"/>
      <c r="U1068" s="80"/>
      <c r="V1068" s="80"/>
      <c r="W1068" s="80"/>
      <c r="X1068" s="80"/>
      <c r="Y1068" s="80"/>
      <c r="Z1068" s="80"/>
      <c r="AA1068" s="81"/>
      <c r="AB1068" s="81"/>
      <c r="AC1068" s="81"/>
      <c r="AD1068" s="81"/>
      <c r="AE1068" s="81"/>
    </row>
    <row r="1069">
      <c r="A1069" s="16"/>
      <c r="B1069" s="127"/>
      <c r="C1069" s="127"/>
      <c r="D1069" s="108"/>
      <c r="E1069" s="109"/>
      <c r="F1069" s="58"/>
      <c r="G1069" s="135"/>
      <c r="H1069" s="129"/>
      <c r="I1069" s="129"/>
      <c r="J1069" s="130" t="b">
        <v>0</v>
      </c>
      <c r="K1069" s="58"/>
      <c r="L1069" s="131" t="str">
        <f t="shared" si="8"/>
        <v/>
      </c>
      <c r="M1069" s="108"/>
      <c r="N1069" s="109"/>
      <c r="O1069" s="109"/>
      <c r="P1069" s="109"/>
      <c r="Q1069" s="58"/>
      <c r="R1069" s="136" t="b">
        <v>0</v>
      </c>
      <c r="S1069" s="58"/>
      <c r="T1069" s="80"/>
      <c r="U1069" s="80"/>
      <c r="V1069" s="80"/>
      <c r="W1069" s="80"/>
      <c r="X1069" s="80"/>
      <c r="Y1069" s="80"/>
      <c r="Z1069" s="80"/>
      <c r="AA1069" s="81"/>
      <c r="AB1069" s="81"/>
      <c r="AC1069" s="81"/>
      <c r="AD1069" s="81"/>
      <c r="AE1069" s="81"/>
    </row>
    <row r="1070">
      <c r="A1070" s="16"/>
      <c r="B1070" s="127"/>
      <c r="C1070" s="127"/>
      <c r="D1070" s="108"/>
      <c r="E1070" s="109"/>
      <c r="F1070" s="58"/>
      <c r="G1070" s="135"/>
      <c r="H1070" s="129"/>
      <c r="I1070" s="129"/>
      <c r="J1070" s="130" t="b">
        <v>0</v>
      </c>
      <c r="K1070" s="58"/>
      <c r="L1070" s="131" t="str">
        <f t="shared" si="8"/>
        <v/>
      </c>
      <c r="M1070" s="108"/>
      <c r="N1070" s="109"/>
      <c r="O1070" s="109"/>
      <c r="P1070" s="109"/>
      <c r="Q1070" s="58"/>
      <c r="R1070" s="136" t="b">
        <v>0</v>
      </c>
      <c r="S1070" s="58"/>
      <c r="T1070" s="80"/>
      <c r="U1070" s="80"/>
      <c r="V1070" s="80"/>
      <c r="W1070" s="80"/>
      <c r="X1070" s="80"/>
      <c r="Y1070" s="80"/>
      <c r="Z1070" s="80"/>
      <c r="AA1070" s="81"/>
      <c r="AB1070" s="81"/>
      <c r="AC1070" s="81"/>
      <c r="AD1070" s="81"/>
      <c r="AE1070" s="81"/>
    </row>
    <row r="1071">
      <c r="A1071" s="16"/>
      <c r="B1071" s="127"/>
      <c r="C1071" s="127"/>
      <c r="D1071" s="108"/>
      <c r="E1071" s="109"/>
      <c r="F1071" s="58"/>
      <c r="G1071" s="135"/>
      <c r="H1071" s="129"/>
      <c r="I1071" s="129"/>
      <c r="J1071" s="130" t="b">
        <v>0</v>
      </c>
      <c r="K1071" s="58"/>
      <c r="L1071" s="131" t="str">
        <f t="shared" si="8"/>
        <v/>
      </c>
      <c r="M1071" s="108"/>
      <c r="N1071" s="109"/>
      <c r="O1071" s="109"/>
      <c r="P1071" s="109"/>
      <c r="Q1071" s="58"/>
      <c r="R1071" s="136" t="b">
        <v>0</v>
      </c>
      <c r="S1071" s="58"/>
      <c r="T1071" s="80"/>
      <c r="U1071" s="80"/>
      <c r="V1071" s="80"/>
      <c r="W1071" s="80"/>
      <c r="X1071" s="80"/>
      <c r="Y1071" s="80"/>
      <c r="Z1071" s="80"/>
      <c r="AA1071" s="81"/>
      <c r="AB1071" s="81"/>
      <c r="AC1071" s="81"/>
      <c r="AD1071" s="81"/>
      <c r="AE1071" s="81"/>
    </row>
    <row r="1072">
      <c r="A1072" s="16"/>
      <c r="B1072" s="127"/>
      <c r="C1072" s="127"/>
      <c r="D1072" s="108"/>
      <c r="E1072" s="109"/>
      <c r="F1072" s="58"/>
      <c r="G1072" s="135"/>
      <c r="H1072" s="129"/>
      <c r="I1072" s="129"/>
      <c r="J1072" s="130" t="b">
        <v>0</v>
      </c>
      <c r="K1072" s="58"/>
      <c r="L1072" s="131" t="str">
        <f t="shared" si="8"/>
        <v/>
      </c>
      <c r="M1072" s="108"/>
      <c r="N1072" s="109"/>
      <c r="O1072" s="109"/>
      <c r="P1072" s="109"/>
      <c r="Q1072" s="58"/>
      <c r="R1072" s="136" t="b">
        <v>0</v>
      </c>
      <c r="S1072" s="58"/>
      <c r="T1072" s="80"/>
      <c r="U1072" s="80"/>
      <c r="V1072" s="80"/>
      <c r="W1072" s="80"/>
      <c r="X1072" s="80"/>
      <c r="Y1072" s="80"/>
      <c r="Z1072" s="80"/>
      <c r="AA1072" s="81"/>
      <c r="AB1072" s="81"/>
      <c r="AC1072" s="81"/>
      <c r="AD1072" s="81"/>
      <c r="AE1072" s="81"/>
    </row>
    <row r="1073">
      <c r="A1073" s="16"/>
      <c r="B1073" s="127"/>
      <c r="C1073" s="127"/>
      <c r="D1073" s="108"/>
      <c r="E1073" s="109"/>
      <c r="F1073" s="58"/>
      <c r="G1073" s="135"/>
      <c r="H1073" s="129"/>
      <c r="I1073" s="129"/>
      <c r="J1073" s="130" t="b">
        <v>0</v>
      </c>
      <c r="K1073" s="58"/>
      <c r="L1073" s="131" t="str">
        <f t="shared" si="8"/>
        <v/>
      </c>
      <c r="M1073" s="108"/>
      <c r="N1073" s="109"/>
      <c r="O1073" s="109"/>
      <c r="P1073" s="109"/>
      <c r="Q1073" s="58"/>
      <c r="R1073" s="136" t="b">
        <v>0</v>
      </c>
      <c r="S1073" s="58"/>
      <c r="T1073" s="80"/>
      <c r="U1073" s="80"/>
      <c r="V1073" s="80"/>
      <c r="W1073" s="80"/>
      <c r="X1073" s="80"/>
      <c r="Y1073" s="80"/>
      <c r="Z1073" s="80"/>
      <c r="AA1073" s="81"/>
      <c r="AB1073" s="81"/>
      <c r="AC1073" s="81"/>
      <c r="AD1073" s="81"/>
      <c r="AE1073" s="81"/>
    </row>
    <row r="1074">
      <c r="A1074" s="16"/>
      <c r="B1074" s="127"/>
      <c r="C1074" s="127"/>
      <c r="D1074" s="108"/>
      <c r="E1074" s="109"/>
      <c r="F1074" s="58"/>
      <c r="G1074" s="135"/>
      <c r="H1074" s="129"/>
      <c r="I1074" s="129"/>
      <c r="J1074" s="130" t="b">
        <v>0</v>
      </c>
      <c r="K1074" s="58"/>
      <c r="L1074" s="131" t="str">
        <f t="shared" si="8"/>
        <v/>
      </c>
      <c r="M1074" s="108"/>
      <c r="N1074" s="109"/>
      <c r="O1074" s="109"/>
      <c r="P1074" s="109"/>
      <c r="Q1074" s="58"/>
      <c r="R1074" s="136" t="b">
        <v>0</v>
      </c>
      <c r="S1074" s="58"/>
      <c r="T1074" s="80"/>
      <c r="U1074" s="80"/>
      <c r="V1074" s="80"/>
      <c r="W1074" s="80"/>
      <c r="X1074" s="80"/>
      <c r="Y1074" s="80"/>
      <c r="Z1074" s="80"/>
      <c r="AA1074" s="81"/>
      <c r="AB1074" s="81"/>
      <c r="AC1074" s="81"/>
      <c r="AD1074" s="81"/>
      <c r="AE1074" s="81"/>
    </row>
    <row r="1075">
      <c r="A1075" s="16"/>
      <c r="B1075" s="127"/>
      <c r="C1075" s="127"/>
      <c r="D1075" s="108"/>
      <c r="E1075" s="109"/>
      <c r="F1075" s="58"/>
      <c r="G1075" s="135"/>
      <c r="H1075" s="129"/>
      <c r="I1075" s="129"/>
      <c r="J1075" s="130" t="b">
        <v>0</v>
      </c>
      <c r="K1075" s="58"/>
      <c r="L1075" s="131" t="str">
        <f t="shared" si="8"/>
        <v/>
      </c>
      <c r="M1075" s="108"/>
      <c r="N1075" s="109"/>
      <c r="O1075" s="109"/>
      <c r="P1075" s="109"/>
      <c r="Q1075" s="58"/>
      <c r="R1075" s="136" t="b">
        <v>0</v>
      </c>
      <c r="S1075" s="58"/>
      <c r="T1075" s="80"/>
      <c r="U1075" s="80"/>
      <c r="V1075" s="80"/>
      <c r="W1075" s="80"/>
      <c r="X1075" s="80"/>
      <c r="Y1075" s="80"/>
      <c r="Z1075" s="80"/>
      <c r="AA1075" s="81"/>
      <c r="AB1075" s="81"/>
      <c r="AC1075" s="81"/>
      <c r="AD1075" s="81"/>
      <c r="AE1075" s="81"/>
    </row>
    <row r="1076">
      <c r="A1076" s="16"/>
      <c r="B1076" s="127"/>
      <c r="C1076" s="127"/>
      <c r="D1076" s="108"/>
      <c r="E1076" s="109"/>
      <c r="F1076" s="58"/>
      <c r="G1076" s="135"/>
      <c r="H1076" s="129"/>
      <c r="I1076" s="129"/>
      <c r="J1076" s="130" t="b">
        <v>0</v>
      </c>
      <c r="K1076" s="58"/>
      <c r="L1076" s="131" t="str">
        <f t="shared" si="8"/>
        <v/>
      </c>
      <c r="M1076" s="108"/>
      <c r="N1076" s="109"/>
      <c r="O1076" s="109"/>
      <c r="P1076" s="109"/>
      <c r="Q1076" s="58"/>
      <c r="R1076" s="136" t="b">
        <v>0</v>
      </c>
      <c r="S1076" s="58"/>
      <c r="T1076" s="80"/>
      <c r="U1076" s="80"/>
      <c r="V1076" s="80"/>
      <c r="W1076" s="80"/>
      <c r="X1076" s="80"/>
      <c r="Y1076" s="80"/>
      <c r="Z1076" s="80"/>
      <c r="AA1076" s="81"/>
      <c r="AB1076" s="81"/>
      <c r="AC1076" s="81"/>
      <c r="AD1076" s="81"/>
      <c r="AE1076" s="81"/>
    </row>
    <row r="1077">
      <c r="A1077" s="16"/>
      <c r="B1077" s="127"/>
      <c r="C1077" s="127"/>
      <c r="D1077" s="108"/>
      <c r="E1077" s="109"/>
      <c r="F1077" s="58"/>
      <c r="G1077" s="135"/>
      <c r="H1077" s="129"/>
      <c r="I1077" s="129"/>
      <c r="J1077" s="130" t="b">
        <v>0</v>
      </c>
      <c r="K1077" s="58"/>
      <c r="L1077" s="131" t="str">
        <f t="shared" si="8"/>
        <v/>
      </c>
      <c r="M1077" s="108"/>
      <c r="N1077" s="109"/>
      <c r="O1077" s="109"/>
      <c r="P1077" s="109"/>
      <c r="Q1077" s="58"/>
      <c r="R1077" s="136" t="b">
        <v>0</v>
      </c>
      <c r="S1077" s="58"/>
      <c r="T1077" s="80"/>
      <c r="U1077" s="80"/>
      <c r="V1077" s="80"/>
      <c r="W1077" s="80"/>
      <c r="X1077" s="80"/>
      <c r="Y1077" s="80"/>
      <c r="Z1077" s="80"/>
      <c r="AA1077" s="81"/>
      <c r="AB1077" s="81"/>
      <c r="AC1077" s="81"/>
      <c r="AD1077" s="81"/>
      <c r="AE1077" s="81"/>
    </row>
    <row r="1078">
      <c r="A1078" s="16"/>
      <c r="B1078" s="127"/>
      <c r="C1078" s="127"/>
      <c r="D1078" s="108"/>
      <c r="E1078" s="109"/>
      <c r="F1078" s="58"/>
      <c r="G1078" s="135"/>
      <c r="H1078" s="129"/>
      <c r="I1078" s="129"/>
      <c r="J1078" s="130" t="b">
        <v>0</v>
      </c>
      <c r="K1078" s="58"/>
      <c r="L1078" s="131" t="str">
        <f t="shared" si="8"/>
        <v/>
      </c>
      <c r="M1078" s="108"/>
      <c r="N1078" s="109"/>
      <c r="O1078" s="109"/>
      <c r="P1078" s="109"/>
      <c r="Q1078" s="58"/>
      <c r="R1078" s="136" t="b">
        <v>0</v>
      </c>
      <c r="S1078" s="58"/>
      <c r="T1078" s="80"/>
      <c r="U1078" s="80"/>
      <c r="V1078" s="80"/>
      <c r="W1078" s="80"/>
      <c r="X1078" s="80"/>
      <c r="Y1078" s="80"/>
      <c r="Z1078" s="80"/>
      <c r="AA1078" s="81"/>
      <c r="AB1078" s="81"/>
      <c r="AC1078" s="81"/>
      <c r="AD1078" s="81"/>
      <c r="AE1078" s="81"/>
    </row>
    <row r="1079">
      <c r="A1079" s="16"/>
      <c r="B1079" s="127"/>
      <c r="C1079" s="127"/>
      <c r="D1079" s="108"/>
      <c r="E1079" s="109"/>
      <c r="F1079" s="58"/>
      <c r="G1079" s="135"/>
      <c r="H1079" s="129"/>
      <c r="I1079" s="129"/>
      <c r="J1079" s="130" t="b">
        <v>0</v>
      </c>
      <c r="K1079" s="58"/>
      <c r="L1079" s="131" t="str">
        <f t="shared" si="8"/>
        <v/>
      </c>
      <c r="M1079" s="108"/>
      <c r="N1079" s="109"/>
      <c r="O1079" s="109"/>
      <c r="P1079" s="109"/>
      <c r="Q1079" s="58"/>
      <c r="R1079" s="136" t="b">
        <v>0</v>
      </c>
      <c r="S1079" s="58"/>
      <c r="T1079" s="80"/>
      <c r="U1079" s="80"/>
      <c r="V1079" s="80"/>
      <c r="W1079" s="80"/>
      <c r="X1079" s="80"/>
      <c r="Y1079" s="80"/>
      <c r="Z1079" s="80"/>
      <c r="AA1079" s="81"/>
      <c r="AB1079" s="81"/>
      <c r="AC1079" s="81"/>
      <c r="AD1079" s="81"/>
      <c r="AE1079" s="81"/>
    </row>
    <row r="1080">
      <c r="A1080" s="16"/>
      <c r="B1080" s="127"/>
      <c r="C1080" s="127"/>
      <c r="D1080" s="108"/>
      <c r="E1080" s="109"/>
      <c r="F1080" s="58"/>
      <c r="G1080" s="135"/>
      <c r="H1080" s="129"/>
      <c r="I1080" s="129"/>
      <c r="J1080" s="130" t="b">
        <v>0</v>
      </c>
      <c r="K1080" s="58"/>
      <c r="L1080" s="131" t="str">
        <f t="shared" si="8"/>
        <v/>
      </c>
      <c r="M1080" s="108"/>
      <c r="N1080" s="109"/>
      <c r="O1080" s="109"/>
      <c r="P1080" s="109"/>
      <c r="Q1080" s="58"/>
      <c r="R1080" s="136" t="b">
        <v>0</v>
      </c>
      <c r="S1080" s="58"/>
      <c r="T1080" s="80"/>
      <c r="U1080" s="80"/>
      <c r="V1080" s="80"/>
      <c r="W1080" s="80"/>
      <c r="X1080" s="80"/>
      <c r="Y1080" s="80"/>
      <c r="Z1080" s="80"/>
      <c r="AA1080" s="81"/>
      <c r="AB1080" s="81"/>
      <c r="AC1080" s="81"/>
      <c r="AD1080" s="81"/>
      <c r="AE1080" s="81"/>
    </row>
    <row r="1081">
      <c r="A1081" s="16"/>
      <c r="B1081" s="127"/>
      <c r="C1081" s="127"/>
      <c r="D1081" s="108"/>
      <c r="E1081" s="109"/>
      <c r="F1081" s="58"/>
      <c r="G1081" s="135"/>
      <c r="H1081" s="129"/>
      <c r="I1081" s="129"/>
      <c r="J1081" s="130" t="b">
        <v>0</v>
      </c>
      <c r="K1081" s="58"/>
      <c r="L1081" s="131" t="str">
        <f t="shared" si="8"/>
        <v/>
      </c>
      <c r="M1081" s="108"/>
      <c r="N1081" s="109"/>
      <c r="O1081" s="109"/>
      <c r="P1081" s="109"/>
      <c r="Q1081" s="58"/>
      <c r="R1081" s="136" t="b">
        <v>0</v>
      </c>
      <c r="S1081" s="58"/>
      <c r="T1081" s="80"/>
      <c r="U1081" s="80"/>
      <c r="V1081" s="80"/>
      <c r="W1081" s="80"/>
      <c r="X1081" s="80"/>
      <c r="Y1081" s="80"/>
      <c r="Z1081" s="80"/>
      <c r="AA1081" s="81"/>
      <c r="AB1081" s="81"/>
      <c r="AC1081" s="81"/>
      <c r="AD1081" s="81"/>
      <c r="AE1081" s="81"/>
    </row>
    <row r="1082">
      <c r="A1082" s="16"/>
      <c r="B1082" s="127"/>
      <c r="C1082" s="127"/>
      <c r="D1082" s="108"/>
      <c r="E1082" s="109"/>
      <c r="F1082" s="58"/>
      <c r="G1082" s="135"/>
      <c r="H1082" s="129"/>
      <c r="I1082" s="129"/>
      <c r="J1082" s="130" t="b">
        <v>0</v>
      </c>
      <c r="K1082" s="58"/>
      <c r="L1082" s="131" t="str">
        <f t="shared" si="8"/>
        <v/>
      </c>
      <c r="M1082" s="108"/>
      <c r="N1082" s="109"/>
      <c r="O1082" s="109"/>
      <c r="P1082" s="109"/>
      <c r="Q1082" s="58"/>
      <c r="R1082" s="136" t="b">
        <v>0</v>
      </c>
      <c r="S1082" s="58"/>
      <c r="T1082" s="80"/>
      <c r="U1082" s="80"/>
      <c r="V1082" s="80"/>
      <c r="W1082" s="80"/>
      <c r="X1082" s="80"/>
      <c r="Y1082" s="80"/>
      <c r="Z1082" s="80"/>
      <c r="AA1082" s="81"/>
      <c r="AB1082" s="81"/>
      <c r="AC1082" s="81"/>
      <c r="AD1082" s="81"/>
      <c r="AE1082" s="81"/>
    </row>
    <row r="1083">
      <c r="A1083" s="16"/>
      <c r="B1083" s="127"/>
      <c r="C1083" s="127"/>
      <c r="D1083" s="108"/>
      <c r="E1083" s="109"/>
      <c r="F1083" s="58"/>
      <c r="G1083" s="135"/>
      <c r="H1083" s="129"/>
      <c r="I1083" s="129"/>
      <c r="J1083" s="130" t="b">
        <v>0</v>
      </c>
      <c r="K1083" s="58"/>
      <c r="L1083" s="131" t="str">
        <f t="shared" si="8"/>
        <v/>
      </c>
      <c r="M1083" s="108"/>
      <c r="N1083" s="109"/>
      <c r="O1083" s="109"/>
      <c r="P1083" s="109"/>
      <c r="Q1083" s="58"/>
      <c r="R1083" s="136" t="b">
        <v>0</v>
      </c>
      <c r="S1083" s="58"/>
      <c r="T1083" s="80"/>
      <c r="U1083" s="80"/>
      <c r="V1083" s="80"/>
      <c r="W1083" s="80"/>
      <c r="X1083" s="80"/>
      <c r="Y1083" s="80"/>
      <c r="Z1083" s="80"/>
      <c r="AA1083" s="81"/>
      <c r="AB1083" s="81"/>
      <c r="AC1083" s="81"/>
      <c r="AD1083" s="81"/>
      <c r="AE1083" s="81"/>
    </row>
    <row r="1084">
      <c r="A1084" s="16"/>
      <c r="B1084" s="127"/>
      <c r="C1084" s="127"/>
      <c r="D1084" s="108"/>
      <c r="E1084" s="109"/>
      <c r="F1084" s="58"/>
      <c r="G1084" s="135"/>
      <c r="H1084" s="129"/>
      <c r="I1084" s="129"/>
      <c r="J1084" s="130" t="b">
        <v>0</v>
      </c>
      <c r="K1084" s="58"/>
      <c r="L1084" s="131" t="str">
        <f t="shared" si="8"/>
        <v/>
      </c>
      <c r="M1084" s="108"/>
      <c r="N1084" s="109"/>
      <c r="O1084" s="109"/>
      <c r="P1084" s="109"/>
      <c r="Q1084" s="58"/>
      <c r="R1084" s="136" t="b">
        <v>0</v>
      </c>
      <c r="S1084" s="58"/>
      <c r="T1084" s="80"/>
      <c r="U1084" s="80"/>
      <c r="V1084" s="80"/>
      <c r="W1084" s="80"/>
      <c r="X1084" s="80"/>
      <c r="Y1084" s="80"/>
      <c r="Z1084" s="80"/>
      <c r="AA1084" s="81"/>
      <c r="AB1084" s="81"/>
      <c r="AC1084" s="81"/>
      <c r="AD1084" s="81"/>
      <c r="AE1084" s="81"/>
    </row>
    <row r="1085">
      <c r="A1085" s="16"/>
      <c r="B1085" s="127"/>
      <c r="C1085" s="127"/>
      <c r="D1085" s="108"/>
      <c r="E1085" s="109"/>
      <c r="F1085" s="58"/>
      <c r="G1085" s="135"/>
      <c r="H1085" s="129"/>
      <c r="I1085" s="129"/>
      <c r="J1085" s="130" t="b">
        <v>0</v>
      </c>
      <c r="K1085" s="58"/>
      <c r="L1085" s="131" t="str">
        <f t="shared" si="8"/>
        <v/>
      </c>
      <c r="M1085" s="108"/>
      <c r="N1085" s="109"/>
      <c r="O1085" s="109"/>
      <c r="P1085" s="109"/>
      <c r="Q1085" s="58"/>
      <c r="R1085" s="136" t="b">
        <v>0</v>
      </c>
      <c r="S1085" s="58"/>
      <c r="T1085" s="80"/>
      <c r="U1085" s="80"/>
      <c r="V1085" s="80"/>
      <c r="W1085" s="80"/>
      <c r="X1085" s="80"/>
      <c r="Y1085" s="80"/>
      <c r="Z1085" s="80"/>
      <c r="AA1085" s="81"/>
      <c r="AB1085" s="81"/>
      <c r="AC1085" s="81"/>
      <c r="AD1085" s="81"/>
      <c r="AE1085" s="81"/>
    </row>
    <row r="1086">
      <c r="A1086" s="16"/>
      <c r="B1086" s="127"/>
      <c r="C1086" s="127"/>
      <c r="D1086" s="108"/>
      <c r="E1086" s="109"/>
      <c r="F1086" s="58"/>
      <c r="G1086" s="135"/>
      <c r="H1086" s="129"/>
      <c r="I1086" s="129"/>
      <c r="J1086" s="130" t="b">
        <v>0</v>
      </c>
      <c r="K1086" s="58"/>
      <c r="L1086" s="131" t="str">
        <f t="shared" si="8"/>
        <v/>
      </c>
      <c r="M1086" s="108"/>
      <c r="N1086" s="109"/>
      <c r="O1086" s="109"/>
      <c r="P1086" s="109"/>
      <c r="Q1086" s="58"/>
      <c r="R1086" s="136" t="b">
        <v>0</v>
      </c>
      <c r="S1086" s="58"/>
      <c r="T1086" s="80"/>
      <c r="U1086" s="80"/>
      <c r="V1086" s="80"/>
      <c r="W1086" s="80"/>
      <c r="X1086" s="80"/>
      <c r="Y1086" s="80"/>
      <c r="Z1086" s="80"/>
      <c r="AA1086" s="81"/>
      <c r="AB1086" s="81"/>
      <c r="AC1086" s="81"/>
      <c r="AD1086" s="81"/>
      <c r="AE1086" s="81"/>
    </row>
    <row r="1087">
      <c r="A1087" s="16"/>
      <c r="B1087" s="127"/>
      <c r="C1087" s="127"/>
      <c r="D1087" s="108"/>
      <c r="E1087" s="109"/>
      <c r="F1087" s="58"/>
      <c r="G1087" s="135"/>
      <c r="H1087" s="129"/>
      <c r="I1087" s="129"/>
      <c r="J1087" s="130" t="b">
        <v>0</v>
      </c>
      <c r="K1087" s="58"/>
      <c r="L1087" s="131" t="str">
        <f t="shared" si="8"/>
        <v/>
      </c>
      <c r="M1087" s="108"/>
      <c r="N1087" s="109"/>
      <c r="O1087" s="109"/>
      <c r="P1087" s="109"/>
      <c r="Q1087" s="58"/>
      <c r="R1087" s="136" t="b">
        <v>0</v>
      </c>
      <c r="S1087" s="58"/>
      <c r="T1087" s="80"/>
      <c r="U1087" s="80"/>
      <c r="V1087" s="80"/>
      <c r="W1087" s="80"/>
      <c r="X1087" s="80"/>
      <c r="Y1087" s="80"/>
      <c r="Z1087" s="80"/>
      <c r="AA1087" s="81"/>
      <c r="AB1087" s="81"/>
      <c r="AC1087" s="81"/>
      <c r="AD1087" s="81"/>
      <c r="AE1087" s="81"/>
    </row>
    <row r="1088">
      <c r="A1088" s="16"/>
      <c r="B1088" s="127"/>
      <c r="C1088" s="127"/>
      <c r="D1088" s="108"/>
      <c r="E1088" s="109"/>
      <c r="F1088" s="58"/>
      <c r="G1088" s="135"/>
      <c r="H1088" s="129"/>
      <c r="I1088" s="129"/>
      <c r="J1088" s="130" t="b">
        <v>0</v>
      </c>
      <c r="K1088" s="58"/>
      <c r="L1088" s="131" t="str">
        <f t="shared" si="8"/>
        <v/>
      </c>
      <c r="M1088" s="108"/>
      <c r="N1088" s="109"/>
      <c r="O1088" s="109"/>
      <c r="P1088" s="109"/>
      <c r="Q1088" s="58"/>
      <c r="R1088" s="136" t="b">
        <v>0</v>
      </c>
      <c r="S1088" s="58"/>
      <c r="T1088" s="80"/>
      <c r="U1088" s="80"/>
      <c r="V1088" s="80"/>
      <c r="W1088" s="80"/>
      <c r="X1088" s="80"/>
      <c r="Y1088" s="80"/>
      <c r="Z1088" s="80"/>
      <c r="AA1088" s="81"/>
      <c r="AB1088" s="81"/>
      <c r="AC1088" s="81"/>
      <c r="AD1088" s="81"/>
      <c r="AE1088" s="81"/>
    </row>
    <row r="1089">
      <c r="A1089" s="16"/>
      <c r="B1089" s="127"/>
      <c r="C1089" s="127"/>
      <c r="D1089" s="108"/>
      <c r="E1089" s="109"/>
      <c r="F1089" s="58"/>
      <c r="G1089" s="135"/>
      <c r="H1089" s="129"/>
      <c r="I1089" s="129"/>
      <c r="J1089" s="130" t="b">
        <v>0</v>
      </c>
      <c r="K1089" s="58"/>
      <c r="L1089" s="131" t="str">
        <f t="shared" si="8"/>
        <v/>
      </c>
      <c r="M1089" s="108"/>
      <c r="N1089" s="109"/>
      <c r="O1089" s="109"/>
      <c r="P1089" s="109"/>
      <c r="Q1089" s="58"/>
      <c r="R1089" s="136" t="b">
        <v>0</v>
      </c>
      <c r="S1089" s="58"/>
      <c r="T1089" s="80"/>
      <c r="U1089" s="80"/>
      <c r="V1089" s="80"/>
      <c r="W1089" s="80"/>
      <c r="X1089" s="80"/>
      <c r="Y1089" s="80"/>
      <c r="Z1089" s="80"/>
      <c r="AA1089" s="81"/>
      <c r="AB1089" s="81"/>
      <c r="AC1089" s="81"/>
      <c r="AD1089" s="81"/>
      <c r="AE1089" s="81"/>
    </row>
    <row r="1090">
      <c r="A1090" s="16"/>
      <c r="B1090" s="127"/>
      <c r="C1090" s="127"/>
      <c r="D1090" s="108"/>
      <c r="E1090" s="109"/>
      <c r="F1090" s="58"/>
      <c r="G1090" s="135"/>
      <c r="H1090" s="129"/>
      <c r="I1090" s="129"/>
      <c r="J1090" s="130" t="b">
        <v>0</v>
      </c>
      <c r="K1090" s="58"/>
      <c r="L1090" s="131" t="str">
        <f t="shared" si="8"/>
        <v/>
      </c>
      <c r="M1090" s="108"/>
      <c r="N1090" s="109"/>
      <c r="O1090" s="109"/>
      <c r="P1090" s="109"/>
      <c r="Q1090" s="58"/>
      <c r="R1090" s="136" t="b">
        <v>0</v>
      </c>
      <c r="S1090" s="58"/>
      <c r="T1090" s="80"/>
      <c r="U1090" s="80"/>
      <c r="V1090" s="80"/>
      <c r="W1090" s="80"/>
      <c r="X1090" s="80"/>
      <c r="Y1090" s="80"/>
      <c r="Z1090" s="80"/>
      <c r="AA1090" s="81"/>
      <c r="AB1090" s="81"/>
      <c r="AC1090" s="81"/>
      <c r="AD1090" s="81"/>
      <c r="AE1090" s="81"/>
    </row>
    <row r="1091">
      <c r="A1091" s="16"/>
      <c r="B1091" s="127"/>
      <c r="C1091" s="127"/>
      <c r="D1091" s="108"/>
      <c r="E1091" s="109"/>
      <c r="F1091" s="58"/>
      <c r="G1091" s="135"/>
      <c r="H1091" s="129"/>
      <c r="I1091" s="129"/>
      <c r="J1091" s="130" t="b">
        <v>0</v>
      </c>
      <c r="K1091" s="58"/>
      <c r="L1091" s="131" t="str">
        <f t="shared" si="8"/>
        <v/>
      </c>
      <c r="M1091" s="108"/>
      <c r="N1091" s="109"/>
      <c r="O1091" s="109"/>
      <c r="P1091" s="109"/>
      <c r="Q1091" s="58"/>
      <c r="R1091" s="136" t="b">
        <v>0</v>
      </c>
      <c r="S1091" s="58"/>
      <c r="T1091" s="80"/>
      <c r="U1091" s="80"/>
      <c r="V1091" s="80"/>
      <c r="W1091" s="80"/>
      <c r="X1091" s="80"/>
      <c r="Y1091" s="80"/>
      <c r="Z1091" s="80"/>
      <c r="AA1091" s="81"/>
      <c r="AB1091" s="81"/>
      <c r="AC1091" s="81"/>
      <c r="AD1091" s="81"/>
      <c r="AE1091" s="81"/>
    </row>
    <row r="1092">
      <c r="A1092" s="16"/>
      <c r="B1092" s="127"/>
      <c r="C1092" s="127"/>
      <c r="D1092" s="108"/>
      <c r="E1092" s="109"/>
      <c r="F1092" s="58"/>
      <c r="G1092" s="135"/>
      <c r="H1092" s="129"/>
      <c r="I1092" s="129"/>
      <c r="J1092" s="130" t="b">
        <v>0</v>
      </c>
      <c r="K1092" s="58"/>
      <c r="L1092" s="131" t="str">
        <f t="shared" si="8"/>
        <v/>
      </c>
      <c r="M1092" s="108"/>
      <c r="N1092" s="109"/>
      <c r="O1092" s="109"/>
      <c r="P1092" s="109"/>
      <c r="Q1092" s="58"/>
      <c r="R1092" s="136" t="b">
        <v>0</v>
      </c>
      <c r="S1092" s="58"/>
      <c r="T1092" s="80"/>
      <c r="U1092" s="80"/>
      <c r="V1092" s="80"/>
      <c r="W1092" s="80"/>
      <c r="X1092" s="80"/>
      <c r="Y1092" s="80"/>
      <c r="Z1092" s="80"/>
      <c r="AA1092" s="81"/>
      <c r="AB1092" s="81"/>
      <c r="AC1092" s="81"/>
      <c r="AD1092" s="81"/>
      <c r="AE1092" s="81"/>
    </row>
    <row r="1093">
      <c r="A1093" s="16"/>
      <c r="B1093" s="127"/>
      <c r="C1093" s="127"/>
      <c r="D1093" s="108"/>
      <c r="E1093" s="109"/>
      <c r="F1093" s="58"/>
      <c r="G1093" s="135"/>
      <c r="H1093" s="129"/>
      <c r="I1093" s="129"/>
      <c r="J1093" s="130" t="b">
        <v>0</v>
      </c>
      <c r="K1093" s="58"/>
      <c r="L1093" s="131" t="str">
        <f t="shared" si="8"/>
        <v/>
      </c>
      <c r="M1093" s="108"/>
      <c r="N1093" s="109"/>
      <c r="O1093" s="109"/>
      <c r="P1093" s="109"/>
      <c r="Q1093" s="58"/>
      <c r="R1093" s="136" t="b">
        <v>0</v>
      </c>
      <c r="S1093" s="58"/>
      <c r="T1093" s="80"/>
      <c r="U1093" s="80"/>
      <c r="V1093" s="80"/>
      <c r="W1093" s="80"/>
      <c r="X1093" s="80"/>
      <c r="Y1093" s="80"/>
      <c r="Z1093" s="80"/>
      <c r="AA1093" s="81"/>
      <c r="AB1093" s="81"/>
      <c r="AC1093" s="81"/>
      <c r="AD1093" s="81"/>
      <c r="AE1093" s="81"/>
    </row>
    <row r="1094">
      <c r="A1094" s="16"/>
      <c r="B1094" s="127"/>
      <c r="C1094" s="127"/>
      <c r="D1094" s="108"/>
      <c r="E1094" s="109"/>
      <c r="F1094" s="58"/>
      <c r="G1094" s="135"/>
      <c r="H1094" s="129"/>
      <c r="I1094" s="129"/>
      <c r="J1094" s="130" t="b">
        <v>0</v>
      </c>
      <c r="K1094" s="58"/>
      <c r="L1094" s="131" t="str">
        <f t="shared" si="8"/>
        <v/>
      </c>
      <c r="M1094" s="108"/>
      <c r="N1094" s="109"/>
      <c r="O1094" s="109"/>
      <c r="P1094" s="109"/>
      <c r="Q1094" s="58"/>
      <c r="R1094" s="136" t="b">
        <v>0</v>
      </c>
      <c r="S1094" s="58"/>
      <c r="T1094" s="80"/>
      <c r="U1094" s="80"/>
      <c r="V1094" s="80"/>
      <c r="W1094" s="80"/>
      <c r="X1094" s="80"/>
      <c r="Y1094" s="80"/>
      <c r="Z1094" s="80"/>
      <c r="AA1094" s="81"/>
      <c r="AB1094" s="81"/>
      <c r="AC1094" s="81"/>
      <c r="AD1094" s="81"/>
      <c r="AE1094" s="81"/>
    </row>
    <row r="1095">
      <c r="A1095" s="16"/>
      <c r="B1095" s="127"/>
      <c r="C1095" s="127"/>
      <c r="D1095" s="108"/>
      <c r="E1095" s="109"/>
      <c r="F1095" s="58"/>
      <c r="G1095" s="135"/>
      <c r="H1095" s="129"/>
      <c r="I1095" s="129"/>
      <c r="J1095" s="130" t="b">
        <v>0</v>
      </c>
      <c r="K1095" s="58"/>
      <c r="L1095" s="131" t="str">
        <f t="shared" si="8"/>
        <v/>
      </c>
      <c r="M1095" s="108"/>
      <c r="N1095" s="109"/>
      <c r="O1095" s="109"/>
      <c r="P1095" s="109"/>
      <c r="Q1095" s="58"/>
      <c r="R1095" s="136" t="b">
        <v>0</v>
      </c>
      <c r="S1095" s="58"/>
      <c r="T1095" s="80"/>
      <c r="U1095" s="80"/>
      <c r="V1095" s="80"/>
      <c r="W1095" s="80"/>
      <c r="X1095" s="80"/>
      <c r="Y1095" s="80"/>
      <c r="Z1095" s="80"/>
      <c r="AA1095" s="81"/>
      <c r="AB1095" s="81"/>
      <c r="AC1095" s="81"/>
      <c r="AD1095" s="81"/>
      <c r="AE1095" s="81"/>
    </row>
    <row r="1096">
      <c r="A1096" s="16"/>
      <c r="B1096" s="127"/>
      <c r="C1096" s="127"/>
      <c r="D1096" s="108"/>
      <c r="E1096" s="109"/>
      <c r="F1096" s="58"/>
      <c r="G1096" s="135"/>
      <c r="H1096" s="129"/>
      <c r="I1096" s="129"/>
      <c r="J1096" s="130" t="b">
        <v>0</v>
      </c>
      <c r="K1096" s="58"/>
      <c r="L1096" s="131" t="str">
        <f t="shared" si="8"/>
        <v/>
      </c>
      <c r="M1096" s="108"/>
      <c r="N1096" s="109"/>
      <c r="O1096" s="109"/>
      <c r="P1096" s="109"/>
      <c r="Q1096" s="58"/>
      <c r="R1096" s="136" t="b">
        <v>0</v>
      </c>
      <c r="S1096" s="58"/>
      <c r="T1096" s="80"/>
      <c r="U1096" s="80"/>
      <c r="V1096" s="80"/>
      <c r="W1096" s="80"/>
      <c r="X1096" s="80"/>
      <c r="Y1096" s="80"/>
      <c r="Z1096" s="80"/>
      <c r="AA1096" s="81"/>
      <c r="AB1096" s="81"/>
      <c r="AC1096" s="81"/>
      <c r="AD1096" s="81"/>
      <c r="AE1096" s="81"/>
    </row>
    <row r="1097">
      <c r="A1097" s="16"/>
      <c r="B1097" s="127"/>
      <c r="C1097" s="127"/>
      <c r="D1097" s="108"/>
      <c r="E1097" s="109"/>
      <c r="F1097" s="58"/>
      <c r="G1097" s="135"/>
      <c r="H1097" s="129"/>
      <c r="I1097" s="129"/>
      <c r="J1097" s="130" t="b">
        <v>0</v>
      </c>
      <c r="K1097" s="58"/>
      <c r="L1097" s="131" t="str">
        <f t="shared" si="8"/>
        <v/>
      </c>
      <c r="M1097" s="108"/>
      <c r="N1097" s="109"/>
      <c r="O1097" s="109"/>
      <c r="P1097" s="109"/>
      <c r="Q1097" s="58"/>
      <c r="R1097" s="136" t="b">
        <v>0</v>
      </c>
      <c r="S1097" s="58"/>
      <c r="T1097" s="80"/>
      <c r="U1097" s="80"/>
      <c r="V1097" s="80"/>
      <c r="W1097" s="80"/>
      <c r="X1097" s="80"/>
      <c r="Y1097" s="80"/>
      <c r="Z1097" s="80"/>
      <c r="AA1097" s="81"/>
      <c r="AB1097" s="81"/>
      <c r="AC1097" s="81"/>
      <c r="AD1097" s="81"/>
      <c r="AE1097" s="81"/>
    </row>
    <row r="1098">
      <c r="A1098" s="16"/>
      <c r="B1098" s="127"/>
      <c r="C1098" s="127"/>
      <c r="D1098" s="108"/>
      <c r="E1098" s="109"/>
      <c r="F1098" s="58"/>
      <c r="G1098" s="135"/>
      <c r="H1098" s="129"/>
      <c r="I1098" s="129"/>
      <c r="J1098" s="130" t="b">
        <v>0</v>
      </c>
      <c r="K1098" s="58"/>
      <c r="L1098" s="131" t="str">
        <f t="shared" si="8"/>
        <v/>
      </c>
      <c r="M1098" s="108"/>
      <c r="N1098" s="109"/>
      <c r="O1098" s="109"/>
      <c r="P1098" s="109"/>
      <c r="Q1098" s="58"/>
      <c r="R1098" s="136" t="b">
        <v>0</v>
      </c>
      <c r="S1098" s="58"/>
      <c r="T1098" s="80"/>
      <c r="U1098" s="80"/>
      <c r="V1098" s="80"/>
      <c r="W1098" s="80"/>
      <c r="X1098" s="80"/>
      <c r="Y1098" s="80"/>
      <c r="Z1098" s="80"/>
      <c r="AA1098" s="81"/>
      <c r="AB1098" s="81"/>
      <c r="AC1098" s="81"/>
      <c r="AD1098" s="81"/>
      <c r="AE1098" s="81"/>
    </row>
    <row r="1099">
      <c r="A1099" s="16"/>
      <c r="B1099" s="127"/>
      <c r="C1099" s="127"/>
      <c r="D1099" s="108"/>
      <c r="E1099" s="109"/>
      <c r="F1099" s="58"/>
      <c r="G1099" s="135"/>
      <c r="H1099" s="129"/>
      <c r="I1099" s="129"/>
      <c r="J1099" s="130" t="b">
        <v>0</v>
      </c>
      <c r="K1099" s="58"/>
      <c r="L1099" s="131" t="str">
        <f t="shared" si="8"/>
        <v/>
      </c>
      <c r="M1099" s="108"/>
      <c r="N1099" s="109"/>
      <c r="O1099" s="109"/>
      <c r="P1099" s="109"/>
      <c r="Q1099" s="58"/>
      <c r="R1099" s="136" t="b">
        <v>0</v>
      </c>
      <c r="S1099" s="58"/>
      <c r="T1099" s="80"/>
      <c r="U1099" s="80"/>
      <c r="V1099" s="80"/>
      <c r="W1099" s="80"/>
      <c r="X1099" s="80"/>
      <c r="Y1099" s="80"/>
      <c r="Z1099" s="80"/>
      <c r="AA1099" s="81"/>
      <c r="AB1099" s="81"/>
      <c r="AC1099" s="81"/>
      <c r="AD1099" s="81"/>
      <c r="AE1099" s="81"/>
    </row>
    <row r="1100">
      <c r="A1100" s="16"/>
      <c r="B1100" s="127"/>
      <c r="C1100" s="127"/>
      <c r="D1100" s="108"/>
      <c r="E1100" s="109"/>
      <c r="F1100" s="58"/>
      <c r="G1100" s="135"/>
      <c r="H1100" s="129"/>
      <c r="I1100" s="129"/>
      <c r="J1100" s="130" t="b">
        <v>0</v>
      </c>
      <c r="K1100" s="58"/>
      <c r="L1100" s="131" t="str">
        <f t="shared" si="8"/>
        <v/>
      </c>
      <c r="M1100" s="108"/>
      <c r="N1100" s="109"/>
      <c r="O1100" s="109"/>
      <c r="P1100" s="109"/>
      <c r="Q1100" s="58"/>
      <c r="R1100" s="136" t="b">
        <v>0</v>
      </c>
      <c r="S1100" s="58"/>
      <c r="T1100" s="80"/>
      <c r="U1100" s="80"/>
      <c r="V1100" s="80"/>
      <c r="W1100" s="80"/>
      <c r="X1100" s="80"/>
      <c r="Y1100" s="80"/>
      <c r="Z1100" s="80"/>
      <c r="AA1100" s="81"/>
      <c r="AB1100" s="81"/>
      <c r="AC1100" s="81"/>
      <c r="AD1100" s="81"/>
      <c r="AE1100" s="81"/>
    </row>
    <row r="1101">
      <c r="A1101" s="16"/>
      <c r="B1101" s="127"/>
      <c r="C1101" s="127"/>
      <c r="D1101" s="108"/>
      <c r="E1101" s="109"/>
      <c r="F1101" s="58"/>
      <c r="G1101" s="135"/>
      <c r="H1101" s="129"/>
      <c r="I1101" s="129"/>
      <c r="J1101" s="130" t="b">
        <v>0</v>
      </c>
      <c r="K1101" s="58"/>
      <c r="L1101" s="131" t="str">
        <f t="shared" si="8"/>
        <v/>
      </c>
      <c r="M1101" s="108"/>
      <c r="N1101" s="109"/>
      <c r="O1101" s="109"/>
      <c r="P1101" s="109"/>
      <c r="Q1101" s="58"/>
      <c r="R1101" s="136" t="b">
        <v>0</v>
      </c>
      <c r="S1101" s="58"/>
      <c r="T1101" s="80"/>
      <c r="U1101" s="80"/>
      <c r="V1101" s="80"/>
      <c r="W1101" s="80"/>
      <c r="X1101" s="80"/>
      <c r="Y1101" s="80"/>
      <c r="Z1101" s="80"/>
      <c r="AA1101" s="81"/>
      <c r="AB1101" s="81"/>
      <c r="AC1101" s="81"/>
      <c r="AD1101" s="81"/>
      <c r="AE1101" s="81"/>
    </row>
    <row r="1102">
      <c r="A1102" s="16"/>
      <c r="B1102" s="127"/>
      <c r="C1102" s="127"/>
      <c r="D1102" s="108"/>
      <c r="E1102" s="109"/>
      <c r="F1102" s="58"/>
      <c r="G1102" s="135"/>
      <c r="H1102" s="129"/>
      <c r="I1102" s="129"/>
      <c r="J1102" s="130" t="b">
        <v>0</v>
      </c>
      <c r="K1102" s="58"/>
      <c r="L1102" s="131" t="str">
        <f t="shared" si="8"/>
        <v/>
      </c>
      <c r="M1102" s="108"/>
      <c r="N1102" s="109"/>
      <c r="O1102" s="109"/>
      <c r="P1102" s="109"/>
      <c r="Q1102" s="58"/>
      <c r="R1102" s="136" t="b">
        <v>0</v>
      </c>
      <c r="S1102" s="58"/>
      <c r="T1102" s="80"/>
      <c r="U1102" s="80"/>
      <c r="V1102" s="80"/>
      <c r="W1102" s="80"/>
      <c r="X1102" s="80"/>
      <c r="Y1102" s="80"/>
      <c r="Z1102" s="80"/>
      <c r="AA1102" s="81"/>
      <c r="AB1102" s="81"/>
      <c r="AC1102" s="81"/>
      <c r="AD1102" s="81"/>
      <c r="AE1102" s="81"/>
    </row>
    <row r="1103">
      <c r="A1103" s="16"/>
      <c r="B1103" s="127"/>
      <c r="C1103" s="127"/>
      <c r="D1103" s="108"/>
      <c r="E1103" s="109"/>
      <c r="F1103" s="58"/>
      <c r="G1103" s="135"/>
      <c r="H1103" s="129"/>
      <c r="I1103" s="129"/>
      <c r="J1103" s="130" t="b">
        <v>0</v>
      </c>
      <c r="K1103" s="58"/>
      <c r="L1103" s="131" t="str">
        <f t="shared" si="8"/>
        <v/>
      </c>
      <c r="M1103" s="108"/>
      <c r="N1103" s="109"/>
      <c r="O1103" s="109"/>
      <c r="P1103" s="109"/>
      <c r="Q1103" s="58"/>
      <c r="R1103" s="136" t="b">
        <v>0</v>
      </c>
      <c r="S1103" s="58"/>
      <c r="T1103" s="80"/>
      <c r="U1103" s="80"/>
      <c r="V1103" s="80"/>
      <c r="W1103" s="80"/>
      <c r="X1103" s="80"/>
      <c r="Y1103" s="80"/>
      <c r="Z1103" s="80"/>
      <c r="AA1103" s="81"/>
      <c r="AB1103" s="81"/>
      <c r="AC1103" s="81"/>
      <c r="AD1103" s="81"/>
      <c r="AE1103" s="81"/>
    </row>
    <row r="1104">
      <c r="A1104" s="16"/>
      <c r="B1104" s="127"/>
      <c r="C1104" s="127"/>
      <c r="D1104" s="108"/>
      <c r="E1104" s="109"/>
      <c r="F1104" s="58"/>
      <c r="G1104" s="135"/>
      <c r="H1104" s="129"/>
      <c r="I1104" s="129"/>
      <c r="J1104" s="130" t="b">
        <v>0</v>
      </c>
      <c r="K1104" s="58"/>
      <c r="L1104" s="131" t="str">
        <f t="shared" si="8"/>
        <v/>
      </c>
      <c r="M1104" s="108"/>
      <c r="N1104" s="109"/>
      <c r="O1104" s="109"/>
      <c r="P1104" s="109"/>
      <c r="Q1104" s="58"/>
      <c r="R1104" s="136" t="b">
        <v>0</v>
      </c>
      <c r="S1104" s="58"/>
      <c r="T1104" s="80"/>
      <c r="U1104" s="80"/>
      <c r="V1104" s="80"/>
      <c r="W1104" s="80"/>
      <c r="X1104" s="80"/>
      <c r="Y1104" s="80"/>
      <c r="Z1104" s="80"/>
      <c r="AA1104" s="81"/>
      <c r="AB1104" s="81"/>
      <c r="AC1104" s="81"/>
      <c r="AD1104" s="81"/>
      <c r="AE1104" s="81"/>
    </row>
    <row r="1105">
      <c r="A1105" s="16"/>
      <c r="B1105" s="127"/>
      <c r="C1105" s="127"/>
      <c r="D1105" s="108"/>
      <c r="E1105" s="109"/>
      <c r="F1105" s="58"/>
      <c r="G1105" s="135"/>
      <c r="H1105" s="129"/>
      <c r="I1105" s="129"/>
      <c r="J1105" s="130" t="b">
        <v>0</v>
      </c>
      <c r="K1105" s="58"/>
      <c r="L1105" s="131" t="str">
        <f t="shared" si="8"/>
        <v/>
      </c>
      <c r="M1105" s="108"/>
      <c r="N1105" s="109"/>
      <c r="O1105" s="109"/>
      <c r="P1105" s="109"/>
      <c r="Q1105" s="58"/>
      <c r="R1105" s="136" t="b">
        <v>0</v>
      </c>
      <c r="S1105" s="58"/>
      <c r="T1105" s="80"/>
      <c r="U1105" s="80"/>
      <c r="V1105" s="80"/>
      <c r="W1105" s="80"/>
      <c r="X1105" s="80"/>
      <c r="Y1105" s="80"/>
      <c r="Z1105" s="80"/>
      <c r="AA1105" s="81"/>
      <c r="AB1105" s="81"/>
      <c r="AC1105" s="81"/>
      <c r="AD1105" s="81"/>
      <c r="AE1105" s="81"/>
    </row>
    <row r="1106">
      <c r="A1106" s="16"/>
      <c r="B1106" s="127"/>
      <c r="C1106" s="127"/>
      <c r="D1106" s="108"/>
      <c r="E1106" s="109"/>
      <c r="F1106" s="58"/>
      <c r="G1106" s="135"/>
      <c r="H1106" s="129"/>
      <c r="I1106" s="129"/>
      <c r="J1106" s="130" t="b">
        <v>0</v>
      </c>
      <c r="K1106" s="58"/>
      <c r="L1106" s="131" t="str">
        <f t="shared" si="8"/>
        <v/>
      </c>
      <c r="M1106" s="108"/>
      <c r="N1106" s="109"/>
      <c r="O1106" s="109"/>
      <c r="P1106" s="109"/>
      <c r="Q1106" s="58"/>
      <c r="R1106" s="136" t="b">
        <v>0</v>
      </c>
      <c r="S1106" s="58"/>
      <c r="T1106" s="80"/>
      <c r="U1106" s="80"/>
      <c r="V1106" s="80"/>
      <c r="W1106" s="80"/>
      <c r="X1106" s="80"/>
      <c r="Y1106" s="80"/>
      <c r="Z1106" s="80"/>
      <c r="AA1106" s="81"/>
      <c r="AB1106" s="81"/>
      <c r="AC1106" s="81"/>
      <c r="AD1106" s="81"/>
      <c r="AE1106" s="81"/>
    </row>
    <row r="1107">
      <c r="A1107" s="16"/>
      <c r="B1107" s="127"/>
      <c r="C1107" s="127"/>
      <c r="D1107" s="108"/>
      <c r="E1107" s="109"/>
      <c r="F1107" s="58"/>
      <c r="G1107" s="135"/>
      <c r="H1107" s="129"/>
      <c r="I1107" s="129"/>
      <c r="J1107" s="130" t="b">
        <v>0</v>
      </c>
      <c r="K1107" s="58"/>
      <c r="L1107" s="131" t="str">
        <f t="shared" si="8"/>
        <v/>
      </c>
      <c r="M1107" s="108"/>
      <c r="N1107" s="109"/>
      <c r="O1107" s="109"/>
      <c r="P1107" s="109"/>
      <c r="Q1107" s="58"/>
      <c r="R1107" s="136" t="b">
        <v>0</v>
      </c>
      <c r="S1107" s="58"/>
      <c r="T1107" s="80"/>
      <c r="U1107" s="80"/>
      <c r="V1107" s="80"/>
      <c r="W1107" s="80"/>
      <c r="X1107" s="80"/>
      <c r="Y1107" s="80"/>
      <c r="Z1107" s="80"/>
      <c r="AA1107" s="81"/>
      <c r="AB1107" s="81"/>
      <c r="AC1107" s="81"/>
      <c r="AD1107" s="81"/>
      <c r="AE1107" s="81"/>
    </row>
    <row r="1108">
      <c r="A1108" s="16"/>
      <c r="B1108" s="127"/>
      <c r="C1108" s="127"/>
      <c r="D1108" s="108"/>
      <c r="E1108" s="109"/>
      <c r="F1108" s="58"/>
      <c r="G1108" s="135"/>
      <c r="H1108" s="129"/>
      <c r="I1108" s="129"/>
      <c r="J1108" s="130" t="b">
        <v>0</v>
      </c>
      <c r="K1108" s="58"/>
      <c r="L1108" s="131" t="str">
        <f t="shared" si="8"/>
        <v/>
      </c>
      <c r="M1108" s="108"/>
      <c r="N1108" s="109"/>
      <c r="O1108" s="109"/>
      <c r="P1108" s="109"/>
      <c r="Q1108" s="58"/>
      <c r="R1108" s="136" t="b">
        <v>0</v>
      </c>
      <c r="S1108" s="58"/>
      <c r="T1108" s="80"/>
      <c r="U1108" s="80"/>
      <c r="V1108" s="80"/>
      <c r="W1108" s="80"/>
      <c r="X1108" s="80"/>
      <c r="Y1108" s="80"/>
      <c r="Z1108" s="80"/>
      <c r="AA1108" s="81"/>
      <c r="AB1108" s="81"/>
      <c r="AC1108" s="81"/>
      <c r="AD1108" s="81"/>
      <c r="AE1108" s="81"/>
    </row>
    <row r="1109">
      <c r="A1109" s="16"/>
      <c r="B1109" s="127"/>
      <c r="C1109" s="127"/>
      <c r="D1109" s="108"/>
      <c r="E1109" s="109"/>
      <c r="F1109" s="58"/>
      <c r="G1109" s="135"/>
      <c r="H1109" s="129"/>
      <c r="I1109" s="129"/>
      <c r="J1109" s="130" t="b">
        <v>0</v>
      </c>
      <c r="K1109" s="58"/>
      <c r="L1109" s="131" t="str">
        <f t="shared" si="8"/>
        <v/>
      </c>
      <c r="M1109" s="108"/>
      <c r="N1109" s="109"/>
      <c r="O1109" s="109"/>
      <c r="P1109" s="109"/>
      <c r="Q1109" s="58"/>
      <c r="R1109" s="136" t="b">
        <v>0</v>
      </c>
      <c r="S1109" s="58"/>
      <c r="T1109" s="80"/>
      <c r="U1109" s="80"/>
      <c r="V1109" s="80"/>
      <c r="W1109" s="80"/>
      <c r="X1109" s="80"/>
      <c r="Y1109" s="80"/>
      <c r="Z1109" s="80"/>
      <c r="AA1109" s="81"/>
      <c r="AB1109" s="81"/>
      <c r="AC1109" s="81"/>
      <c r="AD1109" s="81"/>
      <c r="AE1109" s="81"/>
    </row>
    <row r="1110">
      <c r="A1110" s="16"/>
      <c r="B1110" s="127"/>
      <c r="C1110" s="127"/>
      <c r="D1110" s="108"/>
      <c r="E1110" s="109"/>
      <c r="F1110" s="58"/>
      <c r="G1110" s="135"/>
      <c r="H1110" s="129"/>
      <c r="I1110" s="129"/>
      <c r="J1110" s="130" t="b">
        <v>0</v>
      </c>
      <c r="K1110" s="58"/>
      <c r="L1110" s="131" t="str">
        <f t="shared" si="8"/>
        <v/>
      </c>
      <c r="M1110" s="108"/>
      <c r="N1110" s="109"/>
      <c r="O1110" s="109"/>
      <c r="P1110" s="109"/>
      <c r="Q1110" s="58"/>
      <c r="R1110" s="136" t="b">
        <v>0</v>
      </c>
      <c r="S1110" s="58"/>
      <c r="T1110" s="80"/>
      <c r="U1110" s="80"/>
      <c r="V1110" s="80"/>
      <c r="W1110" s="80"/>
      <c r="X1110" s="80"/>
      <c r="Y1110" s="80"/>
      <c r="Z1110" s="80"/>
      <c r="AA1110" s="81"/>
      <c r="AB1110" s="81"/>
      <c r="AC1110" s="81"/>
      <c r="AD1110" s="81"/>
      <c r="AE1110" s="81"/>
    </row>
    <row r="1111">
      <c r="A1111" s="16"/>
      <c r="B1111" s="127"/>
      <c r="C1111" s="127"/>
      <c r="D1111" s="108"/>
      <c r="E1111" s="109"/>
      <c r="F1111" s="58"/>
      <c r="G1111" s="135"/>
      <c r="H1111" s="129"/>
      <c r="I1111" s="129"/>
      <c r="J1111" s="130" t="b">
        <v>0</v>
      </c>
      <c r="K1111" s="58"/>
      <c r="L1111" s="131" t="str">
        <f t="shared" si="8"/>
        <v/>
      </c>
      <c r="M1111" s="108"/>
      <c r="N1111" s="109"/>
      <c r="O1111" s="109"/>
      <c r="P1111" s="109"/>
      <c r="Q1111" s="58"/>
      <c r="R1111" s="136" t="b">
        <v>0</v>
      </c>
      <c r="S1111" s="58"/>
      <c r="T1111" s="80"/>
      <c r="U1111" s="80"/>
      <c r="V1111" s="80"/>
      <c r="W1111" s="80"/>
      <c r="X1111" s="80"/>
      <c r="Y1111" s="80"/>
      <c r="Z1111" s="80"/>
      <c r="AA1111" s="81"/>
      <c r="AB1111" s="81"/>
      <c r="AC1111" s="81"/>
      <c r="AD1111" s="81"/>
      <c r="AE1111" s="81"/>
    </row>
    <row r="1112">
      <c r="A1112" s="16"/>
      <c r="B1112" s="127"/>
      <c r="C1112" s="127"/>
      <c r="D1112" s="108"/>
      <c r="E1112" s="109"/>
      <c r="F1112" s="58"/>
      <c r="G1112" s="135"/>
      <c r="H1112" s="129"/>
      <c r="I1112" s="129"/>
      <c r="J1112" s="130" t="b">
        <v>0</v>
      </c>
      <c r="K1112" s="58"/>
      <c r="L1112" s="131" t="str">
        <f t="shared" si="8"/>
        <v/>
      </c>
      <c r="M1112" s="108"/>
      <c r="N1112" s="109"/>
      <c r="O1112" s="109"/>
      <c r="P1112" s="109"/>
      <c r="Q1112" s="58"/>
      <c r="R1112" s="136" t="b">
        <v>0</v>
      </c>
      <c r="S1112" s="58"/>
      <c r="T1112" s="80"/>
      <c r="U1112" s="80"/>
      <c r="V1112" s="80"/>
      <c r="W1112" s="80"/>
      <c r="X1112" s="80"/>
      <c r="Y1112" s="80"/>
      <c r="Z1112" s="80"/>
      <c r="AA1112" s="81"/>
      <c r="AB1112" s="81"/>
      <c r="AC1112" s="81"/>
      <c r="AD1112" s="81"/>
      <c r="AE1112" s="81"/>
    </row>
    <row r="1113">
      <c r="A1113" s="16"/>
      <c r="B1113" s="127"/>
      <c r="C1113" s="127"/>
      <c r="D1113" s="108"/>
      <c r="E1113" s="109"/>
      <c r="F1113" s="58"/>
      <c r="G1113" s="135"/>
      <c r="H1113" s="129"/>
      <c r="I1113" s="129"/>
      <c r="J1113" s="130" t="b">
        <v>0</v>
      </c>
      <c r="K1113" s="58"/>
      <c r="L1113" s="131" t="str">
        <f t="shared" si="8"/>
        <v/>
      </c>
      <c r="M1113" s="108"/>
      <c r="N1113" s="109"/>
      <c r="O1113" s="109"/>
      <c r="P1113" s="109"/>
      <c r="Q1113" s="58"/>
      <c r="R1113" s="136" t="b">
        <v>0</v>
      </c>
      <c r="S1113" s="58"/>
      <c r="T1113" s="80"/>
      <c r="U1113" s="80"/>
      <c r="V1113" s="80"/>
      <c r="W1113" s="80"/>
      <c r="X1113" s="80"/>
      <c r="Y1113" s="80"/>
      <c r="Z1113" s="80"/>
      <c r="AA1113" s="81"/>
      <c r="AB1113" s="81"/>
      <c r="AC1113" s="81"/>
      <c r="AD1113" s="81"/>
      <c r="AE1113" s="81"/>
    </row>
    <row r="1114">
      <c r="A1114" s="16"/>
      <c r="B1114" s="127"/>
      <c r="C1114" s="127"/>
      <c r="D1114" s="108"/>
      <c r="E1114" s="109"/>
      <c r="F1114" s="58"/>
      <c r="G1114" s="135"/>
      <c r="H1114" s="129"/>
      <c r="I1114" s="129"/>
      <c r="J1114" s="130" t="b">
        <v>0</v>
      </c>
      <c r="K1114" s="58"/>
      <c r="L1114" s="131" t="str">
        <f t="shared" si="8"/>
        <v/>
      </c>
      <c r="M1114" s="108"/>
      <c r="N1114" s="109"/>
      <c r="O1114" s="109"/>
      <c r="P1114" s="109"/>
      <c r="Q1114" s="58"/>
      <c r="R1114" s="136" t="b">
        <v>0</v>
      </c>
      <c r="S1114" s="58"/>
      <c r="T1114" s="80"/>
      <c r="U1114" s="80"/>
      <c r="V1114" s="80"/>
      <c r="W1114" s="80"/>
      <c r="X1114" s="80"/>
      <c r="Y1114" s="80"/>
      <c r="Z1114" s="80"/>
      <c r="AA1114" s="81"/>
      <c r="AB1114" s="81"/>
      <c r="AC1114" s="81"/>
      <c r="AD1114" s="81"/>
      <c r="AE1114" s="81"/>
    </row>
    <row r="1115">
      <c r="A1115" s="16"/>
      <c r="B1115" s="127"/>
      <c r="C1115" s="127"/>
      <c r="D1115" s="108"/>
      <c r="E1115" s="109"/>
      <c r="F1115" s="58"/>
      <c r="G1115" s="135"/>
      <c r="H1115" s="129"/>
      <c r="I1115" s="129"/>
      <c r="J1115" s="130" t="b">
        <v>0</v>
      </c>
      <c r="K1115" s="58"/>
      <c r="L1115" s="131" t="str">
        <f t="shared" si="8"/>
        <v/>
      </c>
      <c r="M1115" s="108"/>
      <c r="N1115" s="109"/>
      <c r="O1115" s="109"/>
      <c r="P1115" s="109"/>
      <c r="Q1115" s="58"/>
      <c r="R1115" s="136" t="b">
        <v>0</v>
      </c>
      <c r="S1115" s="58"/>
      <c r="T1115" s="80"/>
      <c r="U1115" s="80"/>
      <c r="V1115" s="80"/>
      <c r="W1115" s="80"/>
      <c r="X1115" s="80"/>
      <c r="Y1115" s="80"/>
      <c r="Z1115" s="80"/>
      <c r="AA1115" s="81"/>
      <c r="AB1115" s="81"/>
      <c r="AC1115" s="81"/>
      <c r="AD1115" s="81"/>
      <c r="AE1115" s="81"/>
    </row>
    <row r="1116">
      <c r="A1116" s="16"/>
      <c r="B1116" s="127"/>
      <c r="C1116" s="127"/>
      <c r="D1116" s="108"/>
      <c r="E1116" s="109"/>
      <c r="F1116" s="58"/>
      <c r="G1116" s="135"/>
      <c r="H1116" s="129"/>
      <c r="I1116" s="129"/>
      <c r="J1116" s="130" t="b">
        <v>0</v>
      </c>
      <c r="K1116" s="58"/>
      <c r="L1116" s="131" t="str">
        <f t="shared" si="8"/>
        <v/>
      </c>
      <c r="M1116" s="108"/>
      <c r="N1116" s="109"/>
      <c r="O1116" s="109"/>
      <c r="P1116" s="109"/>
      <c r="Q1116" s="58"/>
      <c r="R1116" s="136" t="b">
        <v>0</v>
      </c>
      <c r="S1116" s="58"/>
      <c r="T1116" s="80"/>
      <c r="U1116" s="80"/>
      <c r="V1116" s="80"/>
      <c r="W1116" s="80"/>
      <c r="X1116" s="80"/>
      <c r="Y1116" s="80"/>
      <c r="Z1116" s="80"/>
      <c r="AA1116" s="81"/>
      <c r="AB1116" s="81"/>
      <c r="AC1116" s="81"/>
      <c r="AD1116" s="81"/>
      <c r="AE1116" s="81"/>
    </row>
    <row r="1117">
      <c r="A1117" s="16"/>
      <c r="B1117" s="127"/>
      <c r="C1117" s="127"/>
      <c r="D1117" s="108"/>
      <c r="E1117" s="109"/>
      <c r="F1117" s="58"/>
      <c r="G1117" s="135"/>
      <c r="H1117" s="129"/>
      <c r="I1117" s="129"/>
      <c r="J1117" s="130" t="b">
        <v>0</v>
      </c>
      <c r="K1117" s="58"/>
      <c r="L1117" s="131" t="str">
        <f t="shared" si="8"/>
        <v/>
      </c>
      <c r="M1117" s="108"/>
      <c r="N1117" s="109"/>
      <c r="O1117" s="109"/>
      <c r="P1117" s="109"/>
      <c r="Q1117" s="58"/>
      <c r="R1117" s="136" t="b">
        <v>0</v>
      </c>
      <c r="S1117" s="58"/>
      <c r="T1117" s="80"/>
      <c r="U1117" s="80"/>
      <c r="V1117" s="80"/>
      <c r="W1117" s="80"/>
      <c r="X1117" s="80"/>
      <c r="Y1117" s="80"/>
      <c r="Z1117" s="80"/>
      <c r="AA1117" s="81"/>
      <c r="AB1117" s="81"/>
      <c r="AC1117" s="81"/>
      <c r="AD1117" s="81"/>
      <c r="AE1117" s="81"/>
    </row>
    <row r="1118">
      <c r="A1118" s="16"/>
      <c r="B1118" s="127"/>
      <c r="C1118" s="127"/>
      <c r="D1118" s="108"/>
      <c r="E1118" s="109"/>
      <c r="F1118" s="58"/>
      <c r="G1118" s="135"/>
      <c r="H1118" s="129"/>
      <c r="I1118" s="129"/>
      <c r="J1118" s="130" t="b">
        <v>0</v>
      </c>
      <c r="K1118" s="58"/>
      <c r="L1118" s="131" t="str">
        <f t="shared" si="8"/>
        <v/>
      </c>
      <c r="M1118" s="108"/>
      <c r="N1118" s="109"/>
      <c r="O1118" s="109"/>
      <c r="P1118" s="109"/>
      <c r="Q1118" s="58"/>
      <c r="R1118" s="136" t="b">
        <v>0</v>
      </c>
      <c r="S1118" s="58"/>
      <c r="T1118" s="80"/>
      <c r="U1118" s="80"/>
      <c r="V1118" s="80"/>
      <c r="W1118" s="80"/>
      <c r="X1118" s="80"/>
      <c r="Y1118" s="80"/>
      <c r="Z1118" s="80"/>
      <c r="AA1118" s="81"/>
      <c r="AB1118" s="81"/>
      <c r="AC1118" s="81"/>
      <c r="AD1118" s="81"/>
      <c r="AE1118" s="81"/>
    </row>
    <row r="1119">
      <c r="A1119" s="16"/>
      <c r="B1119" s="127"/>
      <c r="C1119" s="127"/>
      <c r="D1119" s="108"/>
      <c r="E1119" s="109"/>
      <c r="F1119" s="58"/>
      <c r="G1119" s="135"/>
      <c r="H1119" s="129"/>
      <c r="I1119" s="129"/>
      <c r="J1119" s="130" t="b">
        <v>0</v>
      </c>
      <c r="K1119" s="58"/>
      <c r="L1119" s="131" t="str">
        <f t="shared" si="8"/>
        <v/>
      </c>
      <c r="M1119" s="108"/>
      <c r="N1119" s="109"/>
      <c r="O1119" s="109"/>
      <c r="P1119" s="109"/>
      <c r="Q1119" s="58"/>
      <c r="R1119" s="136" t="b">
        <v>0</v>
      </c>
      <c r="S1119" s="58"/>
      <c r="T1119" s="80"/>
      <c r="U1119" s="80"/>
      <c r="V1119" s="80"/>
      <c r="W1119" s="80"/>
      <c r="X1119" s="80"/>
      <c r="Y1119" s="80"/>
      <c r="Z1119" s="80"/>
      <c r="AA1119" s="81"/>
      <c r="AB1119" s="81"/>
      <c r="AC1119" s="81"/>
      <c r="AD1119" s="81"/>
      <c r="AE1119" s="81"/>
    </row>
    <row r="1120">
      <c r="A1120" s="16"/>
      <c r="B1120" s="127"/>
      <c r="C1120" s="127"/>
      <c r="D1120" s="108"/>
      <c r="E1120" s="109"/>
      <c r="F1120" s="58"/>
      <c r="G1120" s="135"/>
      <c r="H1120" s="129"/>
      <c r="I1120" s="129"/>
      <c r="J1120" s="130" t="b">
        <v>0</v>
      </c>
      <c r="K1120" s="58"/>
      <c r="L1120" s="131" t="str">
        <f t="shared" si="8"/>
        <v/>
      </c>
      <c r="M1120" s="108"/>
      <c r="N1120" s="109"/>
      <c r="O1120" s="109"/>
      <c r="P1120" s="109"/>
      <c r="Q1120" s="58"/>
      <c r="R1120" s="136" t="b">
        <v>0</v>
      </c>
      <c r="S1120" s="58"/>
      <c r="T1120" s="80"/>
      <c r="U1120" s="80"/>
      <c r="V1120" s="80"/>
      <c r="W1120" s="80"/>
      <c r="X1120" s="80"/>
      <c r="Y1120" s="80"/>
      <c r="Z1120" s="80"/>
      <c r="AA1120" s="81"/>
      <c r="AB1120" s="81"/>
      <c r="AC1120" s="81"/>
      <c r="AD1120" s="81"/>
      <c r="AE1120" s="81"/>
    </row>
    <row r="1121">
      <c r="A1121" s="16"/>
      <c r="B1121" s="127"/>
      <c r="C1121" s="127"/>
      <c r="D1121" s="108"/>
      <c r="E1121" s="109"/>
      <c r="F1121" s="58"/>
      <c r="G1121" s="135"/>
      <c r="H1121" s="129"/>
      <c r="I1121" s="129"/>
      <c r="J1121" s="130" t="b">
        <v>0</v>
      </c>
      <c r="K1121" s="58"/>
      <c r="L1121" s="131" t="str">
        <f t="shared" si="8"/>
        <v/>
      </c>
      <c r="M1121" s="108"/>
      <c r="N1121" s="109"/>
      <c r="O1121" s="109"/>
      <c r="P1121" s="109"/>
      <c r="Q1121" s="58"/>
      <c r="R1121" s="136" t="b">
        <v>0</v>
      </c>
      <c r="S1121" s="58"/>
      <c r="T1121" s="80"/>
      <c r="U1121" s="80"/>
      <c r="V1121" s="80"/>
      <c r="W1121" s="80"/>
      <c r="X1121" s="80"/>
      <c r="Y1121" s="80"/>
      <c r="Z1121" s="80"/>
      <c r="AA1121" s="81"/>
      <c r="AB1121" s="81"/>
      <c r="AC1121" s="81"/>
      <c r="AD1121" s="81"/>
      <c r="AE1121" s="81"/>
    </row>
    <row r="1122">
      <c r="A1122" s="16"/>
      <c r="B1122" s="127"/>
      <c r="C1122" s="127"/>
      <c r="D1122" s="108"/>
      <c r="E1122" s="109"/>
      <c r="F1122" s="58"/>
      <c r="G1122" s="135"/>
      <c r="H1122" s="129"/>
      <c r="I1122" s="129"/>
      <c r="J1122" s="130" t="b">
        <v>0</v>
      </c>
      <c r="K1122" s="58"/>
      <c r="L1122" s="131" t="str">
        <f t="shared" si="8"/>
        <v/>
      </c>
      <c r="M1122" s="108"/>
      <c r="N1122" s="109"/>
      <c r="O1122" s="109"/>
      <c r="P1122" s="109"/>
      <c r="Q1122" s="58"/>
      <c r="R1122" s="136" t="b">
        <v>0</v>
      </c>
      <c r="S1122" s="58"/>
      <c r="T1122" s="80"/>
      <c r="U1122" s="80"/>
      <c r="V1122" s="80"/>
      <c r="W1122" s="80"/>
      <c r="X1122" s="80"/>
      <c r="Y1122" s="80"/>
      <c r="Z1122" s="80"/>
      <c r="AA1122" s="81"/>
      <c r="AB1122" s="81"/>
      <c r="AC1122" s="81"/>
      <c r="AD1122" s="81"/>
      <c r="AE1122" s="81"/>
    </row>
    <row r="1123">
      <c r="A1123" s="16"/>
      <c r="B1123" s="127"/>
      <c r="C1123" s="127"/>
      <c r="D1123" s="108"/>
      <c r="E1123" s="109"/>
      <c r="F1123" s="58"/>
      <c r="G1123" s="135"/>
      <c r="H1123" s="129"/>
      <c r="I1123" s="129"/>
      <c r="J1123" s="130" t="b">
        <v>0</v>
      </c>
      <c r="K1123" s="58"/>
      <c r="L1123" s="131" t="str">
        <f t="shared" si="8"/>
        <v/>
      </c>
      <c r="M1123" s="108"/>
      <c r="N1123" s="109"/>
      <c r="O1123" s="109"/>
      <c r="P1123" s="109"/>
      <c r="Q1123" s="58"/>
      <c r="R1123" s="136" t="b">
        <v>0</v>
      </c>
      <c r="S1123" s="58"/>
      <c r="T1123" s="80"/>
      <c r="U1123" s="80"/>
      <c r="V1123" s="80"/>
      <c r="W1123" s="80"/>
      <c r="X1123" s="80"/>
      <c r="Y1123" s="80"/>
      <c r="Z1123" s="80"/>
      <c r="AA1123" s="81"/>
      <c r="AB1123" s="81"/>
      <c r="AC1123" s="81"/>
      <c r="AD1123" s="81"/>
      <c r="AE1123" s="81"/>
    </row>
    <row r="1124">
      <c r="A1124" s="16"/>
      <c r="B1124" s="127"/>
      <c r="C1124" s="127"/>
      <c r="D1124" s="108"/>
      <c r="E1124" s="109"/>
      <c r="F1124" s="58"/>
      <c r="G1124" s="135"/>
      <c r="H1124" s="129"/>
      <c r="I1124" s="129"/>
      <c r="J1124" s="130" t="b">
        <v>0</v>
      </c>
      <c r="K1124" s="58"/>
      <c r="L1124" s="131" t="str">
        <f t="shared" si="8"/>
        <v/>
      </c>
      <c r="M1124" s="108"/>
      <c r="N1124" s="109"/>
      <c r="O1124" s="109"/>
      <c r="P1124" s="109"/>
      <c r="Q1124" s="58"/>
      <c r="R1124" s="136" t="b">
        <v>0</v>
      </c>
      <c r="S1124" s="58"/>
      <c r="T1124" s="80"/>
      <c r="U1124" s="80"/>
      <c r="V1124" s="80"/>
      <c r="W1124" s="80"/>
      <c r="X1124" s="80"/>
      <c r="Y1124" s="80"/>
      <c r="Z1124" s="80"/>
      <c r="AA1124" s="81"/>
      <c r="AB1124" s="81"/>
      <c r="AC1124" s="81"/>
      <c r="AD1124" s="81"/>
      <c r="AE1124" s="81"/>
    </row>
    <row r="1125">
      <c r="A1125" s="16"/>
      <c r="B1125" s="127"/>
      <c r="C1125" s="127"/>
      <c r="D1125" s="108"/>
      <c r="E1125" s="109"/>
      <c r="F1125" s="58"/>
      <c r="G1125" s="135"/>
      <c r="H1125" s="129"/>
      <c r="I1125" s="129"/>
      <c r="J1125" s="130" t="b">
        <v>0</v>
      </c>
      <c r="K1125" s="58"/>
      <c r="L1125" s="131" t="str">
        <f t="shared" si="8"/>
        <v/>
      </c>
      <c r="M1125" s="108"/>
      <c r="N1125" s="109"/>
      <c r="O1125" s="109"/>
      <c r="P1125" s="109"/>
      <c r="Q1125" s="58"/>
      <c r="R1125" s="136" t="b">
        <v>0</v>
      </c>
      <c r="S1125" s="58"/>
      <c r="T1125" s="80"/>
      <c r="U1125" s="80"/>
      <c r="V1125" s="80"/>
      <c r="W1125" s="80"/>
      <c r="X1125" s="80"/>
      <c r="Y1125" s="80"/>
      <c r="Z1125" s="80"/>
      <c r="AA1125" s="81"/>
      <c r="AB1125" s="81"/>
      <c r="AC1125" s="81"/>
      <c r="AD1125" s="81"/>
      <c r="AE1125" s="81"/>
    </row>
    <row r="1126">
      <c r="A1126" s="16"/>
      <c r="B1126" s="127"/>
      <c r="C1126" s="127"/>
      <c r="D1126" s="108"/>
      <c r="E1126" s="109"/>
      <c r="F1126" s="58"/>
      <c r="G1126" s="135"/>
      <c r="H1126" s="129"/>
      <c r="I1126" s="129"/>
      <c r="J1126" s="130" t="b">
        <v>0</v>
      </c>
      <c r="K1126" s="58"/>
      <c r="L1126" s="131" t="str">
        <f t="shared" si="8"/>
        <v/>
      </c>
      <c r="M1126" s="108"/>
      <c r="N1126" s="109"/>
      <c r="O1126" s="109"/>
      <c r="P1126" s="109"/>
      <c r="Q1126" s="58"/>
      <c r="R1126" s="136" t="b">
        <v>0</v>
      </c>
      <c r="S1126" s="58"/>
      <c r="T1126" s="80"/>
      <c r="U1126" s="80"/>
      <c r="V1126" s="80"/>
      <c r="W1126" s="80"/>
      <c r="X1126" s="80"/>
      <c r="Y1126" s="80"/>
      <c r="Z1126" s="80"/>
      <c r="AA1126" s="81"/>
      <c r="AB1126" s="81"/>
      <c r="AC1126" s="81"/>
      <c r="AD1126" s="81"/>
      <c r="AE1126" s="81"/>
    </row>
    <row r="1127">
      <c r="A1127" s="16"/>
      <c r="B1127" s="127"/>
      <c r="C1127" s="127"/>
      <c r="D1127" s="108"/>
      <c r="E1127" s="109"/>
      <c r="F1127" s="58"/>
      <c r="G1127" s="135"/>
      <c r="H1127" s="129"/>
      <c r="I1127" s="129"/>
      <c r="J1127" s="130" t="b">
        <v>0</v>
      </c>
      <c r="K1127" s="58"/>
      <c r="L1127" s="131" t="str">
        <f t="shared" si="8"/>
        <v/>
      </c>
      <c r="M1127" s="108"/>
      <c r="N1127" s="109"/>
      <c r="O1127" s="109"/>
      <c r="P1127" s="109"/>
      <c r="Q1127" s="58"/>
      <c r="R1127" s="136" t="b">
        <v>0</v>
      </c>
      <c r="S1127" s="58"/>
      <c r="T1127" s="80"/>
      <c r="U1127" s="80"/>
      <c r="V1127" s="80"/>
      <c r="W1127" s="80"/>
      <c r="X1127" s="80"/>
      <c r="Y1127" s="80"/>
      <c r="Z1127" s="80"/>
      <c r="AA1127" s="81"/>
      <c r="AB1127" s="81"/>
      <c r="AC1127" s="81"/>
      <c r="AD1127" s="81"/>
      <c r="AE1127" s="81"/>
    </row>
    <row r="1128">
      <c r="A1128" s="16"/>
      <c r="B1128" s="127"/>
      <c r="C1128" s="127"/>
      <c r="D1128" s="108"/>
      <c r="E1128" s="109"/>
      <c r="F1128" s="58"/>
      <c r="G1128" s="135"/>
      <c r="H1128" s="129"/>
      <c r="I1128" s="129"/>
      <c r="J1128" s="130" t="b">
        <v>0</v>
      </c>
      <c r="K1128" s="58"/>
      <c r="L1128" s="131" t="str">
        <f t="shared" si="8"/>
        <v/>
      </c>
      <c r="M1128" s="108"/>
      <c r="N1128" s="109"/>
      <c r="O1128" s="109"/>
      <c r="P1128" s="109"/>
      <c r="Q1128" s="58"/>
      <c r="R1128" s="136" t="b">
        <v>0</v>
      </c>
      <c r="S1128" s="58"/>
      <c r="T1128" s="80"/>
      <c r="U1128" s="80"/>
      <c r="V1128" s="80"/>
      <c r="W1128" s="80"/>
      <c r="X1128" s="80"/>
      <c r="Y1128" s="80"/>
      <c r="Z1128" s="80"/>
      <c r="AA1128" s="81"/>
      <c r="AB1128" s="81"/>
      <c r="AC1128" s="81"/>
      <c r="AD1128" s="81"/>
      <c r="AE1128" s="81"/>
    </row>
    <row r="1129">
      <c r="A1129" s="16"/>
      <c r="B1129" s="127"/>
      <c r="C1129" s="127"/>
      <c r="D1129" s="108"/>
      <c r="E1129" s="109"/>
      <c r="F1129" s="58"/>
      <c r="G1129" s="135"/>
      <c r="H1129" s="129"/>
      <c r="I1129" s="129"/>
      <c r="J1129" s="130" t="b">
        <v>0</v>
      </c>
      <c r="K1129" s="58"/>
      <c r="L1129" s="131" t="str">
        <f t="shared" si="8"/>
        <v/>
      </c>
      <c r="M1129" s="108"/>
      <c r="N1129" s="109"/>
      <c r="O1129" s="109"/>
      <c r="P1129" s="109"/>
      <c r="Q1129" s="58"/>
      <c r="R1129" s="136" t="b">
        <v>0</v>
      </c>
      <c r="S1129" s="58"/>
      <c r="T1129" s="80"/>
      <c r="U1129" s="80"/>
      <c r="V1129" s="80"/>
      <c r="W1129" s="80"/>
      <c r="X1129" s="80"/>
      <c r="Y1129" s="80"/>
      <c r="Z1129" s="80"/>
      <c r="AA1129" s="81"/>
      <c r="AB1129" s="81"/>
      <c r="AC1129" s="81"/>
      <c r="AD1129" s="81"/>
      <c r="AE1129" s="81"/>
    </row>
    <row r="1130">
      <c r="A1130" s="16"/>
      <c r="B1130" s="127"/>
      <c r="C1130" s="127"/>
      <c r="D1130" s="108"/>
      <c r="E1130" s="109"/>
      <c r="F1130" s="58"/>
      <c r="G1130" s="135"/>
      <c r="H1130" s="129"/>
      <c r="I1130" s="129"/>
      <c r="J1130" s="130" t="b">
        <v>0</v>
      </c>
      <c r="K1130" s="58"/>
      <c r="L1130" s="131" t="str">
        <f t="shared" si="8"/>
        <v/>
      </c>
      <c r="M1130" s="108"/>
      <c r="N1130" s="109"/>
      <c r="O1130" s="109"/>
      <c r="P1130" s="109"/>
      <c r="Q1130" s="58"/>
      <c r="R1130" s="136" t="b">
        <v>0</v>
      </c>
      <c r="S1130" s="58"/>
      <c r="T1130" s="80"/>
      <c r="U1130" s="80"/>
      <c r="V1130" s="80"/>
      <c r="W1130" s="80"/>
      <c r="X1130" s="80"/>
      <c r="Y1130" s="80"/>
      <c r="Z1130" s="80"/>
      <c r="AA1130" s="81"/>
      <c r="AB1130" s="81"/>
      <c r="AC1130" s="81"/>
      <c r="AD1130" s="81"/>
      <c r="AE1130" s="81"/>
    </row>
    <row r="1131">
      <c r="A1131" s="16"/>
      <c r="B1131" s="127"/>
      <c r="C1131" s="127"/>
      <c r="D1131" s="108"/>
      <c r="E1131" s="109"/>
      <c r="F1131" s="58"/>
      <c r="G1131" s="135"/>
      <c r="H1131" s="129"/>
      <c r="I1131" s="129"/>
      <c r="J1131" s="130" t="b">
        <v>0</v>
      </c>
      <c r="K1131" s="58"/>
      <c r="L1131" s="131" t="str">
        <f t="shared" si="8"/>
        <v/>
      </c>
      <c r="M1131" s="108"/>
      <c r="N1131" s="109"/>
      <c r="O1131" s="109"/>
      <c r="P1131" s="109"/>
      <c r="Q1131" s="58"/>
      <c r="R1131" s="136" t="b">
        <v>0</v>
      </c>
      <c r="S1131" s="58"/>
      <c r="T1131" s="80"/>
      <c r="U1131" s="80"/>
      <c r="V1131" s="80"/>
      <c r="W1131" s="80"/>
      <c r="X1131" s="80"/>
      <c r="Y1131" s="80"/>
      <c r="Z1131" s="80"/>
      <c r="AA1131" s="81"/>
      <c r="AB1131" s="81"/>
      <c r="AC1131" s="81"/>
      <c r="AD1131" s="81"/>
      <c r="AE1131" s="81"/>
    </row>
    <row r="1132">
      <c r="A1132" s="16"/>
      <c r="B1132" s="127"/>
      <c r="C1132" s="127"/>
      <c r="D1132" s="108"/>
      <c r="E1132" s="109"/>
      <c r="F1132" s="58"/>
      <c r="G1132" s="135"/>
      <c r="H1132" s="129"/>
      <c r="I1132" s="129"/>
      <c r="J1132" s="130" t="b">
        <v>0</v>
      </c>
      <c r="K1132" s="58"/>
      <c r="L1132" s="131" t="str">
        <f t="shared" si="8"/>
        <v/>
      </c>
      <c r="M1132" s="108"/>
      <c r="N1132" s="109"/>
      <c r="O1132" s="109"/>
      <c r="P1132" s="109"/>
      <c r="Q1132" s="58"/>
      <c r="R1132" s="136" t="b">
        <v>0</v>
      </c>
      <c r="S1132" s="58"/>
      <c r="T1132" s="80"/>
      <c r="U1132" s="80"/>
      <c r="V1132" s="80"/>
      <c r="W1132" s="80"/>
      <c r="X1132" s="80"/>
      <c r="Y1132" s="80"/>
      <c r="Z1132" s="80"/>
      <c r="AA1132" s="81"/>
      <c r="AB1132" s="81"/>
      <c r="AC1132" s="81"/>
      <c r="AD1132" s="81"/>
      <c r="AE1132" s="81"/>
    </row>
    <row r="1133">
      <c r="A1133" s="16"/>
      <c r="B1133" s="127"/>
      <c r="C1133" s="127"/>
      <c r="D1133" s="108"/>
      <c r="E1133" s="109"/>
      <c r="F1133" s="58"/>
      <c r="G1133" s="135"/>
      <c r="H1133" s="129"/>
      <c r="I1133" s="129"/>
      <c r="J1133" s="130" t="b">
        <v>0</v>
      </c>
      <c r="K1133" s="58"/>
      <c r="L1133" s="131" t="str">
        <f t="shared" si="8"/>
        <v/>
      </c>
      <c r="M1133" s="108"/>
      <c r="N1133" s="109"/>
      <c r="O1133" s="109"/>
      <c r="P1133" s="109"/>
      <c r="Q1133" s="58"/>
      <c r="R1133" s="136" t="b">
        <v>0</v>
      </c>
      <c r="S1133" s="58"/>
      <c r="T1133" s="80"/>
      <c r="U1133" s="80"/>
      <c r="V1133" s="80"/>
      <c r="W1133" s="80"/>
      <c r="X1133" s="80"/>
      <c r="Y1133" s="80"/>
      <c r="Z1133" s="80"/>
      <c r="AA1133" s="81"/>
      <c r="AB1133" s="81"/>
      <c r="AC1133" s="81"/>
      <c r="AD1133" s="81"/>
      <c r="AE1133" s="81"/>
    </row>
    <row r="1134">
      <c r="A1134" s="16"/>
      <c r="B1134" s="127"/>
      <c r="C1134" s="127"/>
      <c r="D1134" s="108"/>
      <c r="E1134" s="109"/>
      <c r="F1134" s="58"/>
      <c r="G1134" s="135"/>
      <c r="H1134" s="129"/>
      <c r="I1134" s="129"/>
      <c r="J1134" s="130" t="b">
        <v>0</v>
      </c>
      <c r="K1134" s="58"/>
      <c r="L1134" s="131" t="str">
        <f t="shared" si="8"/>
        <v/>
      </c>
      <c r="M1134" s="108"/>
      <c r="N1134" s="109"/>
      <c r="O1134" s="109"/>
      <c r="P1134" s="109"/>
      <c r="Q1134" s="58"/>
      <c r="R1134" s="136" t="b">
        <v>0</v>
      </c>
      <c r="S1134" s="58"/>
      <c r="T1134" s="80"/>
      <c r="U1134" s="80"/>
      <c r="V1134" s="80"/>
      <c r="W1134" s="80"/>
      <c r="X1134" s="80"/>
      <c r="Y1134" s="80"/>
      <c r="Z1134" s="80"/>
      <c r="AA1134" s="81"/>
      <c r="AB1134" s="81"/>
      <c r="AC1134" s="81"/>
      <c r="AD1134" s="81"/>
      <c r="AE1134" s="81"/>
    </row>
    <row r="1135">
      <c r="A1135" s="16"/>
      <c r="B1135" s="127"/>
      <c r="C1135" s="127"/>
      <c r="D1135" s="108"/>
      <c r="E1135" s="109"/>
      <c r="F1135" s="58"/>
      <c r="G1135" s="135"/>
      <c r="H1135" s="129"/>
      <c r="I1135" s="129"/>
      <c r="J1135" s="130" t="b">
        <v>0</v>
      </c>
      <c r="K1135" s="58"/>
      <c r="L1135" s="131" t="str">
        <f t="shared" si="8"/>
        <v/>
      </c>
      <c r="M1135" s="108"/>
      <c r="N1135" s="109"/>
      <c r="O1135" s="109"/>
      <c r="P1135" s="109"/>
      <c r="Q1135" s="58"/>
      <c r="R1135" s="136" t="b">
        <v>0</v>
      </c>
      <c r="S1135" s="58"/>
      <c r="T1135" s="80"/>
      <c r="U1135" s="80"/>
      <c r="V1135" s="80"/>
      <c r="W1135" s="80"/>
      <c r="X1135" s="80"/>
      <c r="Y1135" s="80"/>
      <c r="Z1135" s="80"/>
      <c r="AA1135" s="81"/>
      <c r="AB1135" s="81"/>
      <c r="AC1135" s="81"/>
      <c r="AD1135" s="81"/>
      <c r="AE1135" s="81"/>
    </row>
    <row r="1136">
      <c r="A1136" s="16"/>
      <c r="B1136" s="127"/>
      <c r="C1136" s="127"/>
      <c r="D1136" s="108"/>
      <c r="E1136" s="109"/>
      <c r="F1136" s="58"/>
      <c r="G1136" s="135"/>
      <c r="H1136" s="129"/>
      <c r="I1136" s="129"/>
      <c r="J1136" s="130" t="b">
        <v>0</v>
      </c>
      <c r="K1136" s="58"/>
      <c r="L1136" s="131" t="str">
        <f t="shared" si="8"/>
        <v/>
      </c>
      <c r="M1136" s="108"/>
      <c r="N1136" s="109"/>
      <c r="O1136" s="109"/>
      <c r="P1136" s="109"/>
      <c r="Q1136" s="58"/>
      <c r="R1136" s="136" t="b">
        <v>0</v>
      </c>
      <c r="S1136" s="58"/>
      <c r="T1136" s="80"/>
      <c r="U1136" s="80"/>
      <c r="V1136" s="80"/>
      <c r="W1136" s="80"/>
      <c r="X1136" s="80"/>
      <c r="Y1136" s="80"/>
      <c r="Z1136" s="80"/>
      <c r="AA1136" s="81"/>
      <c r="AB1136" s="81"/>
      <c r="AC1136" s="81"/>
      <c r="AD1136" s="81"/>
      <c r="AE1136" s="81"/>
    </row>
    <row r="1137">
      <c r="A1137" s="16"/>
      <c r="B1137" s="127"/>
      <c r="C1137" s="127"/>
      <c r="D1137" s="108"/>
      <c r="E1137" s="109"/>
      <c r="F1137" s="58"/>
      <c r="G1137" s="135"/>
      <c r="H1137" s="129"/>
      <c r="I1137" s="129"/>
      <c r="J1137" s="130" t="b">
        <v>0</v>
      </c>
      <c r="K1137" s="58"/>
      <c r="L1137" s="131" t="str">
        <f t="shared" si="8"/>
        <v/>
      </c>
      <c r="M1137" s="108"/>
      <c r="N1137" s="109"/>
      <c r="O1137" s="109"/>
      <c r="P1137" s="109"/>
      <c r="Q1137" s="58"/>
      <c r="R1137" s="136" t="b">
        <v>0</v>
      </c>
      <c r="S1137" s="58"/>
      <c r="T1137" s="80"/>
      <c r="U1137" s="80"/>
      <c r="V1137" s="80"/>
      <c r="W1137" s="80"/>
      <c r="X1137" s="80"/>
      <c r="Y1137" s="80"/>
      <c r="Z1137" s="80"/>
      <c r="AA1137" s="81"/>
      <c r="AB1137" s="81"/>
      <c r="AC1137" s="81"/>
      <c r="AD1137" s="81"/>
      <c r="AE1137" s="81"/>
    </row>
  </sheetData>
  <autoFilter ref="$B$22:$Q$1137">
    <sortState ref="B22:Q1137">
      <sortCondition ref="B22:B1137"/>
      <sortCondition ref="C22:C1137"/>
      <sortCondition descending="1" ref="I22:I1137"/>
      <sortCondition descending="1" ref="L22:L1137"/>
    </sortState>
  </autoFilter>
  <mergeCells count="4150">
    <mergeCell ref="M508:Q508"/>
    <mergeCell ref="R508:S508"/>
    <mergeCell ref="M509:Q509"/>
    <mergeCell ref="R509:S509"/>
    <mergeCell ref="M510:Q510"/>
    <mergeCell ref="R510:S510"/>
    <mergeCell ref="R511:S511"/>
    <mergeCell ref="M511:Q511"/>
    <mergeCell ref="M512:Q512"/>
    <mergeCell ref="R512:S512"/>
    <mergeCell ref="M513:Q513"/>
    <mergeCell ref="R513:S513"/>
    <mergeCell ref="M514:Q514"/>
    <mergeCell ref="R514:S514"/>
    <mergeCell ref="M449:Q449"/>
    <mergeCell ref="M450:Q450"/>
    <mergeCell ref="M451:Q451"/>
    <mergeCell ref="M452:Q452"/>
    <mergeCell ref="M453:Q453"/>
    <mergeCell ref="M454:Q454"/>
    <mergeCell ref="M455:Q455"/>
    <mergeCell ref="M456:Q456"/>
    <mergeCell ref="M457:Q457"/>
    <mergeCell ref="M458:Q458"/>
    <mergeCell ref="M459:Q459"/>
    <mergeCell ref="M460:Q460"/>
    <mergeCell ref="M461:Q461"/>
    <mergeCell ref="M462:Q462"/>
    <mergeCell ref="M463:Q463"/>
    <mergeCell ref="M464:Q464"/>
    <mergeCell ref="M465:Q465"/>
    <mergeCell ref="M466:Q466"/>
    <mergeCell ref="M467:Q467"/>
    <mergeCell ref="M468:Q468"/>
    <mergeCell ref="R469:S469"/>
    <mergeCell ref="M469:Q469"/>
    <mergeCell ref="M470:Q470"/>
    <mergeCell ref="R470:S470"/>
    <mergeCell ref="M471:Q471"/>
    <mergeCell ref="R471:S471"/>
    <mergeCell ref="M472:Q472"/>
    <mergeCell ref="R472:S472"/>
    <mergeCell ref="M473:Q473"/>
    <mergeCell ref="R473:S473"/>
    <mergeCell ref="M474:Q474"/>
    <mergeCell ref="R474:S474"/>
    <mergeCell ref="M475:Q475"/>
    <mergeCell ref="R475:S475"/>
    <mergeCell ref="R476:S476"/>
    <mergeCell ref="M476:Q476"/>
    <mergeCell ref="M477:Q477"/>
    <mergeCell ref="R477:S477"/>
    <mergeCell ref="M478:Q478"/>
    <mergeCell ref="R478:S478"/>
    <mergeCell ref="M479:Q479"/>
    <mergeCell ref="R479:S479"/>
    <mergeCell ref="M515:Q515"/>
    <mergeCell ref="R515:S515"/>
    <mergeCell ref="M302:Q302"/>
    <mergeCell ref="M303:Q303"/>
    <mergeCell ref="M304:Q304"/>
    <mergeCell ref="M305:Q305"/>
    <mergeCell ref="M306:Q306"/>
    <mergeCell ref="M307:Q307"/>
    <mergeCell ref="M308:Q308"/>
    <mergeCell ref="M309:Q309"/>
    <mergeCell ref="M310:Q310"/>
    <mergeCell ref="M311:Q311"/>
    <mergeCell ref="M312:Q312"/>
    <mergeCell ref="M313:Q313"/>
    <mergeCell ref="M314:Q314"/>
    <mergeCell ref="M315:Q315"/>
    <mergeCell ref="M316:Q316"/>
    <mergeCell ref="M317:Q317"/>
    <mergeCell ref="M318:Q318"/>
    <mergeCell ref="M319:Q319"/>
    <mergeCell ref="M320:Q320"/>
    <mergeCell ref="M321:Q321"/>
    <mergeCell ref="M322:Q322"/>
    <mergeCell ref="M323:Q323"/>
    <mergeCell ref="M324:Q324"/>
    <mergeCell ref="M325:Q325"/>
    <mergeCell ref="M326:Q326"/>
    <mergeCell ref="M327:Q327"/>
    <mergeCell ref="M328:Q328"/>
    <mergeCell ref="M329:Q329"/>
    <mergeCell ref="M330:Q330"/>
    <mergeCell ref="M331:Q331"/>
    <mergeCell ref="M332:Q332"/>
    <mergeCell ref="M333:Q333"/>
    <mergeCell ref="M334:Q334"/>
    <mergeCell ref="M335:Q335"/>
    <mergeCell ref="M336:Q336"/>
    <mergeCell ref="M337:Q337"/>
    <mergeCell ref="M338:Q338"/>
    <mergeCell ref="M339:Q339"/>
    <mergeCell ref="M340:Q340"/>
    <mergeCell ref="M341:Q341"/>
    <mergeCell ref="M342:Q342"/>
    <mergeCell ref="M343:Q343"/>
    <mergeCell ref="M344:Q344"/>
    <mergeCell ref="M345:Q345"/>
    <mergeCell ref="M346:Q346"/>
    <mergeCell ref="M347:Q347"/>
    <mergeCell ref="M348:Q348"/>
    <mergeCell ref="M349:Q349"/>
    <mergeCell ref="M350:Q350"/>
    <mergeCell ref="M351:Q351"/>
    <mergeCell ref="M352:Q352"/>
    <mergeCell ref="M353:Q353"/>
    <mergeCell ref="M354:Q354"/>
    <mergeCell ref="M355:Q355"/>
    <mergeCell ref="M356:Q356"/>
    <mergeCell ref="M357:Q357"/>
    <mergeCell ref="M358:Q358"/>
    <mergeCell ref="M359:Q359"/>
    <mergeCell ref="M360:Q360"/>
    <mergeCell ref="M361:Q361"/>
    <mergeCell ref="M362:Q362"/>
    <mergeCell ref="M363:Q363"/>
    <mergeCell ref="M364:Q364"/>
    <mergeCell ref="M365:Q365"/>
    <mergeCell ref="M366:Q366"/>
    <mergeCell ref="M367:Q367"/>
    <mergeCell ref="M368:Q368"/>
    <mergeCell ref="M369:Q369"/>
    <mergeCell ref="M370:Q370"/>
    <mergeCell ref="M371:Q371"/>
    <mergeCell ref="M372:Q372"/>
    <mergeCell ref="M373:Q373"/>
    <mergeCell ref="M374:Q374"/>
    <mergeCell ref="M375:Q375"/>
    <mergeCell ref="M376:Q376"/>
    <mergeCell ref="M377:Q377"/>
    <mergeCell ref="M378:Q378"/>
    <mergeCell ref="M379:Q379"/>
    <mergeCell ref="M380:Q380"/>
    <mergeCell ref="M381:Q381"/>
    <mergeCell ref="M382:Q382"/>
    <mergeCell ref="M383:Q383"/>
    <mergeCell ref="M384:Q384"/>
    <mergeCell ref="M385:Q385"/>
    <mergeCell ref="M386:Q386"/>
    <mergeCell ref="M387:Q387"/>
    <mergeCell ref="M388:Q388"/>
    <mergeCell ref="M389:Q389"/>
    <mergeCell ref="M390:Q390"/>
    <mergeCell ref="M391:Q391"/>
    <mergeCell ref="M392:Q392"/>
    <mergeCell ref="M393:Q393"/>
    <mergeCell ref="M394:Q394"/>
    <mergeCell ref="M395:Q395"/>
    <mergeCell ref="M396:Q396"/>
    <mergeCell ref="M397:Q397"/>
    <mergeCell ref="M398:Q398"/>
    <mergeCell ref="M399:Q399"/>
    <mergeCell ref="M400:Q400"/>
    <mergeCell ref="M401:Q401"/>
    <mergeCell ref="M402:Q402"/>
    <mergeCell ref="M403:Q403"/>
    <mergeCell ref="M404:Q404"/>
    <mergeCell ref="M405:Q405"/>
    <mergeCell ref="M406:Q406"/>
    <mergeCell ref="M407:Q407"/>
    <mergeCell ref="M408:Q408"/>
    <mergeCell ref="M409:Q409"/>
    <mergeCell ref="M410:Q410"/>
    <mergeCell ref="M411:Q411"/>
    <mergeCell ref="M412:Q412"/>
    <mergeCell ref="M413:Q413"/>
    <mergeCell ref="M414:Q414"/>
    <mergeCell ref="M415:Q415"/>
    <mergeCell ref="M416:Q416"/>
    <mergeCell ref="M417:Q417"/>
    <mergeCell ref="M418:Q418"/>
    <mergeCell ref="M419:Q419"/>
    <mergeCell ref="M420:Q420"/>
    <mergeCell ref="M421:Q421"/>
    <mergeCell ref="M422:Q422"/>
    <mergeCell ref="M423:Q423"/>
    <mergeCell ref="M424:Q424"/>
    <mergeCell ref="M425:Q425"/>
    <mergeCell ref="M426:Q426"/>
    <mergeCell ref="M427:Q427"/>
    <mergeCell ref="M428:Q428"/>
    <mergeCell ref="M429:Q429"/>
    <mergeCell ref="M430:Q430"/>
    <mergeCell ref="M431:Q431"/>
    <mergeCell ref="M432:Q432"/>
    <mergeCell ref="M433:Q433"/>
    <mergeCell ref="M434:Q434"/>
    <mergeCell ref="M435:Q435"/>
    <mergeCell ref="M436:Q436"/>
    <mergeCell ref="M437:Q437"/>
    <mergeCell ref="M438:Q438"/>
    <mergeCell ref="M439:Q439"/>
    <mergeCell ref="M440:Q440"/>
    <mergeCell ref="M441:Q441"/>
    <mergeCell ref="M442:Q442"/>
    <mergeCell ref="M443:Q443"/>
    <mergeCell ref="M444:Q444"/>
    <mergeCell ref="M445:Q445"/>
    <mergeCell ref="M446:Q446"/>
    <mergeCell ref="M447:Q447"/>
    <mergeCell ref="M448:Q448"/>
    <mergeCell ref="M480:Q480"/>
    <mergeCell ref="R480:S480"/>
    <mergeCell ref="M481:Q481"/>
    <mergeCell ref="R481:S481"/>
    <mergeCell ref="M482:Q482"/>
    <mergeCell ref="R482:S482"/>
    <mergeCell ref="R483:S483"/>
    <mergeCell ref="M483:Q483"/>
    <mergeCell ref="M484:Q484"/>
    <mergeCell ref="R484:S484"/>
    <mergeCell ref="M485:Q485"/>
    <mergeCell ref="R485:S485"/>
    <mergeCell ref="M486:Q486"/>
    <mergeCell ref="R486:S486"/>
    <mergeCell ref="M487:Q487"/>
    <mergeCell ref="R487:S487"/>
    <mergeCell ref="M488:Q488"/>
    <mergeCell ref="R488:S488"/>
    <mergeCell ref="M489:Q489"/>
    <mergeCell ref="R489:S489"/>
    <mergeCell ref="R490:S490"/>
    <mergeCell ref="M490:Q490"/>
    <mergeCell ref="M491:Q491"/>
    <mergeCell ref="R491:S491"/>
    <mergeCell ref="M492:Q492"/>
    <mergeCell ref="R492:S492"/>
    <mergeCell ref="M493:Q493"/>
    <mergeCell ref="R493:S493"/>
    <mergeCell ref="M494:Q494"/>
    <mergeCell ref="R494:S494"/>
    <mergeCell ref="M495:Q495"/>
    <mergeCell ref="R495:S495"/>
    <mergeCell ref="M496:Q496"/>
    <mergeCell ref="R496:S496"/>
    <mergeCell ref="R497:S497"/>
    <mergeCell ref="M497:Q497"/>
    <mergeCell ref="M498:Q498"/>
    <mergeCell ref="R498:S498"/>
    <mergeCell ref="M499:Q499"/>
    <mergeCell ref="R499:S499"/>
    <mergeCell ref="M500:Q500"/>
    <mergeCell ref="R500:S500"/>
    <mergeCell ref="M501:Q501"/>
    <mergeCell ref="R501:S501"/>
    <mergeCell ref="M502:Q502"/>
    <mergeCell ref="R502:S502"/>
    <mergeCell ref="M503:Q503"/>
    <mergeCell ref="R503:S503"/>
    <mergeCell ref="R504:S504"/>
    <mergeCell ref="M504:Q504"/>
    <mergeCell ref="M505:Q505"/>
    <mergeCell ref="R505:S505"/>
    <mergeCell ref="M506:Q506"/>
    <mergeCell ref="R506:S506"/>
    <mergeCell ref="M507:Q507"/>
    <mergeCell ref="R507:S507"/>
    <mergeCell ref="V11:W11"/>
    <mergeCell ref="X11:Y11"/>
    <mergeCell ref="B11:C11"/>
    <mergeCell ref="D11:E11"/>
    <mergeCell ref="F11:G11"/>
    <mergeCell ref="H11:I11"/>
    <mergeCell ref="L11:N11"/>
    <mergeCell ref="R11:S11"/>
    <mergeCell ref="T11:U11"/>
    <mergeCell ref="V12:W12"/>
    <mergeCell ref="X12:Y12"/>
    <mergeCell ref="B12:C12"/>
    <mergeCell ref="D12:E12"/>
    <mergeCell ref="F12:G12"/>
    <mergeCell ref="H12:I12"/>
    <mergeCell ref="L12:N12"/>
    <mergeCell ref="R12:S12"/>
    <mergeCell ref="T12:U12"/>
    <mergeCell ref="V13:W13"/>
    <mergeCell ref="X13:Y13"/>
    <mergeCell ref="B13:C13"/>
    <mergeCell ref="D13:E13"/>
    <mergeCell ref="F13:G13"/>
    <mergeCell ref="H13:I13"/>
    <mergeCell ref="L13:N13"/>
    <mergeCell ref="R13:S13"/>
    <mergeCell ref="T13:U13"/>
    <mergeCell ref="V14:W14"/>
    <mergeCell ref="X14:Y14"/>
    <mergeCell ref="B14:C14"/>
    <mergeCell ref="D14:E14"/>
    <mergeCell ref="F14:G14"/>
    <mergeCell ref="H14:I14"/>
    <mergeCell ref="L14:N14"/>
    <mergeCell ref="R14:S14"/>
    <mergeCell ref="T14:U14"/>
    <mergeCell ref="V15:W15"/>
    <mergeCell ref="X15:Y15"/>
    <mergeCell ref="B15:C15"/>
    <mergeCell ref="D15:E15"/>
    <mergeCell ref="F15:G15"/>
    <mergeCell ref="H15:I15"/>
    <mergeCell ref="L15:N15"/>
    <mergeCell ref="R15:S15"/>
    <mergeCell ref="T15:U15"/>
    <mergeCell ref="V16:W16"/>
    <mergeCell ref="X16:Y16"/>
    <mergeCell ref="B16:C16"/>
    <mergeCell ref="D16:E16"/>
    <mergeCell ref="F16:G16"/>
    <mergeCell ref="H16:I16"/>
    <mergeCell ref="L16:N16"/>
    <mergeCell ref="R16:S16"/>
    <mergeCell ref="T16:U16"/>
    <mergeCell ref="V17:W17"/>
    <mergeCell ref="X17:Y17"/>
    <mergeCell ref="B17:C17"/>
    <mergeCell ref="D17:E17"/>
    <mergeCell ref="F17:G17"/>
    <mergeCell ref="H17:I17"/>
    <mergeCell ref="L17:N17"/>
    <mergeCell ref="R17:S17"/>
    <mergeCell ref="T17:U17"/>
    <mergeCell ref="M101:Q101"/>
    <mergeCell ref="M102:Q102"/>
    <mergeCell ref="M94:Q94"/>
    <mergeCell ref="M95:Q95"/>
    <mergeCell ref="M96:Q96"/>
    <mergeCell ref="M97:Q97"/>
    <mergeCell ref="M98:Q98"/>
    <mergeCell ref="M99:Q99"/>
    <mergeCell ref="M100:Q100"/>
    <mergeCell ref="M45:Q45"/>
    <mergeCell ref="M46:Q46"/>
    <mergeCell ref="M47:Q47"/>
    <mergeCell ref="M48:Q48"/>
    <mergeCell ref="M49:Q49"/>
    <mergeCell ref="M50:Q50"/>
    <mergeCell ref="M51:Q51"/>
    <mergeCell ref="M52:Q52"/>
    <mergeCell ref="M53:Q53"/>
    <mergeCell ref="M54:Q54"/>
    <mergeCell ref="M55:Q55"/>
    <mergeCell ref="M56:Q56"/>
    <mergeCell ref="M57:Q57"/>
    <mergeCell ref="M58:Q58"/>
    <mergeCell ref="M59:Q59"/>
    <mergeCell ref="M60:Q60"/>
    <mergeCell ref="M61:Q61"/>
    <mergeCell ref="M62:Q62"/>
    <mergeCell ref="M63:Q63"/>
    <mergeCell ref="M64:Q64"/>
    <mergeCell ref="M65:Q65"/>
    <mergeCell ref="M66:Q66"/>
    <mergeCell ref="M67:Q67"/>
    <mergeCell ref="M68:Q68"/>
    <mergeCell ref="M69:Q69"/>
    <mergeCell ref="M70:Q70"/>
    <mergeCell ref="M71:Q71"/>
    <mergeCell ref="M72:Q72"/>
    <mergeCell ref="M73:Q73"/>
    <mergeCell ref="M74:Q74"/>
    <mergeCell ref="M75:Q75"/>
    <mergeCell ref="M76:Q76"/>
    <mergeCell ref="M77:Q77"/>
    <mergeCell ref="M78:Q78"/>
    <mergeCell ref="M79:Q79"/>
    <mergeCell ref="M80:Q80"/>
    <mergeCell ref="M81:Q81"/>
    <mergeCell ref="M82:Q82"/>
    <mergeCell ref="M83:Q83"/>
    <mergeCell ref="M84:Q84"/>
    <mergeCell ref="M85:Q85"/>
    <mergeCell ref="M86:Q86"/>
    <mergeCell ref="M87:Q87"/>
    <mergeCell ref="M88:Q88"/>
    <mergeCell ref="M89:Q89"/>
    <mergeCell ref="M90:Q90"/>
    <mergeCell ref="M91:Q91"/>
    <mergeCell ref="M92:Q92"/>
    <mergeCell ref="M93:Q93"/>
    <mergeCell ref="V18:W18"/>
    <mergeCell ref="X18:Y18"/>
    <mergeCell ref="B18:C18"/>
    <mergeCell ref="D18:E18"/>
    <mergeCell ref="F18:G18"/>
    <mergeCell ref="H18:I18"/>
    <mergeCell ref="L18:N18"/>
    <mergeCell ref="R18:S18"/>
    <mergeCell ref="T18:U18"/>
    <mergeCell ref="V19:W19"/>
    <mergeCell ref="X19:Y19"/>
    <mergeCell ref="B19:C19"/>
    <mergeCell ref="D19:E19"/>
    <mergeCell ref="F19:G19"/>
    <mergeCell ref="H19:I19"/>
    <mergeCell ref="L19:N19"/>
    <mergeCell ref="R19:S19"/>
    <mergeCell ref="T19:U19"/>
    <mergeCell ref="V20:W20"/>
    <mergeCell ref="X20:Y20"/>
    <mergeCell ref="B20:C20"/>
    <mergeCell ref="D20:E20"/>
    <mergeCell ref="F20:G20"/>
    <mergeCell ref="H20:I20"/>
    <mergeCell ref="L20:N20"/>
    <mergeCell ref="R20:S20"/>
    <mergeCell ref="T20:U20"/>
    <mergeCell ref="B3:C5"/>
    <mergeCell ref="D3:E3"/>
    <mergeCell ref="F3:G3"/>
    <mergeCell ref="H3:H5"/>
    <mergeCell ref="I3:J5"/>
    <mergeCell ref="K3:L5"/>
    <mergeCell ref="N3:P5"/>
    <mergeCell ref="D4:E5"/>
    <mergeCell ref="F4:G5"/>
    <mergeCell ref="B8:C8"/>
    <mergeCell ref="D8:E8"/>
    <mergeCell ref="F8:G8"/>
    <mergeCell ref="H8:I8"/>
    <mergeCell ref="L8:N8"/>
    <mergeCell ref="V9:W9"/>
    <mergeCell ref="X9:Y9"/>
    <mergeCell ref="B9:C9"/>
    <mergeCell ref="D9:E9"/>
    <mergeCell ref="F9:G9"/>
    <mergeCell ref="H9:I9"/>
    <mergeCell ref="L9:N9"/>
    <mergeCell ref="R9:S9"/>
    <mergeCell ref="T9:U9"/>
    <mergeCell ref="V10:W10"/>
    <mergeCell ref="X10:Y10"/>
    <mergeCell ref="B10:C10"/>
    <mergeCell ref="D10:E10"/>
    <mergeCell ref="F10:G10"/>
    <mergeCell ref="H10:I10"/>
    <mergeCell ref="L10:N10"/>
    <mergeCell ref="R10:S10"/>
    <mergeCell ref="T10:U10"/>
    <mergeCell ref="T23:V23"/>
    <mergeCell ref="T24:V24"/>
    <mergeCell ref="D22:F22"/>
    <mergeCell ref="J22:K22"/>
    <mergeCell ref="M22:Q22"/>
    <mergeCell ref="D23:F23"/>
    <mergeCell ref="M23:Q23"/>
    <mergeCell ref="D24:F24"/>
    <mergeCell ref="M24:Q24"/>
    <mergeCell ref="T26:V26"/>
    <mergeCell ref="T27:V27"/>
    <mergeCell ref="T36:V36"/>
    <mergeCell ref="D25:F25"/>
    <mergeCell ref="J25:K25"/>
    <mergeCell ref="M25:Q25"/>
    <mergeCell ref="T25:V25"/>
    <mergeCell ref="J26:K26"/>
    <mergeCell ref="M26:Q26"/>
    <mergeCell ref="M27:Q27"/>
    <mergeCell ref="M28:Q28"/>
    <mergeCell ref="T28:V28"/>
    <mergeCell ref="M29:Q29"/>
    <mergeCell ref="T29:V29"/>
    <mergeCell ref="M30:Q30"/>
    <mergeCell ref="T30:V30"/>
    <mergeCell ref="T31:V31"/>
    <mergeCell ref="T32:V32"/>
    <mergeCell ref="J23:K23"/>
    <mergeCell ref="J24:K24"/>
    <mergeCell ref="J27:K27"/>
    <mergeCell ref="J28:K28"/>
    <mergeCell ref="J29:K29"/>
    <mergeCell ref="J30:K30"/>
    <mergeCell ref="J31:K31"/>
    <mergeCell ref="M31:Q31"/>
    <mergeCell ref="M32:Q32"/>
    <mergeCell ref="M33:Q33"/>
    <mergeCell ref="M34:Q34"/>
    <mergeCell ref="M35:Q35"/>
    <mergeCell ref="M36:Q36"/>
    <mergeCell ref="M37:Q37"/>
    <mergeCell ref="M38:Q38"/>
    <mergeCell ref="M39:Q39"/>
    <mergeCell ref="M40:Q40"/>
    <mergeCell ref="M41:Q41"/>
    <mergeCell ref="M42:Q42"/>
    <mergeCell ref="M43:Q43"/>
    <mergeCell ref="M44:Q44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111:K111"/>
    <mergeCell ref="J112:K112"/>
    <mergeCell ref="J113:K113"/>
    <mergeCell ref="J114:K114"/>
    <mergeCell ref="J115:K115"/>
    <mergeCell ref="J116:K116"/>
    <mergeCell ref="J117:K117"/>
    <mergeCell ref="J125:K125"/>
    <mergeCell ref="J126:K126"/>
    <mergeCell ref="J127:K127"/>
    <mergeCell ref="J128:K128"/>
    <mergeCell ref="J129:K129"/>
    <mergeCell ref="J130:K130"/>
    <mergeCell ref="J118:K118"/>
    <mergeCell ref="J119:K119"/>
    <mergeCell ref="J120:K120"/>
    <mergeCell ref="J121:K121"/>
    <mergeCell ref="J122:K122"/>
    <mergeCell ref="J123:K123"/>
    <mergeCell ref="J124:K124"/>
    <mergeCell ref="J245:K245"/>
    <mergeCell ref="J246:K246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55:K255"/>
    <mergeCell ref="J256:K256"/>
    <mergeCell ref="J257:K257"/>
    <mergeCell ref="J258:K258"/>
    <mergeCell ref="J259:K259"/>
    <mergeCell ref="J260:K260"/>
    <mergeCell ref="J261:K261"/>
    <mergeCell ref="J262:K262"/>
    <mergeCell ref="J263:K263"/>
    <mergeCell ref="J264:K264"/>
    <mergeCell ref="J265:K265"/>
    <mergeCell ref="J266:K266"/>
    <mergeCell ref="J267:K267"/>
    <mergeCell ref="J268:K268"/>
    <mergeCell ref="J269:K269"/>
    <mergeCell ref="J270:K270"/>
    <mergeCell ref="J271:K271"/>
    <mergeCell ref="J272:K272"/>
    <mergeCell ref="J273:K273"/>
    <mergeCell ref="J274:K274"/>
    <mergeCell ref="J275:K275"/>
    <mergeCell ref="J276:K276"/>
    <mergeCell ref="J277:K277"/>
    <mergeCell ref="J278:K278"/>
    <mergeCell ref="J279:K279"/>
    <mergeCell ref="J280:K280"/>
    <mergeCell ref="J281:K281"/>
    <mergeCell ref="J282:K282"/>
    <mergeCell ref="J283:K283"/>
    <mergeCell ref="J284:K284"/>
    <mergeCell ref="J285:K285"/>
    <mergeCell ref="J286:K286"/>
    <mergeCell ref="J287:K287"/>
    <mergeCell ref="J288:K288"/>
    <mergeCell ref="J289:K289"/>
    <mergeCell ref="J290:K290"/>
    <mergeCell ref="J291:K291"/>
    <mergeCell ref="J292:K292"/>
    <mergeCell ref="J293:K293"/>
    <mergeCell ref="J294:K294"/>
    <mergeCell ref="J295:K295"/>
    <mergeCell ref="J296:K296"/>
    <mergeCell ref="J297:K297"/>
    <mergeCell ref="J298:K298"/>
    <mergeCell ref="J299:K299"/>
    <mergeCell ref="J300:K300"/>
    <mergeCell ref="J301:K301"/>
    <mergeCell ref="J302:K302"/>
    <mergeCell ref="J303:K303"/>
    <mergeCell ref="J304:K304"/>
    <mergeCell ref="J305:K305"/>
    <mergeCell ref="J306:K306"/>
    <mergeCell ref="J307:K307"/>
    <mergeCell ref="J308:K308"/>
    <mergeCell ref="J309:K309"/>
    <mergeCell ref="J310:K310"/>
    <mergeCell ref="J311:K311"/>
    <mergeCell ref="J312:K312"/>
    <mergeCell ref="J313:K313"/>
    <mergeCell ref="J314:K314"/>
    <mergeCell ref="J315:K315"/>
    <mergeCell ref="J316:K316"/>
    <mergeCell ref="J317:K317"/>
    <mergeCell ref="J318:K318"/>
    <mergeCell ref="J319:K319"/>
    <mergeCell ref="J320:K320"/>
    <mergeCell ref="J321:K321"/>
    <mergeCell ref="J322:K322"/>
    <mergeCell ref="J323:K323"/>
    <mergeCell ref="J324:K324"/>
    <mergeCell ref="J325:K325"/>
    <mergeCell ref="J326:K326"/>
    <mergeCell ref="J327:K327"/>
    <mergeCell ref="J328:K328"/>
    <mergeCell ref="J329:K329"/>
    <mergeCell ref="J330:K330"/>
    <mergeCell ref="J331:K331"/>
    <mergeCell ref="J332:K332"/>
    <mergeCell ref="J333:K333"/>
    <mergeCell ref="J334:K334"/>
    <mergeCell ref="J335:K335"/>
    <mergeCell ref="J336:K336"/>
    <mergeCell ref="J337:K337"/>
    <mergeCell ref="J338:K338"/>
    <mergeCell ref="J339:K339"/>
    <mergeCell ref="J340:K340"/>
    <mergeCell ref="J341:K341"/>
    <mergeCell ref="J342:K342"/>
    <mergeCell ref="J343:K343"/>
    <mergeCell ref="J344:K344"/>
    <mergeCell ref="J345:K345"/>
    <mergeCell ref="J346:K346"/>
    <mergeCell ref="J347:K347"/>
    <mergeCell ref="J348:K348"/>
    <mergeCell ref="J349:K349"/>
    <mergeCell ref="J350:K350"/>
    <mergeCell ref="J351:K351"/>
    <mergeCell ref="J352:K352"/>
    <mergeCell ref="J353:K353"/>
    <mergeCell ref="J354:K354"/>
    <mergeCell ref="J355:K355"/>
    <mergeCell ref="J356:K356"/>
    <mergeCell ref="J357:K357"/>
    <mergeCell ref="J358:K358"/>
    <mergeCell ref="J359:K359"/>
    <mergeCell ref="J360:K360"/>
    <mergeCell ref="J361:K361"/>
    <mergeCell ref="J362:K362"/>
    <mergeCell ref="J363:K363"/>
    <mergeCell ref="J364:K364"/>
    <mergeCell ref="J365:K365"/>
    <mergeCell ref="J366:K366"/>
    <mergeCell ref="J367:K367"/>
    <mergeCell ref="J368:K368"/>
    <mergeCell ref="J369:K369"/>
    <mergeCell ref="J370:K370"/>
    <mergeCell ref="J371:K371"/>
    <mergeCell ref="J372:K372"/>
    <mergeCell ref="J373:K373"/>
    <mergeCell ref="J374:K374"/>
    <mergeCell ref="J375:K375"/>
    <mergeCell ref="J376:K376"/>
    <mergeCell ref="J377:K377"/>
    <mergeCell ref="J378:K378"/>
    <mergeCell ref="J379:K379"/>
    <mergeCell ref="J380:K380"/>
    <mergeCell ref="J381:K381"/>
    <mergeCell ref="J382:K382"/>
    <mergeCell ref="J383:K383"/>
    <mergeCell ref="J384:K384"/>
    <mergeCell ref="J385:K385"/>
    <mergeCell ref="J386:K386"/>
    <mergeCell ref="J387:K387"/>
    <mergeCell ref="J388:K388"/>
    <mergeCell ref="J389:K389"/>
    <mergeCell ref="J390:K390"/>
    <mergeCell ref="J391:K391"/>
    <mergeCell ref="J392:K392"/>
    <mergeCell ref="J393:K393"/>
    <mergeCell ref="J394:K394"/>
    <mergeCell ref="J395:K395"/>
    <mergeCell ref="J396:K396"/>
    <mergeCell ref="J397:K397"/>
    <mergeCell ref="J398:K398"/>
    <mergeCell ref="J399:K399"/>
    <mergeCell ref="J400:K400"/>
    <mergeCell ref="J401:K401"/>
    <mergeCell ref="J402:K402"/>
    <mergeCell ref="J403:K403"/>
    <mergeCell ref="J404:K404"/>
    <mergeCell ref="J405:K405"/>
    <mergeCell ref="J406:K406"/>
    <mergeCell ref="J407:K407"/>
    <mergeCell ref="J408:K408"/>
    <mergeCell ref="J409:K409"/>
    <mergeCell ref="J410:K410"/>
    <mergeCell ref="J411:K411"/>
    <mergeCell ref="J412:K412"/>
    <mergeCell ref="J413:K413"/>
    <mergeCell ref="J414:K414"/>
    <mergeCell ref="J415:K415"/>
    <mergeCell ref="J416:K416"/>
    <mergeCell ref="J417:K417"/>
    <mergeCell ref="J418:K418"/>
    <mergeCell ref="J419:K419"/>
    <mergeCell ref="J420:K420"/>
    <mergeCell ref="J421:K421"/>
    <mergeCell ref="J422:K422"/>
    <mergeCell ref="J423:K423"/>
    <mergeCell ref="J424:K424"/>
    <mergeCell ref="J425:K425"/>
    <mergeCell ref="J426:K426"/>
    <mergeCell ref="J427:K427"/>
    <mergeCell ref="J428:K428"/>
    <mergeCell ref="J429:K429"/>
    <mergeCell ref="J430:K430"/>
    <mergeCell ref="J431:K431"/>
    <mergeCell ref="J432:K432"/>
    <mergeCell ref="J433:K433"/>
    <mergeCell ref="J434:K434"/>
    <mergeCell ref="J435:K435"/>
    <mergeCell ref="J436:K436"/>
    <mergeCell ref="J437:K437"/>
    <mergeCell ref="J438:K438"/>
    <mergeCell ref="J439:K439"/>
    <mergeCell ref="J440:K440"/>
    <mergeCell ref="J490:K490"/>
    <mergeCell ref="J491:K491"/>
    <mergeCell ref="J492:K492"/>
    <mergeCell ref="J493:K493"/>
    <mergeCell ref="J494:K494"/>
    <mergeCell ref="J495:K495"/>
    <mergeCell ref="J496:K496"/>
    <mergeCell ref="J497:K497"/>
    <mergeCell ref="J498:K498"/>
    <mergeCell ref="J499:K499"/>
    <mergeCell ref="J500:K500"/>
    <mergeCell ref="J501:K501"/>
    <mergeCell ref="J502:K502"/>
    <mergeCell ref="J503:K503"/>
    <mergeCell ref="J511:K511"/>
    <mergeCell ref="J512:K512"/>
    <mergeCell ref="J513:K513"/>
    <mergeCell ref="J514:K514"/>
    <mergeCell ref="J515:K515"/>
    <mergeCell ref="J516:K516"/>
    <mergeCell ref="J504:K504"/>
    <mergeCell ref="J505:K505"/>
    <mergeCell ref="J506:K506"/>
    <mergeCell ref="J507:K507"/>
    <mergeCell ref="J508:K508"/>
    <mergeCell ref="J509:K509"/>
    <mergeCell ref="J510:K510"/>
    <mergeCell ref="J441:K441"/>
    <mergeCell ref="J442:K442"/>
    <mergeCell ref="J443:K443"/>
    <mergeCell ref="J444:K444"/>
    <mergeCell ref="J445:K445"/>
    <mergeCell ref="J446:K446"/>
    <mergeCell ref="J447:K447"/>
    <mergeCell ref="J448:K448"/>
    <mergeCell ref="J449:K449"/>
    <mergeCell ref="J450:K450"/>
    <mergeCell ref="J451:K451"/>
    <mergeCell ref="J452:K452"/>
    <mergeCell ref="J453:K453"/>
    <mergeCell ref="J454:K454"/>
    <mergeCell ref="J455:K455"/>
    <mergeCell ref="J456:K456"/>
    <mergeCell ref="J457:K457"/>
    <mergeCell ref="J458:K458"/>
    <mergeCell ref="J459:K459"/>
    <mergeCell ref="J460:K460"/>
    <mergeCell ref="J461:K461"/>
    <mergeCell ref="J462:K462"/>
    <mergeCell ref="J463:K463"/>
    <mergeCell ref="J464:K464"/>
    <mergeCell ref="J465:K465"/>
    <mergeCell ref="J466:K466"/>
    <mergeCell ref="J467:K467"/>
    <mergeCell ref="J468:K468"/>
    <mergeCell ref="J469:K469"/>
    <mergeCell ref="J470:K470"/>
    <mergeCell ref="J471:K471"/>
    <mergeCell ref="J472:K472"/>
    <mergeCell ref="J473:K473"/>
    <mergeCell ref="J474:K474"/>
    <mergeCell ref="J475:K475"/>
    <mergeCell ref="J476:K476"/>
    <mergeCell ref="J477:K477"/>
    <mergeCell ref="J478:K478"/>
    <mergeCell ref="J479:K479"/>
    <mergeCell ref="J480:K480"/>
    <mergeCell ref="J481:K481"/>
    <mergeCell ref="J482:K482"/>
    <mergeCell ref="J483:K483"/>
    <mergeCell ref="J484:K484"/>
    <mergeCell ref="J485:K485"/>
    <mergeCell ref="J486:K486"/>
    <mergeCell ref="J487:K487"/>
    <mergeCell ref="J488:K488"/>
    <mergeCell ref="J489:K489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M103:Q103"/>
    <mergeCell ref="M104:Q104"/>
    <mergeCell ref="M105:Q105"/>
    <mergeCell ref="M106:Q106"/>
    <mergeCell ref="M107:Q107"/>
    <mergeCell ref="J104:K104"/>
    <mergeCell ref="J105:K105"/>
    <mergeCell ref="J106:K106"/>
    <mergeCell ref="J107:K107"/>
    <mergeCell ref="J108:K108"/>
    <mergeCell ref="J109:K109"/>
    <mergeCell ref="J110:K110"/>
    <mergeCell ref="M108:Q108"/>
    <mergeCell ref="M109:Q109"/>
    <mergeCell ref="M110:Q110"/>
    <mergeCell ref="M111:Q111"/>
    <mergeCell ref="M112:Q112"/>
    <mergeCell ref="M113:Q113"/>
    <mergeCell ref="M114:Q114"/>
    <mergeCell ref="M115:Q115"/>
    <mergeCell ref="M116:Q116"/>
    <mergeCell ref="M117:Q117"/>
    <mergeCell ref="M118:Q118"/>
    <mergeCell ref="M119:Q119"/>
    <mergeCell ref="M120:Q120"/>
    <mergeCell ref="M121:Q121"/>
    <mergeCell ref="M122:Q122"/>
    <mergeCell ref="M123:Q123"/>
    <mergeCell ref="M124:Q124"/>
    <mergeCell ref="M125:Q125"/>
    <mergeCell ref="M126:Q126"/>
    <mergeCell ref="M127:Q127"/>
    <mergeCell ref="M128:Q128"/>
    <mergeCell ref="M129:Q129"/>
    <mergeCell ref="M130:Q130"/>
    <mergeCell ref="J131:K131"/>
    <mergeCell ref="M131:Q131"/>
    <mergeCell ref="J132:K132"/>
    <mergeCell ref="M132:Q132"/>
    <mergeCell ref="M133:Q133"/>
    <mergeCell ref="J133:K133"/>
    <mergeCell ref="J134:K134"/>
    <mergeCell ref="J135:K135"/>
    <mergeCell ref="J136:K136"/>
    <mergeCell ref="J137:K137"/>
    <mergeCell ref="J138:K138"/>
    <mergeCell ref="J139:K139"/>
    <mergeCell ref="M134:Q134"/>
    <mergeCell ref="M135:Q135"/>
    <mergeCell ref="M136:Q136"/>
    <mergeCell ref="M137:Q137"/>
    <mergeCell ref="M138:Q138"/>
    <mergeCell ref="M139:Q139"/>
    <mergeCell ref="M140:Q140"/>
    <mergeCell ref="J140:K140"/>
    <mergeCell ref="J141:K141"/>
    <mergeCell ref="J142:K142"/>
    <mergeCell ref="J143:K143"/>
    <mergeCell ref="J144:K144"/>
    <mergeCell ref="J145:K145"/>
    <mergeCell ref="J146:K146"/>
    <mergeCell ref="M141:Q141"/>
    <mergeCell ref="M142:Q142"/>
    <mergeCell ref="M143:Q143"/>
    <mergeCell ref="M144:Q144"/>
    <mergeCell ref="M145:Q145"/>
    <mergeCell ref="M146:Q146"/>
    <mergeCell ref="M147:Q147"/>
    <mergeCell ref="M148:Q148"/>
    <mergeCell ref="M149:Q149"/>
    <mergeCell ref="M150:Q150"/>
    <mergeCell ref="M151:Q151"/>
    <mergeCell ref="M152:Q152"/>
    <mergeCell ref="M153:Q153"/>
    <mergeCell ref="M154:Q154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195:K195"/>
    <mergeCell ref="M155:Q155"/>
    <mergeCell ref="M156:Q156"/>
    <mergeCell ref="M157:Q157"/>
    <mergeCell ref="M158:Q158"/>
    <mergeCell ref="M159:Q159"/>
    <mergeCell ref="M160:Q160"/>
    <mergeCell ref="M161:Q161"/>
    <mergeCell ref="M162:Q162"/>
    <mergeCell ref="M163:Q163"/>
    <mergeCell ref="M164:Q164"/>
    <mergeCell ref="M165:Q165"/>
    <mergeCell ref="M166:Q166"/>
    <mergeCell ref="M167:Q167"/>
    <mergeCell ref="M168:Q168"/>
    <mergeCell ref="M169:Q169"/>
    <mergeCell ref="M170:Q170"/>
    <mergeCell ref="M171:Q171"/>
    <mergeCell ref="M172:Q172"/>
    <mergeCell ref="M173:Q173"/>
    <mergeCell ref="M174:Q174"/>
    <mergeCell ref="M175:Q175"/>
    <mergeCell ref="M176:Q176"/>
    <mergeCell ref="M177:Q177"/>
    <mergeCell ref="M178:Q178"/>
    <mergeCell ref="M179:Q179"/>
    <mergeCell ref="M180:Q180"/>
    <mergeCell ref="M181:Q181"/>
    <mergeCell ref="M182:Q182"/>
    <mergeCell ref="M183:Q183"/>
    <mergeCell ref="M184:Q184"/>
    <mergeCell ref="M185:Q185"/>
    <mergeCell ref="M186:Q186"/>
    <mergeCell ref="M187:Q187"/>
    <mergeCell ref="M188:Q188"/>
    <mergeCell ref="M189:Q189"/>
    <mergeCell ref="M190:Q190"/>
    <mergeCell ref="M191:Q191"/>
    <mergeCell ref="M192:Q192"/>
    <mergeCell ref="M193:Q193"/>
    <mergeCell ref="M194:Q194"/>
    <mergeCell ref="M195:Q195"/>
    <mergeCell ref="M196:Q196"/>
    <mergeCell ref="M197:Q197"/>
    <mergeCell ref="M198:Q198"/>
    <mergeCell ref="M199:Q199"/>
    <mergeCell ref="M200:Q200"/>
    <mergeCell ref="M201:Q201"/>
    <mergeCell ref="M202:Q202"/>
    <mergeCell ref="M203:Q203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211:K211"/>
    <mergeCell ref="J212:K212"/>
    <mergeCell ref="J213:K213"/>
    <mergeCell ref="J214:K214"/>
    <mergeCell ref="J215:K215"/>
    <mergeCell ref="J216:K216"/>
    <mergeCell ref="J217:K217"/>
    <mergeCell ref="J218:K218"/>
    <mergeCell ref="J219:K219"/>
    <mergeCell ref="J220:K220"/>
    <mergeCell ref="J221:K221"/>
    <mergeCell ref="J222:K222"/>
    <mergeCell ref="J223:K223"/>
    <mergeCell ref="J224:K224"/>
    <mergeCell ref="J225:K225"/>
    <mergeCell ref="J226:K226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235:K235"/>
    <mergeCell ref="J236:K236"/>
    <mergeCell ref="J237:K237"/>
    <mergeCell ref="J238:K238"/>
    <mergeCell ref="J239:K239"/>
    <mergeCell ref="J240:K240"/>
    <mergeCell ref="J241:K241"/>
    <mergeCell ref="J242:K242"/>
    <mergeCell ref="J243:K243"/>
    <mergeCell ref="J244:K244"/>
    <mergeCell ref="M204:Q204"/>
    <mergeCell ref="M205:Q205"/>
    <mergeCell ref="M206:Q206"/>
    <mergeCell ref="M207:Q207"/>
    <mergeCell ref="M208:Q208"/>
    <mergeCell ref="M209:Q209"/>
    <mergeCell ref="M210:Q210"/>
    <mergeCell ref="M211:Q211"/>
    <mergeCell ref="M212:Q212"/>
    <mergeCell ref="M213:Q213"/>
    <mergeCell ref="M214:Q214"/>
    <mergeCell ref="M215:Q215"/>
    <mergeCell ref="M216:Q216"/>
    <mergeCell ref="M217:Q217"/>
    <mergeCell ref="M218:Q218"/>
    <mergeCell ref="M219:Q219"/>
    <mergeCell ref="M220:Q220"/>
    <mergeCell ref="M221:Q221"/>
    <mergeCell ref="M222:Q222"/>
    <mergeCell ref="M223:Q223"/>
    <mergeCell ref="M224:Q224"/>
    <mergeCell ref="M225:Q225"/>
    <mergeCell ref="M226:Q226"/>
    <mergeCell ref="M227:Q227"/>
    <mergeCell ref="M228:Q228"/>
    <mergeCell ref="M229:Q229"/>
    <mergeCell ref="M230:Q230"/>
    <mergeCell ref="M231:Q231"/>
    <mergeCell ref="M232:Q232"/>
    <mergeCell ref="M233:Q233"/>
    <mergeCell ref="M234:Q234"/>
    <mergeCell ref="M235:Q235"/>
    <mergeCell ref="M236:Q236"/>
    <mergeCell ref="M237:Q237"/>
    <mergeCell ref="M238:Q238"/>
    <mergeCell ref="M239:Q239"/>
    <mergeCell ref="M240:Q240"/>
    <mergeCell ref="M241:Q241"/>
    <mergeCell ref="M242:Q242"/>
    <mergeCell ref="M243:Q243"/>
    <mergeCell ref="M244:Q244"/>
    <mergeCell ref="M245:Q245"/>
    <mergeCell ref="M246:Q246"/>
    <mergeCell ref="M247:Q247"/>
    <mergeCell ref="M248:Q248"/>
    <mergeCell ref="M249:Q249"/>
    <mergeCell ref="M250:Q250"/>
    <mergeCell ref="M251:Q251"/>
    <mergeCell ref="M252:Q252"/>
    <mergeCell ref="M253:Q253"/>
    <mergeCell ref="M254:Q254"/>
    <mergeCell ref="M255:Q255"/>
    <mergeCell ref="M256:Q256"/>
    <mergeCell ref="M257:Q257"/>
    <mergeCell ref="M258:Q258"/>
    <mergeCell ref="M259:Q259"/>
    <mergeCell ref="M260:Q260"/>
    <mergeCell ref="M261:Q261"/>
    <mergeCell ref="M262:Q262"/>
    <mergeCell ref="M263:Q263"/>
    <mergeCell ref="M264:Q264"/>
    <mergeCell ref="M265:Q265"/>
    <mergeCell ref="M266:Q266"/>
    <mergeCell ref="M267:Q267"/>
    <mergeCell ref="M268:Q268"/>
    <mergeCell ref="M269:Q269"/>
    <mergeCell ref="M270:Q270"/>
    <mergeCell ref="M271:Q271"/>
    <mergeCell ref="M272:Q272"/>
    <mergeCell ref="M273:Q273"/>
    <mergeCell ref="M274:Q274"/>
    <mergeCell ref="M275:Q275"/>
    <mergeCell ref="M276:Q276"/>
    <mergeCell ref="M277:Q277"/>
    <mergeCell ref="M278:Q278"/>
    <mergeCell ref="M279:Q279"/>
    <mergeCell ref="M280:Q280"/>
    <mergeCell ref="M281:Q281"/>
    <mergeCell ref="M282:Q282"/>
    <mergeCell ref="M283:Q283"/>
    <mergeCell ref="M284:Q284"/>
    <mergeCell ref="M285:Q285"/>
    <mergeCell ref="M286:Q286"/>
    <mergeCell ref="M287:Q287"/>
    <mergeCell ref="M288:Q288"/>
    <mergeCell ref="M289:Q289"/>
    <mergeCell ref="M290:Q290"/>
    <mergeCell ref="M291:Q291"/>
    <mergeCell ref="M292:Q292"/>
    <mergeCell ref="M293:Q293"/>
    <mergeCell ref="M294:Q294"/>
    <mergeCell ref="M295:Q295"/>
    <mergeCell ref="M296:Q296"/>
    <mergeCell ref="M297:Q297"/>
    <mergeCell ref="M298:Q298"/>
    <mergeCell ref="M299:Q299"/>
    <mergeCell ref="M300:Q300"/>
    <mergeCell ref="M301:Q301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M566:Q566"/>
    <mergeCell ref="R566:S566"/>
    <mergeCell ref="J564:K564"/>
    <mergeCell ref="M564:Q564"/>
    <mergeCell ref="R564:S564"/>
    <mergeCell ref="J565:K565"/>
    <mergeCell ref="M565:Q565"/>
    <mergeCell ref="R565:S565"/>
    <mergeCell ref="J566:K566"/>
    <mergeCell ref="M550:Q550"/>
    <mergeCell ref="R550:S550"/>
    <mergeCell ref="M551:Q551"/>
    <mergeCell ref="R551:S551"/>
    <mergeCell ref="M552:Q552"/>
    <mergeCell ref="R552:S552"/>
    <mergeCell ref="R553:S553"/>
    <mergeCell ref="M553:Q553"/>
    <mergeCell ref="M554:Q554"/>
    <mergeCell ref="R554:S554"/>
    <mergeCell ref="M555:Q555"/>
    <mergeCell ref="R555:S555"/>
    <mergeCell ref="M556:Q556"/>
    <mergeCell ref="R556:S556"/>
    <mergeCell ref="M560:Q560"/>
    <mergeCell ref="R560:S560"/>
    <mergeCell ref="J558:K558"/>
    <mergeCell ref="M558:Q558"/>
    <mergeCell ref="R558:S558"/>
    <mergeCell ref="J559:K559"/>
    <mergeCell ref="M559:Q559"/>
    <mergeCell ref="R559:S559"/>
    <mergeCell ref="J560:K560"/>
    <mergeCell ref="M563:Q563"/>
    <mergeCell ref="R563:S563"/>
    <mergeCell ref="J561:K561"/>
    <mergeCell ref="M561:Q561"/>
    <mergeCell ref="R561:S561"/>
    <mergeCell ref="J562:K562"/>
    <mergeCell ref="M562:Q562"/>
    <mergeCell ref="R562:S562"/>
    <mergeCell ref="J563:K563"/>
    <mergeCell ref="J567:K567"/>
    <mergeCell ref="M567:Q567"/>
    <mergeCell ref="J529:K529"/>
    <mergeCell ref="J530:K530"/>
    <mergeCell ref="J531:K531"/>
    <mergeCell ref="J532:K532"/>
    <mergeCell ref="J533:K533"/>
    <mergeCell ref="J534:K534"/>
    <mergeCell ref="J535:K535"/>
    <mergeCell ref="J536:K536"/>
    <mergeCell ref="J537:K537"/>
    <mergeCell ref="J538:K538"/>
    <mergeCell ref="J539:K539"/>
    <mergeCell ref="J540:K540"/>
    <mergeCell ref="J541:K541"/>
    <mergeCell ref="J542:K542"/>
    <mergeCell ref="J550:K550"/>
    <mergeCell ref="J551:K551"/>
    <mergeCell ref="J552:K552"/>
    <mergeCell ref="J553:K553"/>
    <mergeCell ref="J554:K554"/>
    <mergeCell ref="J555:K555"/>
    <mergeCell ref="J556:K556"/>
    <mergeCell ref="J557:K557"/>
    <mergeCell ref="J543:K543"/>
    <mergeCell ref="J544:K544"/>
    <mergeCell ref="J545:K545"/>
    <mergeCell ref="J546:K546"/>
    <mergeCell ref="J547:K547"/>
    <mergeCell ref="J548:K548"/>
    <mergeCell ref="J549:K549"/>
    <mergeCell ref="J519:K519"/>
    <mergeCell ref="J520:K520"/>
    <mergeCell ref="M520:Q520"/>
    <mergeCell ref="R520:S520"/>
    <mergeCell ref="J521:K521"/>
    <mergeCell ref="R521:S521"/>
    <mergeCell ref="R522:S522"/>
    <mergeCell ref="M521:Q521"/>
    <mergeCell ref="M522:Q522"/>
    <mergeCell ref="M523:Q523"/>
    <mergeCell ref="R523:S523"/>
    <mergeCell ref="M524:Q524"/>
    <mergeCell ref="R524:S524"/>
    <mergeCell ref="R525:S525"/>
    <mergeCell ref="M525:Q525"/>
    <mergeCell ref="M526:Q526"/>
    <mergeCell ref="R526:S526"/>
    <mergeCell ref="M527:Q527"/>
    <mergeCell ref="R527:S527"/>
    <mergeCell ref="M528:Q528"/>
    <mergeCell ref="R528:S528"/>
    <mergeCell ref="J522:K522"/>
    <mergeCell ref="J523:K523"/>
    <mergeCell ref="J524:K524"/>
    <mergeCell ref="J525:K525"/>
    <mergeCell ref="J526:K526"/>
    <mergeCell ref="J527:K527"/>
    <mergeCell ref="J528:K528"/>
    <mergeCell ref="M529:Q529"/>
    <mergeCell ref="R529:S529"/>
    <mergeCell ref="M530:Q530"/>
    <mergeCell ref="R530:S530"/>
    <mergeCell ref="M531:Q531"/>
    <mergeCell ref="R531:S531"/>
    <mergeCell ref="R532:S532"/>
    <mergeCell ref="M532:Q532"/>
    <mergeCell ref="M533:Q533"/>
    <mergeCell ref="R533:S533"/>
    <mergeCell ref="M534:Q534"/>
    <mergeCell ref="R534:S534"/>
    <mergeCell ref="M535:Q535"/>
    <mergeCell ref="R535:S535"/>
    <mergeCell ref="M557:Q557"/>
    <mergeCell ref="R557:S557"/>
    <mergeCell ref="M588:Q588"/>
    <mergeCell ref="M589:Q589"/>
    <mergeCell ref="R589:S589"/>
    <mergeCell ref="M585:Q585"/>
    <mergeCell ref="R585:S585"/>
    <mergeCell ref="M586:Q586"/>
    <mergeCell ref="R586:S586"/>
    <mergeCell ref="M587:Q587"/>
    <mergeCell ref="R587:S587"/>
    <mergeCell ref="R588:S588"/>
    <mergeCell ref="M543:Q543"/>
    <mergeCell ref="R543:S543"/>
    <mergeCell ref="M544:Q544"/>
    <mergeCell ref="R544:S544"/>
    <mergeCell ref="M545:Q545"/>
    <mergeCell ref="R545:S545"/>
    <mergeCell ref="R546:S546"/>
    <mergeCell ref="M546:Q546"/>
    <mergeCell ref="M547:Q547"/>
    <mergeCell ref="R547:S547"/>
    <mergeCell ref="M548:Q548"/>
    <mergeCell ref="R548:S548"/>
    <mergeCell ref="M549:Q549"/>
    <mergeCell ref="R549:S549"/>
    <mergeCell ref="R567:S567"/>
    <mergeCell ref="M568:Q568"/>
    <mergeCell ref="R568:S568"/>
    <mergeCell ref="M569:Q569"/>
    <mergeCell ref="R569:S569"/>
    <mergeCell ref="M570:Q570"/>
    <mergeCell ref="R570:S570"/>
    <mergeCell ref="M571:Q571"/>
    <mergeCell ref="R571:S571"/>
    <mergeCell ref="M572:Q572"/>
    <mergeCell ref="R572:S572"/>
    <mergeCell ref="M573:Q573"/>
    <mergeCell ref="R573:S573"/>
    <mergeCell ref="R574:S574"/>
    <mergeCell ref="M574:Q574"/>
    <mergeCell ref="M575:Q575"/>
    <mergeCell ref="R575:S575"/>
    <mergeCell ref="M576:Q576"/>
    <mergeCell ref="R576:S576"/>
    <mergeCell ref="M577:Q577"/>
    <mergeCell ref="R577:S577"/>
    <mergeCell ref="M578:Q578"/>
    <mergeCell ref="R578:S578"/>
    <mergeCell ref="M579:Q579"/>
    <mergeCell ref="R579:S579"/>
    <mergeCell ref="M580:Q580"/>
    <mergeCell ref="R580:S580"/>
    <mergeCell ref="R581:S581"/>
    <mergeCell ref="M581:Q581"/>
    <mergeCell ref="M582:Q582"/>
    <mergeCell ref="R582:S582"/>
    <mergeCell ref="M583:Q583"/>
    <mergeCell ref="R583:S583"/>
    <mergeCell ref="M584:Q584"/>
    <mergeCell ref="R584:S584"/>
    <mergeCell ref="D594:F594"/>
    <mergeCell ref="D595:F595"/>
    <mergeCell ref="D596:F596"/>
    <mergeCell ref="D590:F590"/>
    <mergeCell ref="D591:F591"/>
    <mergeCell ref="D592:F592"/>
    <mergeCell ref="J592:K592"/>
    <mergeCell ref="D593:F593"/>
    <mergeCell ref="J593:K593"/>
    <mergeCell ref="J594:K594"/>
    <mergeCell ref="D599:F599"/>
    <mergeCell ref="D600:F600"/>
    <mergeCell ref="D601:F601"/>
    <mergeCell ref="J595:K595"/>
    <mergeCell ref="J596:K596"/>
    <mergeCell ref="D597:F597"/>
    <mergeCell ref="J597:K597"/>
    <mergeCell ref="D598:F598"/>
    <mergeCell ref="J598:K598"/>
    <mergeCell ref="J599:K599"/>
    <mergeCell ref="D604:F604"/>
    <mergeCell ref="D605:F605"/>
    <mergeCell ref="D606:F606"/>
    <mergeCell ref="J600:K600"/>
    <mergeCell ref="J601:K601"/>
    <mergeCell ref="D602:F602"/>
    <mergeCell ref="J602:K602"/>
    <mergeCell ref="D603:F603"/>
    <mergeCell ref="J603:K603"/>
    <mergeCell ref="J604:K604"/>
    <mergeCell ref="D609:F609"/>
    <mergeCell ref="D610:F610"/>
    <mergeCell ref="D611:F611"/>
    <mergeCell ref="J605:K605"/>
    <mergeCell ref="J606:K606"/>
    <mergeCell ref="D607:F607"/>
    <mergeCell ref="J607:K607"/>
    <mergeCell ref="D608:F608"/>
    <mergeCell ref="J608:K608"/>
    <mergeCell ref="J609:K609"/>
    <mergeCell ref="D614:F614"/>
    <mergeCell ref="D615:F615"/>
    <mergeCell ref="D616:F616"/>
    <mergeCell ref="J610:K610"/>
    <mergeCell ref="J611:K611"/>
    <mergeCell ref="D612:F612"/>
    <mergeCell ref="J612:K612"/>
    <mergeCell ref="D613:F613"/>
    <mergeCell ref="J613:K613"/>
    <mergeCell ref="J614:K614"/>
    <mergeCell ref="D619:F619"/>
    <mergeCell ref="D620:F620"/>
    <mergeCell ref="D621:F621"/>
    <mergeCell ref="J615:K615"/>
    <mergeCell ref="J616:K616"/>
    <mergeCell ref="D617:F617"/>
    <mergeCell ref="J617:K617"/>
    <mergeCell ref="D618:F618"/>
    <mergeCell ref="J618:K618"/>
    <mergeCell ref="J619:K619"/>
    <mergeCell ref="D624:F624"/>
    <mergeCell ref="D625:F625"/>
    <mergeCell ref="D626:F626"/>
    <mergeCell ref="J620:K620"/>
    <mergeCell ref="J621:K621"/>
    <mergeCell ref="D622:F622"/>
    <mergeCell ref="J622:K622"/>
    <mergeCell ref="D623:F623"/>
    <mergeCell ref="J623:K623"/>
    <mergeCell ref="J624:K624"/>
    <mergeCell ref="D369:F369"/>
    <mergeCell ref="D370:F370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  <mergeCell ref="D456:F456"/>
    <mergeCell ref="D457:F457"/>
    <mergeCell ref="D458:F458"/>
    <mergeCell ref="D459:F459"/>
    <mergeCell ref="D460:F460"/>
    <mergeCell ref="D461:F461"/>
    <mergeCell ref="D462:F462"/>
    <mergeCell ref="D463:F463"/>
    <mergeCell ref="D464:F464"/>
    <mergeCell ref="D465:F465"/>
    <mergeCell ref="D466:F466"/>
    <mergeCell ref="D467:F467"/>
    <mergeCell ref="D468:F468"/>
    <mergeCell ref="D469:F469"/>
    <mergeCell ref="D470:F470"/>
    <mergeCell ref="D471:F471"/>
    <mergeCell ref="D472:F472"/>
    <mergeCell ref="D473:F473"/>
    <mergeCell ref="D474:F474"/>
    <mergeCell ref="D475:F475"/>
    <mergeCell ref="D476:F476"/>
    <mergeCell ref="D477:F477"/>
    <mergeCell ref="D478:F478"/>
    <mergeCell ref="D479:F479"/>
    <mergeCell ref="D480:F480"/>
    <mergeCell ref="D481:F481"/>
    <mergeCell ref="D482:F482"/>
    <mergeCell ref="D483:F483"/>
    <mergeCell ref="D484:F484"/>
    <mergeCell ref="D485:F485"/>
    <mergeCell ref="D486:F486"/>
    <mergeCell ref="D487:F487"/>
    <mergeCell ref="D488:F488"/>
    <mergeCell ref="D489:F489"/>
    <mergeCell ref="D490:F490"/>
    <mergeCell ref="D491:F491"/>
    <mergeCell ref="D492:F492"/>
    <mergeCell ref="D493:F493"/>
    <mergeCell ref="D494:F494"/>
    <mergeCell ref="D495:F495"/>
    <mergeCell ref="D496:F496"/>
    <mergeCell ref="D497:F497"/>
    <mergeCell ref="D498:F498"/>
    <mergeCell ref="D499:F499"/>
    <mergeCell ref="D500:F500"/>
    <mergeCell ref="D501:F501"/>
    <mergeCell ref="D516:F516"/>
    <mergeCell ref="M516:Q516"/>
    <mergeCell ref="R516:S516"/>
    <mergeCell ref="J517:K517"/>
    <mergeCell ref="M517:Q517"/>
    <mergeCell ref="R517:S517"/>
    <mergeCell ref="D517:F517"/>
    <mergeCell ref="D518:F518"/>
    <mergeCell ref="J518:K518"/>
    <mergeCell ref="M518:Q518"/>
    <mergeCell ref="R518:S518"/>
    <mergeCell ref="M519:Q519"/>
    <mergeCell ref="R519:S519"/>
    <mergeCell ref="M536:Q536"/>
    <mergeCell ref="R536:S536"/>
    <mergeCell ref="M537:Q537"/>
    <mergeCell ref="R537:S537"/>
    <mergeCell ref="M538:Q538"/>
    <mergeCell ref="R538:S538"/>
    <mergeCell ref="R539:S539"/>
    <mergeCell ref="M539:Q539"/>
    <mergeCell ref="M540:Q540"/>
    <mergeCell ref="R540:S540"/>
    <mergeCell ref="M541:Q541"/>
    <mergeCell ref="R541:S541"/>
    <mergeCell ref="M542:Q542"/>
    <mergeCell ref="R542:S542"/>
    <mergeCell ref="D502:F502"/>
    <mergeCell ref="D503:F503"/>
    <mergeCell ref="D504:F504"/>
    <mergeCell ref="D505:F505"/>
    <mergeCell ref="D506:F506"/>
    <mergeCell ref="D507:F507"/>
    <mergeCell ref="D508:F508"/>
    <mergeCell ref="D509:F509"/>
    <mergeCell ref="D510:F510"/>
    <mergeCell ref="D511:F511"/>
    <mergeCell ref="D512:F512"/>
    <mergeCell ref="D513:F513"/>
    <mergeCell ref="D514:F514"/>
    <mergeCell ref="D515:F515"/>
    <mergeCell ref="D519:F519"/>
    <mergeCell ref="D520:F520"/>
    <mergeCell ref="D521:F521"/>
    <mergeCell ref="D522:F522"/>
    <mergeCell ref="D523:F523"/>
    <mergeCell ref="D524:F524"/>
    <mergeCell ref="D525:F525"/>
    <mergeCell ref="D526:F526"/>
    <mergeCell ref="D527:F527"/>
    <mergeCell ref="D528:F528"/>
    <mergeCell ref="D529:F529"/>
    <mergeCell ref="D530:F530"/>
    <mergeCell ref="D531:F531"/>
    <mergeCell ref="D532:F532"/>
    <mergeCell ref="D533:F533"/>
    <mergeCell ref="D534:F534"/>
    <mergeCell ref="D535:F535"/>
    <mergeCell ref="D536:F536"/>
    <mergeCell ref="D537:F537"/>
    <mergeCell ref="D538:F538"/>
    <mergeCell ref="D539:F539"/>
    <mergeCell ref="D540:F540"/>
    <mergeCell ref="D541:F541"/>
    <mergeCell ref="D542:F542"/>
    <mergeCell ref="D543:F543"/>
    <mergeCell ref="D544:F544"/>
    <mergeCell ref="D545:F545"/>
    <mergeCell ref="D546:F546"/>
    <mergeCell ref="D547:F547"/>
    <mergeCell ref="D548:F548"/>
    <mergeCell ref="D549:F549"/>
    <mergeCell ref="D550:F550"/>
    <mergeCell ref="D551:F551"/>
    <mergeCell ref="D552:F552"/>
    <mergeCell ref="D553:F553"/>
    <mergeCell ref="J590:K590"/>
    <mergeCell ref="J591:K591"/>
    <mergeCell ref="J574:K574"/>
    <mergeCell ref="J575:K575"/>
    <mergeCell ref="J576:K576"/>
    <mergeCell ref="J577:K577"/>
    <mergeCell ref="J578:K578"/>
    <mergeCell ref="J579:K579"/>
    <mergeCell ref="J580:K580"/>
    <mergeCell ref="J581:K581"/>
    <mergeCell ref="J582:K582"/>
    <mergeCell ref="J583:K583"/>
    <mergeCell ref="J584:K584"/>
    <mergeCell ref="J585:K585"/>
    <mergeCell ref="J586:K586"/>
    <mergeCell ref="J587:K587"/>
    <mergeCell ref="J588:K588"/>
    <mergeCell ref="J589:K589"/>
    <mergeCell ref="M590:Q590"/>
    <mergeCell ref="R590:S590"/>
    <mergeCell ref="M591:Q591"/>
    <mergeCell ref="R591:S591"/>
    <mergeCell ref="R592:S592"/>
    <mergeCell ref="M592:Q592"/>
    <mergeCell ref="M593:Q593"/>
    <mergeCell ref="R593:S593"/>
    <mergeCell ref="M594:Q594"/>
    <mergeCell ref="R594:S594"/>
    <mergeCell ref="M595:Q595"/>
    <mergeCell ref="R595:S595"/>
    <mergeCell ref="M596:Q596"/>
    <mergeCell ref="R596:S596"/>
    <mergeCell ref="M597:Q597"/>
    <mergeCell ref="R597:S597"/>
    <mergeCell ref="M598:Q598"/>
    <mergeCell ref="R598:S598"/>
    <mergeCell ref="R599:S599"/>
    <mergeCell ref="M599:Q599"/>
    <mergeCell ref="M600:Q600"/>
    <mergeCell ref="R600:S600"/>
    <mergeCell ref="M601:Q601"/>
    <mergeCell ref="R601:S601"/>
    <mergeCell ref="M602:Q602"/>
    <mergeCell ref="R602:S602"/>
    <mergeCell ref="M603:Q603"/>
    <mergeCell ref="R603:S603"/>
    <mergeCell ref="M604:Q604"/>
    <mergeCell ref="R604:S604"/>
    <mergeCell ref="M605:Q605"/>
    <mergeCell ref="R605:S605"/>
    <mergeCell ref="R606:S606"/>
    <mergeCell ref="M606:Q606"/>
    <mergeCell ref="M607:Q607"/>
    <mergeCell ref="R607:S607"/>
    <mergeCell ref="M608:Q608"/>
    <mergeCell ref="R608:S608"/>
    <mergeCell ref="M609:Q609"/>
    <mergeCell ref="R609:S609"/>
    <mergeCell ref="D629:F629"/>
    <mergeCell ref="D630:F630"/>
    <mergeCell ref="D631:F631"/>
    <mergeCell ref="J625:K625"/>
    <mergeCell ref="J626:K626"/>
    <mergeCell ref="D627:F627"/>
    <mergeCell ref="J627:K627"/>
    <mergeCell ref="D628:F628"/>
    <mergeCell ref="J628:K628"/>
    <mergeCell ref="J629:K629"/>
    <mergeCell ref="D634:F634"/>
    <mergeCell ref="D635:F635"/>
    <mergeCell ref="D636:F636"/>
    <mergeCell ref="J630:K630"/>
    <mergeCell ref="J631:K631"/>
    <mergeCell ref="D632:F632"/>
    <mergeCell ref="J632:K632"/>
    <mergeCell ref="D633:F633"/>
    <mergeCell ref="J633:K633"/>
    <mergeCell ref="J634:K634"/>
    <mergeCell ref="D639:F639"/>
    <mergeCell ref="D640:F640"/>
    <mergeCell ref="D641:F641"/>
    <mergeCell ref="J635:K635"/>
    <mergeCell ref="J636:K636"/>
    <mergeCell ref="D637:F637"/>
    <mergeCell ref="J637:K637"/>
    <mergeCell ref="D638:F638"/>
    <mergeCell ref="J638:K638"/>
    <mergeCell ref="J639:K639"/>
    <mergeCell ref="D644:F644"/>
    <mergeCell ref="D645:F645"/>
    <mergeCell ref="D646:F646"/>
    <mergeCell ref="J640:K640"/>
    <mergeCell ref="J641:K641"/>
    <mergeCell ref="D642:F642"/>
    <mergeCell ref="J642:K642"/>
    <mergeCell ref="D643:F643"/>
    <mergeCell ref="J643:K643"/>
    <mergeCell ref="J644:K644"/>
    <mergeCell ref="D649:F649"/>
    <mergeCell ref="D650:F650"/>
    <mergeCell ref="D651:F651"/>
    <mergeCell ref="J645:K645"/>
    <mergeCell ref="J646:K646"/>
    <mergeCell ref="D647:F647"/>
    <mergeCell ref="J647:K647"/>
    <mergeCell ref="D648:F648"/>
    <mergeCell ref="J648:K648"/>
    <mergeCell ref="J649:K649"/>
    <mergeCell ref="D654:F654"/>
    <mergeCell ref="D655:F655"/>
    <mergeCell ref="D656:F656"/>
    <mergeCell ref="J650:K650"/>
    <mergeCell ref="J651:K651"/>
    <mergeCell ref="D652:F652"/>
    <mergeCell ref="J652:K652"/>
    <mergeCell ref="D653:F653"/>
    <mergeCell ref="J653:K653"/>
    <mergeCell ref="J654:K654"/>
    <mergeCell ref="D659:F659"/>
    <mergeCell ref="D660:F660"/>
    <mergeCell ref="D661:F661"/>
    <mergeCell ref="J655:K655"/>
    <mergeCell ref="J656:K656"/>
    <mergeCell ref="D657:F657"/>
    <mergeCell ref="J657:K657"/>
    <mergeCell ref="D658:F658"/>
    <mergeCell ref="J658:K658"/>
    <mergeCell ref="J659:K659"/>
    <mergeCell ref="M631:Q631"/>
    <mergeCell ref="R631:S631"/>
    <mergeCell ref="M632:Q632"/>
    <mergeCell ref="R632:S632"/>
    <mergeCell ref="M633:Q633"/>
    <mergeCell ref="R633:S633"/>
    <mergeCell ref="R634:S634"/>
    <mergeCell ref="M634:Q634"/>
    <mergeCell ref="M635:Q635"/>
    <mergeCell ref="R635:S635"/>
    <mergeCell ref="M636:Q636"/>
    <mergeCell ref="R636:S636"/>
    <mergeCell ref="M637:Q637"/>
    <mergeCell ref="R637:S637"/>
    <mergeCell ref="M638:Q638"/>
    <mergeCell ref="R638:S638"/>
    <mergeCell ref="M639:Q639"/>
    <mergeCell ref="R639:S639"/>
    <mergeCell ref="M640:Q640"/>
    <mergeCell ref="R640:S640"/>
    <mergeCell ref="R641:S641"/>
    <mergeCell ref="M641:Q641"/>
    <mergeCell ref="M642:Q642"/>
    <mergeCell ref="R642:S642"/>
    <mergeCell ref="M643:Q643"/>
    <mergeCell ref="R643:S643"/>
    <mergeCell ref="M644:Q644"/>
    <mergeCell ref="R644:S644"/>
    <mergeCell ref="M645:Q645"/>
    <mergeCell ref="R645:S645"/>
    <mergeCell ref="M646:Q646"/>
    <mergeCell ref="R646:S646"/>
    <mergeCell ref="M647:Q647"/>
    <mergeCell ref="R647:S647"/>
    <mergeCell ref="R648:S648"/>
    <mergeCell ref="M648:Q648"/>
    <mergeCell ref="M649:Q649"/>
    <mergeCell ref="R649:S649"/>
    <mergeCell ref="M650:Q650"/>
    <mergeCell ref="R650:S650"/>
    <mergeCell ref="M651:Q651"/>
    <mergeCell ref="R651:S651"/>
    <mergeCell ref="M652:Q652"/>
    <mergeCell ref="R652:S652"/>
    <mergeCell ref="M653:Q653"/>
    <mergeCell ref="R653:S653"/>
    <mergeCell ref="M654:Q654"/>
    <mergeCell ref="R654:S654"/>
    <mergeCell ref="R655:S655"/>
    <mergeCell ref="M655:Q655"/>
    <mergeCell ref="M656:Q656"/>
    <mergeCell ref="R656:S656"/>
    <mergeCell ref="M657:Q657"/>
    <mergeCell ref="R657:S657"/>
    <mergeCell ref="M658:Q658"/>
    <mergeCell ref="R658:S658"/>
    <mergeCell ref="M659:Q659"/>
    <mergeCell ref="R659:S659"/>
    <mergeCell ref="M660:Q660"/>
    <mergeCell ref="R660:S660"/>
    <mergeCell ref="M661:Q661"/>
    <mergeCell ref="R661:S661"/>
    <mergeCell ref="R662:S662"/>
    <mergeCell ref="M662:Q662"/>
    <mergeCell ref="M663:Q663"/>
    <mergeCell ref="R663:S663"/>
    <mergeCell ref="M664:Q664"/>
    <mergeCell ref="R664:S664"/>
    <mergeCell ref="M665:Q665"/>
    <mergeCell ref="R665:S665"/>
    <mergeCell ref="M666:Q666"/>
    <mergeCell ref="R666:S666"/>
    <mergeCell ref="M667:Q667"/>
    <mergeCell ref="R667:S667"/>
    <mergeCell ref="M668:Q668"/>
    <mergeCell ref="R668:S668"/>
    <mergeCell ref="R669:S669"/>
    <mergeCell ref="M669:Q669"/>
    <mergeCell ref="M670:Q670"/>
    <mergeCell ref="R670:S670"/>
    <mergeCell ref="M671:Q671"/>
    <mergeCell ref="R671:S671"/>
    <mergeCell ref="M672:Q672"/>
    <mergeCell ref="R672:S672"/>
    <mergeCell ref="M673:Q673"/>
    <mergeCell ref="R673:S673"/>
    <mergeCell ref="M674:Q674"/>
    <mergeCell ref="R674:S674"/>
    <mergeCell ref="M675:Q675"/>
    <mergeCell ref="R675:S675"/>
    <mergeCell ref="R676:S676"/>
    <mergeCell ref="M676:Q676"/>
    <mergeCell ref="M677:Q677"/>
    <mergeCell ref="R677:S677"/>
    <mergeCell ref="M678:Q678"/>
    <mergeCell ref="R678:S678"/>
    <mergeCell ref="M679:Q679"/>
    <mergeCell ref="R679:S679"/>
    <mergeCell ref="M680:Q680"/>
    <mergeCell ref="R680:S680"/>
    <mergeCell ref="M681:Q681"/>
    <mergeCell ref="R681:S681"/>
    <mergeCell ref="M682:Q682"/>
    <mergeCell ref="R682:S682"/>
    <mergeCell ref="R683:S683"/>
    <mergeCell ref="M683:Q683"/>
    <mergeCell ref="M684:Q684"/>
    <mergeCell ref="R684:S684"/>
    <mergeCell ref="M685:Q685"/>
    <mergeCell ref="R685:S685"/>
    <mergeCell ref="M686:Q686"/>
    <mergeCell ref="R686:S686"/>
    <mergeCell ref="M687:Q687"/>
    <mergeCell ref="R687:S687"/>
    <mergeCell ref="M688:Q688"/>
    <mergeCell ref="R688:S688"/>
    <mergeCell ref="M689:Q689"/>
    <mergeCell ref="R689:S689"/>
    <mergeCell ref="R690:S690"/>
    <mergeCell ref="M690:Q690"/>
    <mergeCell ref="M691:Q691"/>
    <mergeCell ref="R691:S691"/>
    <mergeCell ref="M692:Q692"/>
    <mergeCell ref="R692:S692"/>
    <mergeCell ref="M693:Q693"/>
    <mergeCell ref="R693:S693"/>
    <mergeCell ref="M694:Q694"/>
    <mergeCell ref="R694:S694"/>
    <mergeCell ref="M695:Q695"/>
    <mergeCell ref="R695:S695"/>
    <mergeCell ref="M696:Q696"/>
    <mergeCell ref="R696:S696"/>
    <mergeCell ref="R697:S697"/>
    <mergeCell ref="M697:Q697"/>
    <mergeCell ref="M698:Q698"/>
    <mergeCell ref="R698:S698"/>
    <mergeCell ref="M699:Q699"/>
    <mergeCell ref="R699:S699"/>
    <mergeCell ref="M700:Q700"/>
    <mergeCell ref="R700:S700"/>
    <mergeCell ref="M701:Q701"/>
    <mergeCell ref="R701:S701"/>
    <mergeCell ref="M702:Q702"/>
    <mergeCell ref="R702:S702"/>
    <mergeCell ref="M703:Q703"/>
    <mergeCell ref="R703:S703"/>
    <mergeCell ref="R704:S704"/>
    <mergeCell ref="M704:Q704"/>
    <mergeCell ref="M705:Q705"/>
    <mergeCell ref="R705:S705"/>
    <mergeCell ref="M706:Q706"/>
    <mergeCell ref="R706:S706"/>
    <mergeCell ref="M707:Q707"/>
    <mergeCell ref="R707:S707"/>
    <mergeCell ref="M708:Q708"/>
    <mergeCell ref="R708:S708"/>
    <mergeCell ref="M709:Q709"/>
    <mergeCell ref="R709:S709"/>
    <mergeCell ref="M710:Q710"/>
    <mergeCell ref="R710:S710"/>
    <mergeCell ref="R711:S711"/>
    <mergeCell ref="M711:Q711"/>
    <mergeCell ref="M712:Q712"/>
    <mergeCell ref="R712:S712"/>
    <mergeCell ref="M713:Q713"/>
    <mergeCell ref="R713:S713"/>
    <mergeCell ref="M714:Q714"/>
    <mergeCell ref="R714:S714"/>
    <mergeCell ref="M715:Q715"/>
    <mergeCell ref="R715:S715"/>
    <mergeCell ref="M716:Q716"/>
    <mergeCell ref="R716:S716"/>
    <mergeCell ref="M717:Q717"/>
    <mergeCell ref="R717:S717"/>
    <mergeCell ref="R718:S718"/>
    <mergeCell ref="M718:Q718"/>
    <mergeCell ref="M719:Q719"/>
    <mergeCell ref="R719:S719"/>
    <mergeCell ref="M720:Q720"/>
    <mergeCell ref="R720:S720"/>
    <mergeCell ref="M721:Q721"/>
    <mergeCell ref="R721:S721"/>
    <mergeCell ref="M722:Q722"/>
    <mergeCell ref="R722:S722"/>
    <mergeCell ref="M723:Q723"/>
    <mergeCell ref="R723:S723"/>
    <mergeCell ref="M724:Q724"/>
    <mergeCell ref="R724:S724"/>
    <mergeCell ref="R725:S725"/>
    <mergeCell ref="M725:Q725"/>
    <mergeCell ref="M726:Q726"/>
    <mergeCell ref="R726:S726"/>
    <mergeCell ref="M727:Q727"/>
    <mergeCell ref="R727:S727"/>
    <mergeCell ref="M728:Q728"/>
    <mergeCell ref="R728:S728"/>
    <mergeCell ref="D909:F909"/>
    <mergeCell ref="D910:F910"/>
    <mergeCell ref="D911:F911"/>
    <mergeCell ref="J905:K905"/>
    <mergeCell ref="J906:K906"/>
    <mergeCell ref="D907:F907"/>
    <mergeCell ref="J907:K907"/>
    <mergeCell ref="D908:F908"/>
    <mergeCell ref="J908:K908"/>
    <mergeCell ref="J909:K909"/>
    <mergeCell ref="D914:F914"/>
    <mergeCell ref="D915:F915"/>
    <mergeCell ref="D916:F916"/>
    <mergeCell ref="J910:K910"/>
    <mergeCell ref="J911:K911"/>
    <mergeCell ref="D912:F912"/>
    <mergeCell ref="J912:K912"/>
    <mergeCell ref="D913:F913"/>
    <mergeCell ref="J913:K913"/>
    <mergeCell ref="J914:K914"/>
    <mergeCell ref="D919:F919"/>
    <mergeCell ref="D920:F920"/>
    <mergeCell ref="D921:F921"/>
    <mergeCell ref="J915:K915"/>
    <mergeCell ref="J916:K916"/>
    <mergeCell ref="D917:F917"/>
    <mergeCell ref="J917:K917"/>
    <mergeCell ref="D918:F918"/>
    <mergeCell ref="J918:K918"/>
    <mergeCell ref="J919:K919"/>
    <mergeCell ref="D924:F924"/>
    <mergeCell ref="D925:F925"/>
    <mergeCell ref="D926:F926"/>
    <mergeCell ref="J920:K920"/>
    <mergeCell ref="J921:K921"/>
    <mergeCell ref="D922:F922"/>
    <mergeCell ref="J922:K922"/>
    <mergeCell ref="D923:F923"/>
    <mergeCell ref="J923:K923"/>
    <mergeCell ref="J924:K924"/>
    <mergeCell ref="D929:F929"/>
    <mergeCell ref="D930:F930"/>
    <mergeCell ref="D931:F931"/>
    <mergeCell ref="J925:K925"/>
    <mergeCell ref="J926:K926"/>
    <mergeCell ref="D927:F927"/>
    <mergeCell ref="J927:K927"/>
    <mergeCell ref="D928:F928"/>
    <mergeCell ref="J928:K928"/>
    <mergeCell ref="J929:K929"/>
    <mergeCell ref="D934:F934"/>
    <mergeCell ref="D935:F935"/>
    <mergeCell ref="D936:F936"/>
    <mergeCell ref="J930:K930"/>
    <mergeCell ref="J931:K931"/>
    <mergeCell ref="D932:F932"/>
    <mergeCell ref="J932:K932"/>
    <mergeCell ref="D933:F933"/>
    <mergeCell ref="J933:K933"/>
    <mergeCell ref="J934:K934"/>
    <mergeCell ref="D939:F939"/>
    <mergeCell ref="D940:F940"/>
    <mergeCell ref="D941:F941"/>
    <mergeCell ref="J935:K935"/>
    <mergeCell ref="J936:K936"/>
    <mergeCell ref="D937:F937"/>
    <mergeCell ref="J937:K937"/>
    <mergeCell ref="D938:F938"/>
    <mergeCell ref="J938:K938"/>
    <mergeCell ref="J939:K939"/>
    <mergeCell ref="D944:F944"/>
    <mergeCell ref="D945:F945"/>
    <mergeCell ref="D946:F946"/>
    <mergeCell ref="J940:K940"/>
    <mergeCell ref="J941:K941"/>
    <mergeCell ref="D942:F942"/>
    <mergeCell ref="J942:K942"/>
    <mergeCell ref="D943:F943"/>
    <mergeCell ref="J943:K943"/>
    <mergeCell ref="J944:K944"/>
    <mergeCell ref="D949:F949"/>
    <mergeCell ref="D950:F950"/>
    <mergeCell ref="D951:F951"/>
    <mergeCell ref="J945:K945"/>
    <mergeCell ref="J946:K946"/>
    <mergeCell ref="D947:F947"/>
    <mergeCell ref="J947:K947"/>
    <mergeCell ref="D948:F948"/>
    <mergeCell ref="J948:K948"/>
    <mergeCell ref="J949:K949"/>
    <mergeCell ref="D954:F954"/>
    <mergeCell ref="D955:F955"/>
    <mergeCell ref="D956:F956"/>
    <mergeCell ref="J950:K950"/>
    <mergeCell ref="J951:K951"/>
    <mergeCell ref="D952:F952"/>
    <mergeCell ref="J952:K952"/>
    <mergeCell ref="D953:F953"/>
    <mergeCell ref="J953:K953"/>
    <mergeCell ref="J954:K954"/>
    <mergeCell ref="D959:F959"/>
    <mergeCell ref="D960:F960"/>
    <mergeCell ref="D961:F961"/>
    <mergeCell ref="J955:K955"/>
    <mergeCell ref="J956:K956"/>
    <mergeCell ref="D957:F957"/>
    <mergeCell ref="J957:K957"/>
    <mergeCell ref="D958:F958"/>
    <mergeCell ref="J958:K958"/>
    <mergeCell ref="J959:K959"/>
    <mergeCell ref="D964:F964"/>
    <mergeCell ref="D965:F965"/>
    <mergeCell ref="D966:F966"/>
    <mergeCell ref="J960:K960"/>
    <mergeCell ref="J961:K961"/>
    <mergeCell ref="D962:F962"/>
    <mergeCell ref="J962:K962"/>
    <mergeCell ref="D963:F963"/>
    <mergeCell ref="J963:K963"/>
    <mergeCell ref="J964:K964"/>
    <mergeCell ref="D969:F969"/>
    <mergeCell ref="D970:F970"/>
    <mergeCell ref="D971:F971"/>
    <mergeCell ref="J965:K965"/>
    <mergeCell ref="J966:K966"/>
    <mergeCell ref="D967:F967"/>
    <mergeCell ref="J967:K967"/>
    <mergeCell ref="D968:F968"/>
    <mergeCell ref="J968:K968"/>
    <mergeCell ref="J969:K969"/>
    <mergeCell ref="D974:F974"/>
    <mergeCell ref="D975:F975"/>
    <mergeCell ref="D976:F976"/>
    <mergeCell ref="J970:K970"/>
    <mergeCell ref="J971:K971"/>
    <mergeCell ref="D972:F972"/>
    <mergeCell ref="J972:K972"/>
    <mergeCell ref="D973:F973"/>
    <mergeCell ref="J973:K973"/>
    <mergeCell ref="J974:K974"/>
    <mergeCell ref="D979:F979"/>
    <mergeCell ref="D980:F980"/>
    <mergeCell ref="D981:F981"/>
    <mergeCell ref="J975:K975"/>
    <mergeCell ref="J976:K976"/>
    <mergeCell ref="D977:F977"/>
    <mergeCell ref="J977:K977"/>
    <mergeCell ref="D978:F978"/>
    <mergeCell ref="J978:K978"/>
    <mergeCell ref="J979:K979"/>
    <mergeCell ref="D984:F984"/>
    <mergeCell ref="D985:F985"/>
    <mergeCell ref="D986:F986"/>
    <mergeCell ref="J980:K980"/>
    <mergeCell ref="J981:K981"/>
    <mergeCell ref="D982:F982"/>
    <mergeCell ref="J982:K982"/>
    <mergeCell ref="D983:F983"/>
    <mergeCell ref="J983:K983"/>
    <mergeCell ref="J984:K984"/>
    <mergeCell ref="D989:F989"/>
    <mergeCell ref="D990:F990"/>
    <mergeCell ref="D991:F991"/>
    <mergeCell ref="J985:K985"/>
    <mergeCell ref="J986:K986"/>
    <mergeCell ref="D987:F987"/>
    <mergeCell ref="J987:K987"/>
    <mergeCell ref="D988:F988"/>
    <mergeCell ref="J988:K988"/>
    <mergeCell ref="J989:K989"/>
    <mergeCell ref="D994:F994"/>
    <mergeCell ref="D995:F995"/>
    <mergeCell ref="D996:F996"/>
    <mergeCell ref="J990:K990"/>
    <mergeCell ref="J991:K991"/>
    <mergeCell ref="D992:F992"/>
    <mergeCell ref="J992:K992"/>
    <mergeCell ref="D993:F993"/>
    <mergeCell ref="J993:K993"/>
    <mergeCell ref="J994:K994"/>
    <mergeCell ref="D999:F999"/>
    <mergeCell ref="D1000:F1000"/>
    <mergeCell ref="D1001:F1001"/>
    <mergeCell ref="J995:K995"/>
    <mergeCell ref="J996:K996"/>
    <mergeCell ref="D997:F997"/>
    <mergeCell ref="J997:K997"/>
    <mergeCell ref="D998:F998"/>
    <mergeCell ref="J998:K998"/>
    <mergeCell ref="J999:K999"/>
    <mergeCell ref="D1004:F1004"/>
    <mergeCell ref="D1005:F1005"/>
    <mergeCell ref="D1006:F1006"/>
    <mergeCell ref="J1000:K1000"/>
    <mergeCell ref="J1001:K1001"/>
    <mergeCell ref="D1002:F1002"/>
    <mergeCell ref="J1002:K1002"/>
    <mergeCell ref="D1003:F1003"/>
    <mergeCell ref="J1003:K1003"/>
    <mergeCell ref="J1004:K1004"/>
    <mergeCell ref="D1009:F1009"/>
    <mergeCell ref="D1010:F1010"/>
    <mergeCell ref="D1011:F1011"/>
    <mergeCell ref="J1005:K1005"/>
    <mergeCell ref="J1006:K1006"/>
    <mergeCell ref="D1007:F1007"/>
    <mergeCell ref="J1007:K1007"/>
    <mergeCell ref="D1008:F1008"/>
    <mergeCell ref="J1008:K1008"/>
    <mergeCell ref="J1009:K1009"/>
    <mergeCell ref="D1014:F1014"/>
    <mergeCell ref="D1015:F1015"/>
    <mergeCell ref="D1016:F1016"/>
    <mergeCell ref="J1010:K1010"/>
    <mergeCell ref="J1011:K1011"/>
    <mergeCell ref="D1012:F1012"/>
    <mergeCell ref="J1012:K1012"/>
    <mergeCell ref="D1013:F1013"/>
    <mergeCell ref="J1013:K1013"/>
    <mergeCell ref="J1014:K1014"/>
    <mergeCell ref="D1019:F1019"/>
    <mergeCell ref="D1020:F1020"/>
    <mergeCell ref="D1021:F1021"/>
    <mergeCell ref="J1015:K1015"/>
    <mergeCell ref="J1016:K1016"/>
    <mergeCell ref="D1017:F1017"/>
    <mergeCell ref="J1017:K1017"/>
    <mergeCell ref="D1018:F1018"/>
    <mergeCell ref="J1018:K1018"/>
    <mergeCell ref="J1019:K1019"/>
    <mergeCell ref="D1024:F1024"/>
    <mergeCell ref="D1025:F1025"/>
    <mergeCell ref="D1026:F1026"/>
    <mergeCell ref="J1020:K1020"/>
    <mergeCell ref="J1021:K1021"/>
    <mergeCell ref="D1022:F1022"/>
    <mergeCell ref="J1022:K1022"/>
    <mergeCell ref="D1023:F1023"/>
    <mergeCell ref="J1023:K1023"/>
    <mergeCell ref="J1024:K1024"/>
    <mergeCell ref="D1029:F1029"/>
    <mergeCell ref="D1030:F1030"/>
    <mergeCell ref="D1031:F1031"/>
    <mergeCell ref="J1025:K1025"/>
    <mergeCell ref="J1026:K1026"/>
    <mergeCell ref="D1027:F1027"/>
    <mergeCell ref="J1027:K1027"/>
    <mergeCell ref="D1028:F1028"/>
    <mergeCell ref="J1028:K1028"/>
    <mergeCell ref="J1029:K1029"/>
    <mergeCell ref="D1034:F1034"/>
    <mergeCell ref="D1035:F1035"/>
    <mergeCell ref="D1036:F1036"/>
    <mergeCell ref="J1030:K1030"/>
    <mergeCell ref="J1031:K1031"/>
    <mergeCell ref="D1032:F1032"/>
    <mergeCell ref="J1032:K1032"/>
    <mergeCell ref="D1033:F1033"/>
    <mergeCell ref="J1033:K1033"/>
    <mergeCell ref="J1034:K1034"/>
    <mergeCell ref="D1039:F1039"/>
    <mergeCell ref="D1040:F1040"/>
    <mergeCell ref="D1041:F1041"/>
    <mergeCell ref="J1035:K1035"/>
    <mergeCell ref="J1036:K1036"/>
    <mergeCell ref="D1037:F1037"/>
    <mergeCell ref="J1037:K1037"/>
    <mergeCell ref="D1038:F1038"/>
    <mergeCell ref="J1038:K1038"/>
    <mergeCell ref="J1039:K1039"/>
    <mergeCell ref="D1044:F1044"/>
    <mergeCell ref="D1045:F1045"/>
    <mergeCell ref="D1046:F1046"/>
    <mergeCell ref="J1040:K1040"/>
    <mergeCell ref="J1041:K1041"/>
    <mergeCell ref="D1042:F1042"/>
    <mergeCell ref="J1042:K1042"/>
    <mergeCell ref="D1043:F1043"/>
    <mergeCell ref="J1043:K1043"/>
    <mergeCell ref="J1044:K1044"/>
    <mergeCell ref="D1049:F1049"/>
    <mergeCell ref="D1050:F1050"/>
    <mergeCell ref="D1051:F1051"/>
    <mergeCell ref="J1045:K1045"/>
    <mergeCell ref="J1046:K1046"/>
    <mergeCell ref="D1047:F1047"/>
    <mergeCell ref="J1047:K1047"/>
    <mergeCell ref="D1048:F1048"/>
    <mergeCell ref="J1048:K1048"/>
    <mergeCell ref="J1049:K1049"/>
    <mergeCell ref="D1054:F1054"/>
    <mergeCell ref="D1055:F1055"/>
    <mergeCell ref="D1056:F1056"/>
    <mergeCell ref="J1050:K1050"/>
    <mergeCell ref="J1051:K1051"/>
    <mergeCell ref="D1052:F1052"/>
    <mergeCell ref="J1052:K1052"/>
    <mergeCell ref="D1053:F1053"/>
    <mergeCell ref="J1053:K1053"/>
    <mergeCell ref="J1054:K1054"/>
    <mergeCell ref="D1059:F1059"/>
    <mergeCell ref="D1060:F1060"/>
    <mergeCell ref="D1061:F1061"/>
    <mergeCell ref="J1055:K1055"/>
    <mergeCell ref="J1056:K1056"/>
    <mergeCell ref="D1057:F1057"/>
    <mergeCell ref="J1057:K1057"/>
    <mergeCell ref="D1058:F1058"/>
    <mergeCell ref="J1058:K1058"/>
    <mergeCell ref="J1059:K1059"/>
    <mergeCell ref="D1064:F1064"/>
    <mergeCell ref="D1065:F1065"/>
    <mergeCell ref="D1066:F1066"/>
    <mergeCell ref="J1060:K1060"/>
    <mergeCell ref="J1061:K1061"/>
    <mergeCell ref="D1062:F1062"/>
    <mergeCell ref="J1062:K1062"/>
    <mergeCell ref="D1063:F1063"/>
    <mergeCell ref="J1063:K1063"/>
    <mergeCell ref="J1064:K1064"/>
    <mergeCell ref="D1069:F1069"/>
    <mergeCell ref="D1070:F1070"/>
    <mergeCell ref="D1071:F1071"/>
    <mergeCell ref="J1065:K1065"/>
    <mergeCell ref="J1066:K1066"/>
    <mergeCell ref="D1067:F1067"/>
    <mergeCell ref="J1067:K1067"/>
    <mergeCell ref="D1068:F1068"/>
    <mergeCell ref="J1068:K1068"/>
    <mergeCell ref="J1069:K1069"/>
    <mergeCell ref="D1074:F1074"/>
    <mergeCell ref="D1075:F1075"/>
    <mergeCell ref="D1076:F1076"/>
    <mergeCell ref="J1070:K1070"/>
    <mergeCell ref="J1071:K1071"/>
    <mergeCell ref="D1072:F1072"/>
    <mergeCell ref="J1072:K1072"/>
    <mergeCell ref="D1073:F1073"/>
    <mergeCell ref="J1073:K1073"/>
    <mergeCell ref="J1074:K1074"/>
    <mergeCell ref="D1079:F1079"/>
    <mergeCell ref="D1080:F1080"/>
    <mergeCell ref="D1081:F1081"/>
    <mergeCell ref="J1075:K1075"/>
    <mergeCell ref="J1076:K1076"/>
    <mergeCell ref="D1077:F1077"/>
    <mergeCell ref="J1077:K1077"/>
    <mergeCell ref="D1078:F1078"/>
    <mergeCell ref="J1078:K1078"/>
    <mergeCell ref="J1079:K1079"/>
    <mergeCell ref="D1119:F1119"/>
    <mergeCell ref="D1120:F1120"/>
    <mergeCell ref="D1121:F1121"/>
    <mergeCell ref="J1115:K1115"/>
    <mergeCell ref="J1116:K1116"/>
    <mergeCell ref="D1117:F1117"/>
    <mergeCell ref="J1117:K1117"/>
    <mergeCell ref="D1118:F1118"/>
    <mergeCell ref="J1118:K1118"/>
    <mergeCell ref="J1119:K1119"/>
    <mergeCell ref="D1124:F1124"/>
    <mergeCell ref="D1125:F1125"/>
    <mergeCell ref="D1126:F1126"/>
    <mergeCell ref="J1120:K1120"/>
    <mergeCell ref="J1121:K1121"/>
    <mergeCell ref="D1122:F1122"/>
    <mergeCell ref="J1122:K1122"/>
    <mergeCell ref="D1123:F1123"/>
    <mergeCell ref="J1123:K1123"/>
    <mergeCell ref="J1124:K1124"/>
    <mergeCell ref="D1129:F1129"/>
    <mergeCell ref="D1130:F1130"/>
    <mergeCell ref="D1131:F1131"/>
    <mergeCell ref="J1125:K1125"/>
    <mergeCell ref="J1126:K1126"/>
    <mergeCell ref="D1127:F1127"/>
    <mergeCell ref="J1127:K1127"/>
    <mergeCell ref="D1128:F1128"/>
    <mergeCell ref="J1128:K1128"/>
    <mergeCell ref="J1129:K1129"/>
    <mergeCell ref="D1134:F1134"/>
    <mergeCell ref="D1135:F1135"/>
    <mergeCell ref="D1136:F1136"/>
    <mergeCell ref="J1130:K1130"/>
    <mergeCell ref="J1131:K1131"/>
    <mergeCell ref="D1132:F1132"/>
    <mergeCell ref="J1132:K1132"/>
    <mergeCell ref="D1133:F1133"/>
    <mergeCell ref="J1133:K1133"/>
    <mergeCell ref="J1134:K1134"/>
    <mergeCell ref="D554:F554"/>
    <mergeCell ref="D555:F555"/>
    <mergeCell ref="D556:F556"/>
    <mergeCell ref="D557:F557"/>
    <mergeCell ref="D558:F558"/>
    <mergeCell ref="D559:F559"/>
    <mergeCell ref="D560:F560"/>
    <mergeCell ref="D561:F561"/>
    <mergeCell ref="D562:F562"/>
    <mergeCell ref="D563:F563"/>
    <mergeCell ref="D564:F564"/>
    <mergeCell ref="D565:F565"/>
    <mergeCell ref="D566:F566"/>
    <mergeCell ref="D567:F567"/>
    <mergeCell ref="D568:F568"/>
    <mergeCell ref="J568:K568"/>
    <mergeCell ref="J569:K569"/>
    <mergeCell ref="J570:K570"/>
    <mergeCell ref="J571:K571"/>
    <mergeCell ref="J572:K572"/>
    <mergeCell ref="J573:K573"/>
    <mergeCell ref="D569:F569"/>
    <mergeCell ref="D570:F570"/>
    <mergeCell ref="D571:F571"/>
    <mergeCell ref="D572:F572"/>
    <mergeCell ref="D573:F573"/>
    <mergeCell ref="D574:F574"/>
    <mergeCell ref="D575:F575"/>
    <mergeCell ref="D576:F576"/>
    <mergeCell ref="D577:F577"/>
    <mergeCell ref="D578:F578"/>
    <mergeCell ref="D579:F579"/>
    <mergeCell ref="D580:F580"/>
    <mergeCell ref="D581:F581"/>
    <mergeCell ref="D582:F582"/>
    <mergeCell ref="D583:F583"/>
    <mergeCell ref="D584:F584"/>
    <mergeCell ref="D585:F585"/>
    <mergeCell ref="D586:F586"/>
    <mergeCell ref="D587:F587"/>
    <mergeCell ref="D588:F588"/>
    <mergeCell ref="D589:F589"/>
    <mergeCell ref="J1135:K1135"/>
    <mergeCell ref="J1136:K1136"/>
    <mergeCell ref="D1137:F1137"/>
    <mergeCell ref="J1137:K1137"/>
    <mergeCell ref="D1084:F1084"/>
    <mergeCell ref="D1085:F1085"/>
    <mergeCell ref="D1086:F1086"/>
    <mergeCell ref="J1080:K1080"/>
    <mergeCell ref="J1081:K1081"/>
    <mergeCell ref="D1082:F1082"/>
    <mergeCell ref="J1082:K1082"/>
    <mergeCell ref="D1083:F1083"/>
    <mergeCell ref="J1083:K1083"/>
    <mergeCell ref="J1084:K1084"/>
    <mergeCell ref="D1089:F1089"/>
    <mergeCell ref="D1090:F1090"/>
    <mergeCell ref="D1091:F1091"/>
    <mergeCell ref="J1085:K1085"/>
    <mergeCell ref="J1086:K1086"/>
    <mergeCell ref="D1087:F1087"/>
    <mergeCell ref="J1087:K1087"/>
    <mergeCell ref="D1088:F1088"/>
    <mergeCell ref="J1088:K1088"/>
    <mergeCell ref="J1089:K1089"/>
    <mergeCell ref="D1094:F1094"/>
    <mergeCell ref="D1095:F1095"/>
    <mergeCell ref="D1096:F1096"/>
    <mergeCell ref="J1090:K1090"/>
    <mergeCell ref="J1091:K1091"/>
    <mergeCell ref="D1092:F1092"/>
    <mergeCell ref="J1092:K1092"/>
    <mergeCell ref="D1093:F1093"/>
    <mergeCell ref="J1093:K1093"/>
    <mergeCell ref="J1094:K1094"/>
    <mergeCell ref="D1099:F1099"/>
    <mergeCell ref="D1100:F1100"/>
    <mergeCell ref="D1101:F1101"/>
    <mergeCell ref="J1095:K1095"/>
    <mergeCell ref="J1096:K1096"/>
    <mergeCell ref="D1097:F1097"/>
    <mergeCell ref="J1097:K1097"/>
    <mergeCell ref="D1098:F1098"/>
    <mergeCell ref="J1098:K1098"/>
    <mergeCell ref="J1099:K1099"/>
    <mergeCell ref="D1104:F1104"/>
    <mergeCell ref="D1105:F1105"/>
    <mergeCell ref="D1106:F1106"/>
    <mergeCell ref="J1100:K1100"/>
    <mergeCell ref="J1101:K1101"/>
    <mergeCell ref="D1102:F1102"/>
    <mergeCell ref="J1102:K1102"/>
    <mergeCell ref="D1103:F1103"/>
    <mergeCell ref="J1103:K1103"/>
    <mergeCell ref="J1104:K1104"/>
    <mergeCell ref="D1109:F1109"/>
    <mergeCell ref="D1110:F1110"/>
    <mergeCell ref="D1111:F1111"/>
    <mergeCell ref="J1105:K1105"/>
    <mergeCell ref="J1106:K1106"/>
    <mergeCell ref="D1107:F1107"/>
    <mergeCell ref="J1107:K1107"/>
    <mergeCell ref="D1108:F1108"/>
    <mergeCell ref="J1108:K1108"/>
    <mergeCell ref="J1109:K1109"/>
    <mergeCell ref="D1114:F1114"/>
    <mergeCell ref="D1115:F1115"/>
    <mergeCell ref="D1116:F1116"/>
    <mergeCell ref="J1110:K1110"/>
    <mergeCell ref="J1111:K1111"/>
    <mergeCell ref="D1112:F1112"/>
    <mergeCell ref="J1112:K1112"/>
    <mergeCell ref="D1113:F1113"/>
    <mergeCell ref="J1113:K1113"/>
    <mergeCell ref="J1114:K1114"/>
    <mergeCell ref="D664:F664"/>
    <mergeCell ref="D665:F665"/>
    <mergeCell ref="D666:F666"/>
    <mergeCell ref="J660:K660"/>
    <mergeCell ref="J661:K661"/>
    <mergeCell ref="D662:F662"/>
    <mergeCell ref="J662:K662"/>
    <mergeCell ref="D663:F663"/>
    <mergeCell ref="J663:K663"/>
    <mergeCell ref="J664:K664"/>
    <mergeCell ref="D669:F669"/>
    <mergeCell ref="D670:F670"/>
    <mergeCell ref="D671:F671"/>
    <mergeCell ref="J665:K665"/>
    <mergeCell ref="J666:K666"/>
    <mergeCell ref="D667:F667"/>
    <mergeCell ref="J667:K667"/>
    <mergeCell ref="D668:F668"/>
    <mergeCell ref="J668:K668"/>
    <mergeCell ref="J669:K669"/>
    <mergeCell ref="D674:F674"/>
    <mergeCell ref="D675:F675"/>
    <mergeCell ref="D676:F676"/>
    <mergeCell ref="J670:K670"/>
    <mergeCell ref="J671:K671"/>
    <mergeCell ref="D672:F672"/>
    <mergeCell ref="J672:K672"/>
    <mergeCell ref="D673:F673"/>
    <mergeCell ref="J673:K673"/>
    <mergeCell ref="J674:K674"/>
    <mergeCell ref="D679:F679"/>
    <mergeCell ref="D680:F680"/>
    <mergeCell ref="D681:F681"/>
    <mergeCell ref="J675:K675"/>
    <mergeCell ref="J676:K676"/>
    <mergeCell ref="D677:F677"/>
    <mergeCell ref="J677:K677"/>
    <mergeCell ref="D678:F678"/>
    <mergeCell ref="J678:K678"/>
    <mergeCell ref="J679:K679"/>
    <mergeCell ref="D684:F684"/>
    <mergeCell ref="D685:F685"/>
    <mergeCell ref="D686:F686"/>
    <mergeCell ref="J680:K680"/>
    <mergeCell ref="J681:K681"/>
    <mergeCell ref="D682:F682"/>
    <mergeCell ref="J682:K682"/>
    <mergeCell ref="D683:F683"/>
    <mergeCell ref="J683:K683"/>
    <mergeCell ref="J684:K684"/>
    <mergeCell ref="D689:F689"/>
    <mergeCell ref="D690:F690"/>
    <mergeCell ref="D691:F691"/>
    <mergeCell ref="J685:K685"/>
    <mergeCell ref="J686:K686"/>
    <mergeCell ref="D687:F687"/>
    <mergeCell ref="J687:K687"/>
    <mergeCell ref="D688:F688"/>
    <mergeCell ref="J688:K688"/>
    <mergeCell ref="J689:K689"/>
    <mergeCell ref="D694:F694"/>
    <mergeCell ref="D695:F695"/>
    <mergeCell ref="D696:F696"/>
    <mergeCell ref="J690:K690"/>
    <mergeCell ref="J691:K691"/>
    <mergeCell ref="D692:F692"/>
    <mergeCell ref="J692:K692"/>
    <mergeCell ref="D693:F693"/>
    <mergeCell ref="J693:K693"/>
    <mergeCell ref="J694:K694"/>
    <mergeCell ref="D699:F699"/>
    <mergeCell ref="D700:F700"/>
    <mergeCell ref="D701:F701"/>
    <mergeCell ref="J695:K695"/>
    <mergeCell ref="J696:K696"/>
    <mergeCell ref="D697:F697"/>
    <mergeCell ref="J697:K697"/>
    <mergeCell ref="D698:F698"/>
    <mergeCell ref="J698:K698"/>
    <mergeCell ref="J699:K699"/>
    <mergeCell ref="D704:F704"/>
    <mergeCell ref="D705:F705"/>
    <mergeCell ref="D706:F706"/>
    <mergeCell ref="J700:K700"/>
    <mergeCell ref="J701:K701"/>
    <mergeCell ref="D702:F702"/>
    <mergeCell ref="J702:K702"/>
    <mergeCell ref="D703:F703"/>
    <mergeCell ref="J703:K703"/>
    <mergeCell ref="J704:K704"/>
    <mergeCell ref="D709:F709"/>
    <mergeCell ref="D710:F710"/>
    <mergeCell ref="D711:F711"/>
    <mergeCell ref="J705:K705"/>
    <mergeCell ref="J706:K706"/>
    <mergeCell ref="D707:F707"/>
    <mergeCell ref="J707:K707"/>
    <mergeCell ref="D708:F708"/>
    <mergeCell ref="J708:K708"/>
    <mergeCell ref="J709:K709"/>
    <mergeCell ref="D714:F714"/>
    <mergeCell ref="D715:F715"/>
    <mergeCell ref="D716:F716"/>
    <mergeCell ref="J710:K710"/>
    <mergeCell ref="J711:K711"/>
    <mergeCell ref="D712:F712"/>
    <mergeCell ref="J712:K712"/>
    <mergeCell ref="D713:F713"/>
    <mergeCell ref="J713:K713"/>
    <mergeCell ref="J714:K714"/>
    <mergeCell ref="D719:F719"/>
    <mergeCell ref="D720:F720"/>
    <mergeCell ref="D721:F721"/>
    <mergeCell ref="J715:K715"/>
    <mergeCell ref="J716:K716"/>
    <mergeCell ref="D717:F717"/>
    <mergeCell ref="J717:K717"/>
    <mergeCell ref="D718:F718"/>
    <mergeCell ref="J718:K718"/>
    <mergeCell ref="J719:K719"/>
    <mergeCell ref="D724:F724"/>
    <mergeCell ref="D725:F725"/>
    <mergeCell ref="D726:F726"/>
    <mergeCell ref="J720:K720"/>
    <mergeCell ref="J721:K721"/>
    <mergeCell ref="D722:F722"/>
    <mergeCell ref="J722:K722"/>
    <mergeCell ref="D723:F723"/>
    <mergeCell ref="J723:K723"/>
    <mergeCell ref="J724:K724"/>
    <mergeCell ref="D729:F729"/>
    <mergeCell ref="D730:F730"/>
    <mergeCell ref="D731:F731"/>
    <mergeCell ref="J725:K725"/>
    <mergeCell ref="J726:K726"/>
    <mergeCell ref="D727:F727"/>
    <mergeCell ref="J727:K727"/>
    <mergeCell ref="D728:F728"/>
    <mergeCell ref="J728:K728"/>
    <mergeCell ref="J729:K729"/>
    <mergeCell ref="D734:F734"/>
    <mergeCell ref="D735:F735"/>
    <mergeCell ref="D736:F736"/>
    <mergeCell ref="J730:K730"/>
    <mergeCell ref="J731:K731"/>
    <mergeCell ref="D732:F732"/>
    <mergeCell ref="J732:K732"/>
    <mergeCell ref="D733:F733"/>
    <mergeCell ref="J733:K733"/>
    <mergeCell ref="J734:K734"/>
    <mergeCell ref="D739:F739"/>
    <mergeCell ref="D740:F740"/>
    <mergeCell ref="D741:F741"/>
    <mergeCell ref="J735:K735"/>
    <mergeCell ref="J736:K736"/>
    <mergeCell ref="D737:F737"/>
    <mergeCell ref="J737:K737"/>
    <mergeCell ref="D738:F738"/>
    <mergeCell ref="J738:K738"/>
    <mergeCell ref="J739:K739"/>
    <mergeCell ref="D744:F744"/>
    <mergeCell ref="D745:F745"/>
    <mergeCell ref="D746:F746"/>
    <mergeCell ref="J740:K740"/>
    <mergeCell ref="J741:K741"/>
    <mergeCell ref="D742:F742"/>
    <mergeCell ref="J742:K742"/>
    <mergeCell ref="D743:F743"/>
    <mergeCell ref="J743:K743"/>
    <mergeCell ref="J744:K744"/>
    <mergeCell ref="D749:F749"/>
    <mergeCell ref="D750:F750"/>
    <mergeCell ref="D751:F751"/>
    <mergeCell ref="J745:K745"/>
    <mergeCell ref="J746:K746"/>
    <mergeCell ref="D747:F747"/>
    <mergeCell ref="J747:K747"/>
    <mergeCell ref="D748:F748"/>
    <mergeCell ref="J748:K748"/>
    <mergeCell ref="J749:K749"/>
    <mergeCell ref="D754:F754"/>
    <mergeCell ref="D755:F755"/>
    <mergeCell ref="D756:F756"/>
    <mergeCell ref="J750:K750"/>
    <mergeCell ref="J751:K751"/>
    <mergeCell ref="D752:F752"/>
    <mergeCell ref="J752:K752"/>
    <mergeCell ref="D753:F753"/>
    <mergeCell ref="J753:K753"/>
    <mergeCell ref="J754:K754"/>
    <mergeCell ref="D759:F759"/>
    <mergeCell ref="D760:F760"/>
    <mergeCell ref="D761:F761"/>
    <mergeCell ref="J755:K755"/>
    <mergeCell ref="J756:K756"/>
    <mergeCell ref="D757:F757"/>
    <mergeCell ref="J757:K757"/>
    <mergeCell ref="D758:F758"/>
    <mergeCell ref="J758:K758"/>
    <mergeCell ref="J759:K759"/>
    <mergeCell ref="D764:F764"/>
    <mergeCell ref="D765:F765"/>
    <mergeCell ref="D766:F766"/>
    <mergeCell ref="J760:K760"/>
    <mergeCell ref="J761:K761"/>
    <mergeCell ref="D762:F762"/>
    <mergeCell ref="J762:K762"/>
    <mergeCell ref="D763:F763"/>
    <mergeCell ref="J763:K763"/>
    <mergeCell ref="J764:K764"/>
    <mergeCell ref="D769:F769"/>
    <mergeCell ref="D770:F770"/>
    <mergeCell ref="D771:F771"/>
    <mergeCell ref="J765:K765"/>
    <mergeCell ref="J766:K766"/>
    <mergeCell ref="D767:F767"/>
    <mergeCell ref="J767:K767"/>
    <mergeCell ref="D768:F768"/>
    <mergeCell ref="J768:K768"/>
    <mergeCell ref="J769:K769"/>
    <mergeCell ref="D774:F774"/>
    <mergeCell ref="D775:F775"/>
    <mergeCell ref="D776:F776"/>
    <mergeCell ref="J770:K770"/>
    <mergeCell ref="J771:K771"/>
    <mergeCell ref="D772:F772"/>
    <mergeCell ref="J772:K772"/>
    <mergeCell ref="D773:F773"/>
    <mergeCell ref="J773:K773"/>
    <mergeCell ref="J774:K774"/>
    <mergeCell ref="D779:F779"/>
    <mergeCell ref="D780:F780"/>
    <mergeCell ref="D781:F781"/>
    <mergeCell ref="J775:K775"/>
    <mergeCell ref="J776:K776"/>
    <mergeCell ref="D777:F777"/>
    <mergeCell ref="J777:K777"/>
    <mergeCell ref="D778:F778"/>
    <mergeCell ref="J778:K778"/>
    <mergeCell ref="J779:K779"/>
    <mergeCell ref="D784:F784"/>
    <mergeCell ref="D785:F785"/>
    <mergeCell ref="D786:F786"/>
    <mergeCell ref="J780:K780"/>
    <mergeCell ref="J781:K781"/>
    <mergeCell ref="D782:F782"/>
    <mergeCell ref="J782:K782"/>
    <mergeCell ref="D783:F783"/>
    <mergeCell ref="J783:K783"/>
    <mergeCell ref="J784:K784"/>
    <mergeCell ref="D789:F789"/>
    <mergeCell ref="D790:F790"/>
    <mergeCell ref="D791:F791"/>
    <mergeCell ref="J785:K785"/>
    <mergeCell ref="J786:K786"/>
    <mergeCell ref="D787:F787"/>
    <mergeCell ref="J787:K787"/>
    <mergeCell ref="D788:F788"/>
    <mergeCell ref="J788:K788"/>
    <mergeCell ref="J789:K789"/>
    <mergeCell ref="D794:F794"/>
    <mergeCell ref="D795:F795"/>
    <mergeCell ref="D796:F796"/>
    <mergeCell ref="J790:K790"/>
    <mergeCell ref="J791:K791"/>
    <mergeCell ref="D792:F792"/>
    <mergeCell ref="J792:K792"/>
    <mergeCell ref="D793:F793"/>
    <mergeCell ref="J793:K793"/>
    <mergeCell ref="J794:K794"/>
    <mergeCell ref="D799:F799"/>
    <mergeCell ref="D800:F800"/>
    <mergeCell ref="D801:F801"/>
    <mergeCell ref="J795:K795"/>
    <mergeCell ref="J796:K796"/>
    <mergeCell ref="D797:F797"/>
    <mergeCell ref="J797:K797"/>
    <mergeCell ref="D798:F798"/>
    <mergeCell ref="J798:K798"/>
    <mergeCell ref="J799:K799"/>
    <mergeCell ref="D804:F804"/>
    <mergeCell ref="D805:F805"/>
    <mergeCell ref="D806:F806"/>
    <mergeCell ref="J800:K800"/>
    <mergeCell ref="J801:K801"/>
    <mergeCell ref="D802:F802"/>
    <mergeCell ref="J802:K802"/>
    <mergeCell ref="D803:F803"/>
    <mergeCell ref="J803:K803"/>
    <mergeCell ref="J804:K804"/>
    <mergeCell ref="D809:F809"/>
    <mergeCell ref="D810:F810"/>
    <mergeCell ref="D811:F811"/>
    <mergeCell ref="J805:K805"/>
    <mergeCell ref="J806:K806"/>
    <mergeCell ref="D807:F807"/>
    <mergeCell ref="J807:K807"/>
    <mergeCell ref="D808:F808"/>
    <mergeCell ref="J808:K808"/>
    <mergeCell ref="J809:K809"/>
    <mergeCell ref="D814:F814"/>
    <mergeCell ref="D815:F815"/>
    <mergeCell ref="D816:F816"/>
    <mergeCell ref="J810:K810"/>
    <mergeCell ref="J811:K811"/>
    <mergeCell ref="D812:F812"/>
    <mergeCell ref="J812:K812"/>
    <mergeCell ref="D813:F813"/>
    <mergeCell ref="J813:K813"/>
    <mergeCell ref="J814:K814"/>
    <mergeCell ref="D819:F819"/>
    <mergeCell ref="D820:F820"/>
    <mergeCell ref="D821:F821"/>
    <mergeCell ref="J815:K815"/>
    <mergeCell ref="J816:K816"/>
    <mergeCell ref="D817:F817"/>
    <mergeCell ref="J817:K817"/>
    <mergeCell ref="D818:F818"/>
    <mergeCell ref="J818:K818"/>
    <mergeCell ref="J819:K819"/>
    <mergeCell ref="D824:F824"/>
    <mergeCell ref="D825:F825"/>
    <mergeCell ref="D826:F826"/>
    <mergeCell ref="J820:K820"/>
    <mergeCell ref="J821:K821"/>
    <mergeCell ref="D822:F822"/>
    <mergeCell ref="J822:K822"/>
    <mergeCell ref="D823:F823"/>
    <mergeCell ref="J823:K823"/>
    <mergeCell ref="J824:K824"/>
    <mergeCell ref="D829:F829"/>
    <mergeCell ref="D830:F830"/>
    <mergeCell ref="D831:F831"/>
    <mergeCell ref="J825:K825"/>
    <mergeCell ref="J826:K826"/>
    <mergeCell ref="D827:F827"/>
    <mergeCell ref="J827:K827"/>
    <mergeCell ref="D828:F828"/>
    <mergeCell ref="J828:K828"/>
    <mergeCell ref="J829:K829"/>
    <mergeCell ref="D834:F834"/>
    <mergeCell ref="D835:F835"/>
    <mergeCell ref="D836:F836"/>
    <mergeCell ref="J830:K830"/>
    <mergeCell ref="J831:K831"/>
    <mergeCell ref="D832:F832"/>
    <mergeCell ref="J832:K832"/>
    <mergeCell ref="D833:F833"/>
    <mergeCell ref="J833:K833"/>
    <mergeCell ref="J834:K834"/>
    <mergeCell ref="D839:F839"/>
    <mergeCell ref="D840:F840"/>
    <mergeCell ref="D841:F841"/>
    <mergeCell ref="J835:K835"/>
    <mergeCell ref="J836:K836"/>
    <mergeCell ref="D837:F837"/>
    <mergeCell ref="J837:K837"/>
    <mergeCell ref="D838:F838"/>
    <mergeCell ref="J838:K838"/>
    <mergeCell ref="J839:K839"/>
    <mergeCell ref="D844:F844"/>
    <mergeCell ref="D845:F845"/>
    <mergeCell ref="D846:F846"/>
    <mergeCell ref="J840:K840"/>
    <mergeCell ref="J841:K841"/>
    <mergeCell ref="D842:F842"/>
    <mergeCell ref="J842:K842"/>
    <mergeCell ref="D843:F843"/>
    <mergeCell ref="J843:K843"/>
    <mergeCell ref="J844:K844"/>
    <mergeCell ref="D849:F849"/>
    <mergeCell ref="D850:F850"/>
    <mergeCell ref="D851:F851"/>
    <mergeCell ref="J845:K845"/>
    <mergeCell ref="J846:K846"/>
    <mergeCell ref="D847:F847"/>
    <mergeCell ref="J847:K847"/>
    <mergeCell ref="D848:F848"/>
    <mergeCell ref="J848:K848"/>
    <mergeCell ref="J849:K849"/>
    <mergeCell ref="D854:F854"/>
    <mergeCell ref="D855:F855"/>
    <mergeCell ref="D856:F856"/>
    <mergeCell ref="J850:K850"/>
    <mergeCell ref="J851:K851"/>
    <mergeCell ref="D852:F852"/>
    <mergeCell ref="J852:K852"/>
    <mergeCell ref="D853:F853"/>
    <mergeCell ref="J853:K853"/>
    <mergeCell ref="J854:K854"/>
    <mergeCell ref="D859:F859"/>
    <mergeCell ref="D860:F860"/>
    <mergeCell ref="D861:F861"/>
    <mergeCell ref="J855:K855"/>
    <mergeCell ref="J856:K856"/>
    <mergeCell ref="D857:F857"/>
    <mergeCell ref="J857:K857"/>
    <mergeCell ref="D858:F858"/>
    <mergeCell ref="J858:K858"/>
    <mergeCell ref="J859:K859"/>
    <mergeCell ref="D864:F864"/>
    <mergeCell ref="D865:F865"/>
    <mergeCell ref="D866:F866"/>
    <mergeCell ref="J860:K860"/>
    <mergeCell ref="J861:K861"/>
    <mergeCell ref="D862:F862"/>
    <mergeCell ref="J862:K862"/>
    <mergeCell ref="D863:F863"/>
    <mergeCell ref="J863:K863"/>
    <mergeCell ref="J864:K864"/>
    <mergeCell ref="D869:F869"/>
    <mergeCell ref="D870:F870"/>
    <mergeCell ref="D871:F871"/>
    <mergeCell ref="J865:K865"/>
    <mergeCell ref="J866:K866"/>
    <mergeCell ref="D867:F867"/>
    <mergeCell ref="J867:K867"/>
    <mergeCell ref="D868:F868"/>
    <mergeCell ref="J868:K868"/>
    <mergeCell ref="J869:K869"/>
    <mergeCell ref="D874:F874"/>
    <mergeCell ref="D875:F875"/>
    <mergeCell ref="D876:F876"/>
    <mergeCell ref="J870:K870"/>
    <mergeCell ref="J871:K871"/>
    <mergeCell ref="D872:F872"/>
    <mergeCell ref="J872:K872"/>
    <mergeCell ref="D873:F873"/>
    <mergeCell ref="J873:K873"/>
    <mergeCell ref="J874:K874"/>
    <mergeCell ref="D879:F879"/>
    <mergeCell ref="D880:F880"/>
    <mergeCell ref="D881:F881"/>
    <mergeCell ref="J875:K875"/>
    <mergeCell ref="J876:K876"/>
    <mergeCell ref="D877:F877"/>
    <mergeCell ref="J877:K877"/>
    <mergeCell ref="D878:F878"/>
    <mergeCell ref="J878:K878"/>
    <mergeCell ref="J879:K879"/>
    <mergeCell ref="D884:F884"/>
    <mergeCell ref="D885:F885"/>
    <mergeCell ref="D886:F886"/>
    <mergeCell ref="J880:K880"/>
    <mergeCell ref="J881:K881"/>
    <mergeCell ref="D882:F882"/>
    <mergeCell ref="J882:K882"/>
    <mergeCell ref="D883:F883"/>
    <mergeCell ref="J883:K883"/>
    <mergeCell ref="J884:K884"/>
    <mergeCell ref="D889:F889"/>
    <mergeCell ref="D890:F890"/>
    <mergeCell ref="D891:F891"/>
    <mergeCell ref="J885:K885"/>
    <mergeCell ref="J886:K886"/>
    <mergeCell ref="D887:F887"/>
    <mergeCell ref="J887:K887"/>
    <mergeCell ref="D888:F888"/>
    <mergeCell ref="J888:K888"/>
    <mergeCell ref="J889:K889"/>
    <mergeCell ref="D894:F894"/>
    <mergeCell ref="D895:F895"/>
    <mergeCell ref="D896:F896"/>
    <mergeCell ref="J890:K890"/>
    <mergeCell ref="J891:K891"/>
    <mergeCell ref="D892:F892"/>
    <mergeCell ref="J892:K892"/>
    <mergeCell ref="D893:F893"/>
    <mergeCell ref="J893:K893"/>
    <mergeCell ref="J894:K894"/>
    <mergeCell ref="D899:F899"/>
    <mergeCell ref="D900:F900"/>
    <mergeCell ref="D901:F901"/>
    <mergeCell ref="J895:K895"/>
    <mergeCell ref="J896:K896"/>
    <mergeCell ref="D897:F897"/>
    <mergeCell ref="J897:K897"/>
    <mergeCell ref="D898:F898"/>
    <mergeCell ref="J898:K898"/>
    <mergeCell ref="J899:K899"/>
    <mergeCell ref="D904:F904"/>
    <mergeCell ref="D905:F905"/>
    <mergeCell ref="D906:F906"/>
    <mergeCell ref="J900:K900"/>
    <mergeCell ref="J901:K901"/>
    <mergeCell ref="D902:F902"/>
    <mergeCell ref="J902:K902"/>
    <mergeCell ref="D903:F903"/>
    <mergeCell ref="J903:K903"/>
    <mergeCell ref="J904:K904"/>
    <mergeCell ref="M1121:Q1121"/>
    <mergeCell ref="R1121:S1121"/>
    <mergeCell ref="M1122:Q1122"/>
    <mergeCell ref="R1122:S1122"/>
    <mergeCell ref="M1123:Q1123"/>
    <mergeCell ref="R1123:S1123"/>
    <mergeCell ref="R1124:S1124"/>
    <mergeCell ref="M1124:Q1124"/>
    <mergeCell ref="M1125:Q1125"/>
    <mergeCell ref="R1125:S1125"/>
    <mergeCell ref="M1126:Q1126"/>
    <mergeCell ref="R1126:S1126"/>
    <mergeCell ref="M1127:Q1127"/>
    <mergeCell ref="R1127:S1127"/>
    <mergeCell ref="M1128:Q1128"/>
    <mergeCell ref="R1128:S1128"/>
    <mergeCell ref="M1129:Q1129"/>
    <mergeCell ref="R1129:S1129"/>
    <mergeCell ref="M1130:Q1130"/>
    <mergeCell ref="R1130:S1130"/>
    <mergeCell ref="R1131:S1131"/>
    <mergeCell ref="M1131:Q1131"/>
    <mergeCell ref="M1132:Q1132"/>
    <mergeCell ref="R1132:S1132"/>
    <mergeCell ref="M1133:Q1133"/>
    <mergeCell ref="R1133:S1133"/>
    <mergeCell ref="M1134:Q1134"/>
    <mergeCell ref="R1134:S1134"/>
    <mergeCell ref="M610:Q610"/>
    <mergeCell ref="R610:S610"/>
    <mergeCell ref="M611:Q611"/>
    <mergeCell ref="R611:S611"/>
    <mergeCell ref="M612:Q612"/>
    <mergeCell ref="R612:S612"/>
    <mergeCell ref="R613:S613"/>
    <mergeCell ref="M613:Q613"/>
    <mergeCell ref="M614:Q614"/>
    <mergeCell ref="R614:S614"/>
    <mergeCell ref="M615:Q615"/>
    <mergeCell ref="R615:S615"/>
    <mergeCell ref="M616:Q616"/>
    <mergeCell ref="R616:S616"/>
    <mergeCell ref="M617:Q617"/>
    <mergeCell ref="R617:S617"/>
    <mergeCell ref="M618:Q618"/>
    <mergeCell ref="R618:S618"/>
    <mergeCell ref="M619:Q619"/>
    <mergeCell ref="R619:S619"/>
    <mergeCell ref="R620:S620"/>
    <mergeCell ref="M620:Q620"/>
    <mergeCell ref="M621:Q621"/>
    <mergeCell ref="R621:S621"/>
    <mergeCell ref="M622:Q622"/>
    <mergeCell ref="R622:S622"/>
    <mergeCell ref="M623:Q623"/>
    <mergeCell ref="R623:S623"/>
    <mergeCell ref="M624:Q624"/>
    <mergeCell ref="R624:S624"/>
    <mergeCell ref="M625:Q625"/>
    <mergeCell ref="R625:S625"/>
    <mergeCell ref="M626:Q626"/>
    <mergeCell ref="R626:S626"/>
    <mergeCell ref="R627:S627"/>
    <mergeCell ref="M627:Q627"/>
    <mergeCell ref="M628:Q628"/>
    <mergeCell ref="R628:S628"/>
    <mergeCell ref="M629:Q629"/>
    <mergeCell ref="R629:S629"/>
    <mergeCell ref="M630:Q630"/>
    <mergeCell ref="R630:S630"/>
    <mergeCell ref="M1135:Q1135"/>
    <mergeCell ref="R1135:S1135"/>
    <mergeCell ref="M1136:Q1136"/>
    <mergeCell ref="R1136:S1136"/>
    <mergeCell ref="M1137:Q1137"/>
    <mergeCell ref="R1137:S1137"/>
    <mergeCell ref="M1072:Q1072"/>
    <mergeCell ref="R1072:S1072"/>
    <mergeCell ref="M1073:Q1073"/>
    <mergeCell ref="R1073:S1073"/>
    <mergeCell ref="M1074:Q1074"/>
    <mergeCell ref="R1074:S1074"/>
    <mergeCell ref="R1075:S1075"/>
    <mergeCell ref="M1075:Q1075"/>
    <mergeCell ref="M1076:Q1076"/>
    <mergeCell ref="R1076:S1076"/>
    <mergeCell ref="M1077:Q1077"/>
    <mergeCell ref="R1077:S1077"/>
    <mergeCell ref="M1078:Q1078"/>
    <mergeCell ref="R1078:S1078"/>
    <mergeCell ref="M1079:Q1079"/>
    <mergeCell ref="R1079:S1079"/>
    <mergeCell ref="M1080:Q1080"/>
    <mergeCell ref="R1080:S1080"/>
    <mergeCell ref="M1081:Q1081"/>
    <mergeCell ref="R1081:S1081"/>
    <mergeCell ref="R1082:S1082"/>
    <mergeCell ref="M1082:Q1082"/>
    <mergeCell ref="M1083:Q1083"/>
    <mergeCell ref="R1083:S1083"/>
    <mergeCell ref="M1084:Q1084"/>
    <mergeCell ref="R1084:S1084"/>
    <mergeCell ref="M1085:Q1085"/>
    <mergeCell ref="R1085:S1085"/>
    <mergeCell ref="M1086:Q1086"/>
    <mergeCell ref="R1086:S1086"/>
    <mergeCell ref="M1087:Q1087"/>
    <mergeCell ref="R1087:S1087"/>
    <mergeCell ref="M1088:Q1088"/>
    <mergeCell ref="R1088:S1088"/>
    <mergeCell ref="R1089:S1089"/>
    <mergeCell ref="M1089:Q1089"/>
    <mergeCell ref="M1090:Q1090"/>
    <mergeCell ref="R1090:S1090"/>
    <mergeCell ref="M1091:Q1091"/>
    <mergeCell ref="R1091:S1091"/>
    <mergeCell ref="M1092:Q1092"/>
    <mergeCell ref="R1092:S1092"/>
    <mergeCell ref="M1093:Q1093"/>
    <mergeCell ref="R1093:S1093"/>
    <mergeCell ref="M1094:Q1094"/>
    <mergeCell ref="R1094:S1094"/>
    <mergeCell ref="M1095:Q1095"/>
    <mergeCell ref="R1095:S1095"/>
    <mergeCell ref="R1096:S1096"/>
    <mergeCell ref="M1096:Q1096"/>
    <mergeCell ref="M1097:Q1097"/>
    <mergeCell ref="R1097:S1097"/>
    <mergeCell ref="M1098:Q1098"/>
    <mergeCell ref="R1098:S1098"/>
    <mergeCell ref="M1099:Q1099"/>
    <mergeCell ref="R1099:S1099"/>
    <mergeCell ref="M1100:Q1100"/>
    <mergeCell ref="R1100:S1100"/>
    <mergeCell ref="M1101:Q1101"/>
    <mergeCell ref="R1101:S1101"/>
    <mergeCell ref="M1102:Q1102"/>
    <mergeCell ref="R1102:S1102"/>
    <mergeCell ref="R1103:S1103"/>
    <mergeCell ref="M1103:Q1103"/>
    <mergeCell ref="M1104:Q1104"/>
    <mergeCell ref="R1104:S1104"/>
    <mergeCell ref="M1105:Q1105"/>
    <mergeCell ref="R1105:S1105"/>
    <mergeCell ref="M1106:Q1106"/>
    <mergeCell ref="R1106:S1106"/>
    <mergeCell ref="M1107:Q1107"/>
    <mergeCell ref="R1107:S1107"/>
    <mergeCell ref="M1108:Q1108"/>
    <mergeCell ref="R1108:S1108"/>
    <mergeCell ref="M1109:Q1109"/>
    <mergeCell ref="R1109:S1109"/>
    <mergeCell ref="R1110:S1110"/>
    <mergeCell ref="M1110:Q1110"/>
    <mergeCell ref="M1111:Q1111"/>
    <mergeCell ref="R1111:S1111"/>
    <mergeCell ref="M1112:Q1112"/>
    <mergeCell ref="R1112:S1112"/>
    <mergeCell ref="M1113:Q1113"/>
    <mergeCell ref="R1113:S1113"/>
    <mergeCell ref="M1114:Q1114"/>
    <mergeCell ref="R1114:S1114"/>
    <mergeCell ref="M1115:Q1115"/>
    <mergeCell ref="R1115:S1115"/>
    <mergeCell ref="M1116:Q1116"/>
    <mergeCell ref="R1116:S1116"/>
    <mergeCell ref="R1117:S1117"/>
    <mergeCell ref="M1117:Q1117"/>
    <mergeCell ref="M1118:Q1118"/>
    <mergeCell ref="R1118:S1118"/>
    <mergeCell ref="M1119:Q1119"/>
    <mergeCell ref="R1119:S1119"/>
    <mergeCell ref="M1120:Q1120"/>
    <mergeCell ref="R1120:S1120"/>
    <mergeCell ref="M729:Q729"/>
    <mergeCell ref="R729:S729"/>
    <mergeCell ref="M730:Q730"/>
    <mergeCell ref="R730:S730"/>
    <mergeCell ref="M731:Q731"/>
    <mergeCell ref="R731:S731"/>
    <mergeCell ref="R732:S732"/>
    <mergeCell ref="M732:Q732"/>
    <mergeCell ref="M733:Q733"/>
    <mergeCell ref="R733:S733"/>
    <mergeCell ref="M734:Q734"/>
    <mergeCell ref="R734:S734"/>
    <mergeCell ref="M735:Q735"/>
    <mergeCell ref="R735:S735"/>
    <mergeCell ref="M736:Q736"/>
    <mergeCell ref="R736:S736"/>
    <mergeCell ref="M737:Q737"/>
    <mergeCell ref="R737:S737"/>
    <mergeCell ref="M738:Q738"/>
    <mergeCell ref="R738:S738"/>
    <mergeCell ref="R739:S739"/>
    <mergeCell ref="M739:Q739"/>
    <mergeCell ref="M740:Q740"/>
    <mergeCell ref="R740:S740"/>
    <mergeCell ref="M741:Q741"/>
    <mergeCell ref="R741:S741"/>
    <mergeCell ref="M742:Q742"/>
    <mergeCell ref="R742:S742"/>
    <mergeCell ref="M743:Q743"/>
    <mergeCell ref="R743:S743"/>
    <mergeCell ref="M744:Q744"/>
    <mergeCell ref="R744:S744"/>
    <mergeCell ref="M745:Q745"/>
    <mergeCell ref="R745:S745"/>
    <mergeCell ref="R746:S746"/>
    <mergeCell ref="M746:Q746"/>
    <mergeCell ref="M747:Q747"/>
    <mergeCell ref="R747:S747"/>
    <mergeCell ref="M748:Q748"/>
    <mergeCell ref="R748:S748"/>
    <mergeCell ref="M749:Q749"/>
    <mergeCell ref="R749:S749"/>
    <mergeCell ref="M750:Q750"/>
    <mergeCell ref="R750:S750"/>
    <mergeCell ref="M751:Q751"/>
    <mergeCell ref="R751:S751"/>
    <mergeCell ref="M752:Q752"/>
    <mergeCell ref="R752:S752"/>
    <mergeCell ref="R753:S753"/>
    <mergeCell ref="M753:Q753"/>
    <mergeCell ref="M754:Q754"/>
    <mergeCell ref="R754:S754"/>
    <mergeCell ref="M755:Q755"/>
    <mergeCell ref="R755:S755"/>
    <mergeCell ref="M756:Q756"/>
    <mergeCell ref="R756:S756"/>
    <mergeCell ref="M757:Q757"/>
    <mergeCell ref="R757:S757"/>
    <mergeCell ref="M758:Q758"/>
    <mergeCell ref="R758:S758"/>
    <mergeCell ref="M759:Q759"/>
    <mergeCell ref="R759:S759"/>
    <mergeCell ref="R760:S760"/>
    <mergeCell ref="M760:Q760"/>
    <mergeCell ref="M761:Q761"/>
    <mergeCell ref="R761:S761"/>
    <mergeCell ref="M762:Q762"/>
    <mergeCell ref="R762:S762"/>
    <mergeCell ref="M763:Q763"/>
    <mergeCell ref="R763:S763"/>
    <mergeCell ref="M764:Q764"/>
    <mergeCell ref="R764:S764"/>
    <mergeCell ref="M765:Q765"/>
    <mergeCell ref="R765:S765"/>
    <mergeCell ref="M766:Q766"/>
    <mergeCell ref="R766:S766"/>
    <mergeCell ref="R767:S767"/>
    <mergeCell ref="M767:Q767"/>
    <mergeCell ref="M768:Q768"/>
    <mergeCell ref="R768:S768"/>
    <mergeCell ref="M769:Q769"/>
    <mergeCell ref="R769:S769"/>
    <mergeCell ref="M770:Q770"/>
    <mergeCell ref="R770:S770"/>
    <mergeCell ref="M771:Q771"/>
    <mergeCell ref="R771:S771"/>
    <mergeCell ref="M772:Q772"/>
    <mergeCell ref="R772:S772"/>
    <mergeCell ref="M773:Q773"/>
    <mergeCell ref="R773:S773"/>
    <mergeCell ref="R774:S774"/>
    <mergeCell ref="M774:Q774"/>
    <mergeCell ref="M775:Q775"/>
    <mergeCell ref="R775:S775"/>
    <mergeCell ref="M776:Q776"/>
    <mergeCell ref="R776:S776"/>
    <mergeCell ref="M777:Q777"/>
    <mergeCell ref="R777:S777"/>
    <mergeCell ref="M778:Q778"/>
    <mergeCell ref="R778:S778"/>
    <mergeCell ref="M779:Q779"/>
    <mergeCell ref="R779:S779"/>
    <mergeCell ref="M780:Q780"/>
    <mergeCell ref="R780:S780"/>
    <mergeCell ref="R781:S781"/>
    <mergeCell ref="M781:Q781"/>
    <mergeCell ref="M782:Q782"/>
    <mergeCell ref="R782:S782"/>
    <mergeCell ref="M783:Q783"/>
    <mergeCell ref="R783:S783"/>
    <mergeCell ref="M784:Q784"/>
    <mergeCell ref="R784:S784"/>
    <mergeCell ref="M785:Q785"/>
    <mergeCell ref="R785:S785"/>
    <mergeCell ref="M786:Q786"/>
    <mergeCell ref="R786:S786"/>
    <mergeCell ref="M787:Q787"/>
    <mergeCell ref="R787:S787"/>
    <mergeCell ref="R788:S788"/>
    <mergeCell ref="M788:Q788"/>
    <mergeCell ref="M789:Q789"/>
    <mergeCell ref="R789:S789"/>
    <mergeCell ref="M790:Q790"/>
    <mergeCell ref="R790:S790"/>
    <mergeCell ref="M791:Q791"/>
    <mergeCell ref="R791:S791"/>
    <mergeCell ref="M792:Q792"/>
    <mergeCell ref="R792:S792"/>
    <mergeCell ref="M793:Q793"/>
    <mergeCell ref="R793:S793"/>
    <mergeCell ref="M794:Q794"/>
    <mergeCell ref="R794:S794"/>
    <mergeCell ref="R795:S795"/>
    <mergeCell ref="M795:Q795"/>
    <mergeCell ref="M796:Q796"/>
    <mergeCell ref="R796:S796"/>
    <mergeCell ref="M797:Q797"/>
    <mergeCell ref="R797:S797"/>
    <mergeCell ref="M798:Q798"/>
    <mergeCell ref="R798:S798"/>
    <mergeCell ref="M799:Q799"/>
    <mergeCell ref="R799:S799"/>
    <mergeCell ref="M800:Q800"/>
    <mergeCell ref="R800:S800"/>
    <mergeCell ref="M801:Q801"/>
    <mergeCell ref="R801:S801"/>
    <mergeCell ref="R802:S802"/>
    <mergeCell ref="M802:Q802"/>
    <mergeCell ref="M803:Q803"/>
    <mergeCell ref="R803:S803"/>
    <mergeCell ref="M804:Q804"/>
    <mergeCell ref="R804:S804"/>
    <mergeCell ref="M805:Q805"/>
    <mergeCell ref="R805:S805"/>
    <mergeCell ref="M806:Q806"/>
    <mergeCell ref="R806:S806"/>
    <mergeCell ref="M807:Q807"/>
    <mergeCell ref="R807:S807"/>
    <mergeCell ref="M808:Q808"/>
    <mergeCell ref="R808:S808"/>
    <mergeCell ref="R809:S809"/>
    <mergeCell ref="M809:Q809"/>
    <mergeCell ref="M810:Q810"/>
    <mergeCell ref="R810:S810"/>
    <mergeCell ref="M811:Q811"/>
    <mergeCell ref="R811:S811"/>
    <mergeCell ref="M812:Q812"/>
    <mergeCell ref="R812:S812"/>
    <mergeCell ref="M813:Q813"/>
    <mergeCell ref="R813:S813"/>
    <mergeCell ref="M814:Q814"/>
    <mergeCell ref="R814:S814"/>
    <mergeCell ref="M815:Q815"/>
    <mergeCell ref="R815:S815"/>
    <mergeCell ref="R816:S816"/>
    <mergeCell ref="M816:Q816"/>
    <mergeCell ref="M817:Q817"/>
    <mergeCell ref="R817:S817"/>
    <mergeCell ref="M818:Q818"/>
    <mergeCell ref="R818:S818"/>
    <mergeCell ref="M819:Q819"/>
    <mergeCell ref="R819:S819"/>
    <mergeCell ref="M820:Q820"/>
    <mergeCell ref="R820:S820"/>
    <mergeCell ref="M821:Q821"/>
    <mergeCell ref="R821:S821"/>
    <mergeCell ref="M822:Q822"/>
    <mergeCell ref="R822:S822"/>
    <mergeCell ref="R823:S823"/>
    <mergeCell ref="M823:Q823"/>
    <mergeCell ref="M824:Q824"/>
    <mergeCell ref="R824:S824"/>
    <mergeCell ref="M825:Q825"/>
    <mergeCell ref="R825:S825"/>
    <mergeCell ref="M826:Q826"/>
    <mergeCell ref="R826:S826"/>
    <mergeCell ref="M827:Q827"/>
    <mergeCell ref="R827:S827"/>
    <mergeCell ref="M828:Q828"/>
    <mergeCell ref="R828:S828"/>
    <mergeCell ref="M829:Q829"/>
    <mergeCell ref="R829:S829"/>
    <mergeCell ref="R830:S830"/>
    <mergeCell ref="M830:Q830"/>
    <mergeCell ref="M831:Q831"/>
    <mergeCell ref="R831:S831"/>
    <mergeCell ref="M832:Q832"/>
    <mergeCell ref="R832:S832"/>
    <mergeCell ref="M833:Q833"/>
    <mergeCell ref="R833:S833"/>
    <mergeCell ref="M834:Q834"/>
    <mergeCell ref="R834:S834"/>
    <mergeCell ref="M835:Q835"/>
    <mergeCell ref="R835:S835"/>
    <mergeCell ref="M836:Q836"/>
    <mergeCell ref="R836:S836"/>
    <mergeCell ref="R837:S837"/>
    <mergeCell ref="M837:Q837"/>
    <mergeCell ref="M838:Q838"/>
    <mergeCell ref="R838:S838"/>
    <mergeCell ref="M839:Q839"/>
    <mergeCell ref="R839:S839"/>
    <mergeCell ref="M840:Q840"/>
    <mergeCell ref="R840:S840"/>
    <mergeCell ref="M841:Q841"/>
    <mergeCell ref="R841:S841"/>
    <mergeCell ref="M842:Q842"/>
    <mergeCell ref="R842:S842"/>
    <mergeCell ref="M843:Q843"/>
    <mergeCell ref="R843:S843"/>
    <mergeCell ref="R844:S844"/>
    <mergeCell ref="M844:Q844"/>
    <mergeCell ref="M845:Q845"/>
    <mergeCell ref="R845:S845"/>
    <mergeCell ref="M846:Q846"/>
    <mergeCell ref="R846:S846"/>
    <mergeCell ref="M847:Q847"/>
    <mergeCell ref="R847:S847"/>
    <mergeCell ref="M848:Q848"/>
    <mergeCell ref="R848:S848"/>
    <mergeCell ref="M849:Q849"/>
    <mergeCell ref="R849:S849"/>
    <mergeCell ref="M850:Q850"/>
    <mergeCell ref="R850:S850"/>
    <mergeCell ref="R851:S851"/>
    <mergeCell ref="M851:Q851"/>
    <mergeCell ref="M852:Q852"/>
    <mergeCell ref="R852:S852"/>
    <mergeCell ref="M853:Q853"/>
    <mergeCell ref="R853:S853"/>
    <mergeCell ref="M854:Q854"/>
    <mergeCell ref="R854:S854"/>
    <mergeCell ref="M855:Q855"/>
    <mergeCell ref="R855:S855"/>
    <mergeCell ref="M856:Q856"/>
    <mergeCell ref="R856:S856"/>
    <mergeCell ref="M857:Q857"/>
    <mergeCell ref="R857:S857"/>
    <mergeCell ref="R858:S858"/>
    <mergeCell ref="M858:Q858"/>
    <mergeCell ref="M859:Q859"/>
    <mergeCell ref="R859:S859"/>
    <mergeCell ref="M860:Q860"/>
    <mergeCell ref="R860:S860"/>
    <mergeCell ref="M861:Q861"/>
    <mergeCell ref="R861:S861"/>
    <mergeCell ref="M862:Q862"/>
    <mergeCell ref="R862:S862"/>
    <mergeCell ref="M863:Q863"/>
    <mergeCell ref="R863:S863"/>
    <mergeCell ref="M864:Q864"/>
    <mergeCell ref="R864:S864"/>
    <mergeCell ref="R865:S865"/>
    <mergeCell ref="M865:Q865"/>
    <mergeCell ref="M866:Q866"/>
    <mergeCell ref="R866:S866"/>
    <mergeCell ref="M867:Q867"/>
    <mergeCell ref="R867:S867"/>
    <mergeCell ref="M868:Q868"/>
    <mergeCell ref="R868:S868"/>
    <mergeCell ref="M869:Q869"/>
    <mergeCell ref="R869:S869"/>
    <mergeCell ref="M870:Q870"/>
    <mergeCell ref="R870:S870"/>
    <mergeCell ref="M871:Q871"/>
    <mergeCell ref="R871:S871"/>
    <mergeCell ref="R872:S872"/>
    <mergeCell ref="M872:Q872"/>
    <mergeCell ref="M873:Q873"/>
    <mergeCell ref="R873:S873"/>
    <mergeCell ref="M874:Q874"/>
    <mergeCell ref="R874:S874"/>
    <mergeCell ref="M875:Q875"/>
    <mergeCell ref="R875:S875"/>
    <mergeCell ref="M876:Q876"/>
    <mergeCell ref="R876:S876"/>
    <mergeCell ref="M877:Q877"/>
    <mergeCell ref="R877:S877"/>
    <mergeCell ref="M878:Q878"/>
    <mergeCell ref="R878:S878"/>
    <mergeCell ref="R879:S879"/>
    <mergeCell ref="M879:Q879"/>
    <mergeCell ref="M880:Q880"/>
    <mergeCell ref="R880:S880"/>
    <mergeCell ref="M881:Q881"/>
    <mergeCell ref="R881:S881"/>
    <mergeCell ref="M882:Q882"/>
    <mergeCell ref="R882:S882"/>
    <mergeCell ref="M883:Q883"/>
    <mergeCell ref="R883:S883"/>
    <mergeCell ref="M884:Q884"/>
    <mergeCell ref="R884:S884"/>
    <mergeCell ref="M885:Q885"/>
    <mergeCell ref="R885:S885"/>
    <mergeCell ref="R886:S886"/>
    <mergeCell ref="M886:Q886"/>
    <mergeCell ref="M887:Q887"/>
    <mergeCell ref="R887:S887"/>
    <mergeCell ref="M888:Q888"/>
    <mergeCell ref="R888:S888"/>
    <mergeCell ref="M889:Q889"/>
    <mergeCell ref="R889:S889"/>
    <mergeCell ref="M890:Q890"/>
    <mergeCell ref="R890:S890"/>
    <mergeCell ref="M891:Q891"/>
    <mergeCell ref="R891:S891"/>
    <mergeCell ref="M892:Q892"/>
    <mergeCell ref="R892:S892"/>
    <mergeCell ref="R893:S893"/>
    <mergeCell ref="M893:Q893"/>
    <mergeCell ref="M894:Q894"/>
    <mergeCell ref="R894:S894"/>
    <mergeCell ref="M895:Q895"/>
    <mergeCell ref="R895:S895"/>
    <mergeCell ref="M896:Q896"/>
    <mergeCell ref="R896:S896"/>
    <mergeCell ref="M897:Q897"/>
    <mergeCell ref="R897:S897"/>
    <mergeCell ref="M898:Q898"/>
    <mergeCell ref="R898:S898"/>
    <mergeCell ref="M899:Q899"/>
    <mergeCell ref="R899:S899"/>
    <mergeCell ref="R900:S900"/>
    <mergeCell ref="M900:Q900"/>
    <mergeCell ref="M901:Q901"/>
    <mergeCell ref="R901:S901"/>
    <mergeCell ref="M902:Q902"/>
    <mergeCell ref="R902:S902"/>
    <mergeCell ref="M903:Q903"/>
    <mergeCell ref="R903:S903"/>
    <mergeCell ref="M904:Q904"/>
    <mergeCell ref="R904:S904"/>
    <mergeCell ref="M905:Q905"/>
    <mergeCell ref="R905:S905"/>
    <mergeCell ref="M906:Q906"/>
    <mergeCell ref="R906:S906"/>
    <mergeCell ref="R907:S907"/>
    <mergeCell ref="M907:Q907"/>
    <mergeCell ref="M908:Q908"/>
    <mergeCell ref="R908:S908"/>
    <mergeCell ref="M909:Q909"/>
    <mergeCell ref="R909:S909"/>
    <mergeCell ref="M910:Q910"/>
    <mergeCell ref="R910:S910"/>
    <mergeCell ref="M911:Q911"/>
    <mergeCell ref="R911:S911"/>
    <mergeCell ref="M912:Q912"/>
    <mergeCell ref="R912:S912"/>
    <mergeCell ref="M913:Q913"/>
    <mergeCell ref="R913:S913"/>
    <mergeCell ref="R914:S914"/>
    <mergeCell ref="M914:Q914"/>
    <mergeCell ref="M915:Q915"/>
    <mergeCell ref="R915:S915"/>
    <mergeCell ref="M916:Q916"/>
    <mergeCell ref="R916:S916"/>
    <mergeCell ref="M917:Q917"/>
    <mergeCell ref="R917:S917"/>
    <mergeCell ref="M918:Q918"/>
    <mergeCell ref="R918:S918"/>
    <mergeCell ref="M919:Q919"/>
    <mergeCell ref="R919:S919"/>
    <mergeCell ref="M920:Q920"/>
    <mergeCell ref="R920:S920"/>
    <mergeCell ref="R921:S921"/>
    <mergeCell ref="M921:Q921"/>
    <mergeCell ref="M922:Q922"/>
    <mergeCell ref="R922:S922"/>
    <mergeCell ref="M923:Q923"/>
    <mergeCell ref="R923:S923"/>
    <mergeCell ref="M924:Q924"/>
    <mergeCell ref="R924:S924"/>
    <mergeCell ref="M925:Q925"/>
    <mergeCell ref="R925:S925"/>
    <mergeCell ref="M926:Q926"/>
    <mergeCell ref="R926:S926"/>
    <mergeCell ref="M927:Q927"/>
    <mergeCell ref="R927:S927"/>
    <mergeCell ref="R928:S928"/>
    <mergeCell ref="M928:Q928"/>
    <mergeCell ref="M929:Q929"/>
    <mergeCell ref="R929:S929"/>
    <mergeCell ref="M930:Q930"/>
    <mergeCell ref="R930:S930"/>
    <mergeCell ref="M931:Q931"/>
    <mergeCell ref="R931:S931"/>
    <mergeCell ref="M932:Q932"/>
    <mergeCell ref="R932:S932"/>
    <mergeCell ref="M933:Q933"/>
    <mergeCell ref="R933:S933"/>
    <mergeCell ref="M934:Q934"/>
    <mergeCell ref="R934:S934"/>
    <mergeCell ref="R935:S935"/>
    <mergeCell ref="M935:Q935"/>
    <mergeCell ref="M936:Q936"/>
    <mergeCell ref="R936:S936"/>
    <mergeCell ref="M937:Q937"/>
    <mergeCell ref="R937:S937"/>
    <mergeCell ref="M938:Q938"/>
    <mergeCell ref="R938:S938"/>
    <mergeCell ref="M939:Q939"/>
    <mergeCell ref="R939:S939"/>
    <mergeCell ref="M940:Q940"/>
    <mergeCell ref="R940:S940"/>
    <mergeCell ref="M941:Q941"/>
    <mergeCell ref="R941:S941"/>
    <mergeCell ref="R942:S942"/>
    <mergeCell ref="M942:Q942"/>
    <mergeCell ref="M943:Q943"/>
    <mergeCell ref="R943:S943"/>
    <mergeCell ref="M944:Q944"/>
    <mergeCell ref="R944:S944"/>
    <mergeCell ref="M945:Q945"/>
    <mergeCell ref="R945:S945"/>
    <mergeCell ref="M946:Q946"/>
    <mergeCell ref="R946:S946"/>
    <mergeCell ref="M947:Q947"/>
    <mergeCell ref="R947:S947"/>
    <mergeCell ref="M948:Q948"/>
    <mergeCell ref="R948:S948"/>
    <mergeCell ref="R949:S949"/>
    <mergeCell ref="M949:Q949"/>
    <mergeCell ref="M950:Q950"/>
    <mergeCell ref="R950:S950"/>
    <mergeCell ref="M951:Q951"/>
    <mergeCell ref="R951:S951"/>
    <mergeCell ref="M952:Q952"/>
    <mergeCell ref="R952:S952"/>
    <mergeCell ref="M953:Q953"/>
    <mergeCell ref="R953:S953"/>
    <mergeCell ref="M954:Q954"/>
    <mergeCell ref="R954:S954"/>
    <mergeCell ref="M955:Q955"/>
    <mergeCell ref="R955:S955"/>
    <mergeCell ref="R956:S956"/>
    <mergeCell ref="M956:Q956"/>
    <mergeCell ref="M957:Q957"/>
    <mergeCell ref="R957:S957"/>
    <mergeCell ref="M958:Q958"/>
    <mergeCell ref="R958:S958"/>
    <mergeCell ref="M959:Q959"/>
    <mergeCell ref="R959:S959"/>
    <mergeCell ref="M960:Q960"/>
    <mergeCell ref="R960:S960"/>
    <mergeCell ref="M961:Q961"/>
    <mergeCell ref="R961:S961"/>
    <mergeCell ref="M962:Q962"/>
    <mergeCell ref="R962:S962"/>
    <mergeCell ref="R963:S963"/>
    <mergeCell ref="M963:Q963"/>
    <mergeCell ref="M964:Q964"/>
    <mergeCell ref="R964:S964"/>
    <mergeCell ref="M965:Q965"/>
    <mergeCell ref="R965:S965"/>
    <mergeCell ref="M966:Q966"/>
    <mergeCell ref="R966:S966"/>
    <mergeCell ref="M967:Q967"/>
    <mergeCell ref="R967:S967"/>
    <mergeCell ref="M968:Q968"/>
    <mergeCell ref="R968:S968"/>
    <mergeCell ref="M969:Q969"/>
    <mergeCell ref="R969:S969"/>
    <mergeCell ref="R970:S970"/>
    <mergeCell ref="M970:Q970"/>
    <mergeCell ref="M971:Q971"/>
    <mergeCell ref="R971:S971"/>
    <mergeCell ref="M972:Q972"/>
    <mergeCell ref="R972:S972"/>
    <mergeCell ref="M973:Q973"/>
    <mergeCell ref="R973:S973"/>
    <mergeCell ref="M974:Q974"/>
    <mergeCell ref="R974:S974"/>
    <mergeCell ref="M975:Q975"/>
    <mergeCell ref="R975:S975"/>
    <mergeCell ref="M976:Q976"/>
    <mergeCell ref="R976:S976"/>
    <mergeCell ref="R977:S977"/>
    <mergeCell ref="M977:Q977"/>
    <mergeCell ref="M978:Q978"/>
    <mergeCell ref="R978:S978"/>
    <mergeCell ref="M979:Q979"/>
    <mergeCell ref="R979:S979"/>
    <mergeCell ref="M980:Q980"/>
    <mergeCell ref="R980:S980"/>
    <mergeCell ref="M981:Q981"/>
    <mergeCell ref="R981:S981"/>
    <mergeCell ref="M982:Q982"/>
    <mergeCell ref="R982:S982"/>
    <mergeCell ref="M983:Q983"/>
    <mergeCell ref="R983:S983"/>
    <mergeCell ref="R984:S984"/>
    <mergeCell ref="M984:Q984"/>
    <mergeCell ref="M985:Q985"/>
    <mergeCell ref="R985:S985"/>
    <mergeCell ref="M986:Q986"/>
    <mergeCell ref="R986:S986"/>
    <mergeCell ref="M987:Q987"/>
    <mergeCell ref="R987:S987"/>
    <mergeCell ref="M988:Q988"/>
    <mergeCell ref="R988:S988"/>
    <mergeCell ref="M989:Q989"/>
    <mergeCell ref="R989:S989"/>
    <mergeCell ref="M990:Q990"/>
    <mergeCell ref="R990:S990"/>
    <mergeCell ref="R991:S991"/>
    <mergeCell ref="M991:Q991"/>
    <mergeCell ref="M992:Q992"/>
    <mergeCell ref="R992:S992"/>
    <mergeCell ref="M993:Q993"/>
    <mergeCell ref="R993:S993"/>
    <mergeCell ref="M994:Q994"/>
    <mergeCell ref="R994:S994"/>
    <mergeCell ref="M995:Q995"/>
    <mergeCell ref="R995:S995"/>
    <mergeCell ref="M996:Q996"/>
    <mergeCell ref="R996:S996"/>
    <mergeCell ref="M997:Q997"/>
    <mergeCell ref="R997:S997"/>
    <mergeCell ref="R998:S998"/>
    <mergeCell ref="M998:Q998"/>
    <mergeCell ref="M999:Q999"/>
    <mergeCell ref="R999:S999"/>
    <mergeCell ref="M1000:Q1000"/>
    <mergeCell ref="R1000:S1000"/>
    <mergeCell ref="M1001:Q1001"/>
    <mergeCell ref="R1001:S1001"/>
    <mergeCell ref="M1002:Q1002"/>
    <mergeCell ref="R1002:S1002"/>
    <mergeCell ref="M1003:Q1003"/>
    <mergeCell ref="R1003:S1003"/>
    <mergeCell ref="M1004:Q1004"/>
    <mergeCell ref="R1004:S1004"/>
    <mergeCell ref="R1005:S1005"/>
    <mergeCell ref="M1005:Q1005"/>
    <mergeCell ref="M1006:Q1006"/>
    <mergeCell ref="R1006:S1006"/>
    <mergeCell ref="M1007:Q1007"/>
    <mergeCell ref="R1007:S1007"/>
    <mergeCell ref="M1008:Q1008"/>
    <mergeCell ref="R1008:S1008"/>
    <mergeCell ref="M1009:Q1009"/>
    <mergeCell ref="R1009:S1009"/>
    <mergeCell ref="M1010:Q1010"/>
    <mergeCell ref="R1010:S1010"/>
    <mergeCell ref="M1011:Q1011"/>
    <mergeCell ref="R1011:S1011"/>
    <mergeCell ref="R1012:S1012"/>
    <mergeCell ref="M1012:Q1012"/>
    <mergeCell ref="M1013:Q1013"/>
    <mergeCell ref="R1013:S1013"/>
    <mergeCell ref="M1014:Q1014"/>
    <mergeCell ref="R1014:S1014"/>
    <mergeCell ref="M1015:Q1015"/>
    <mergeCell ref="R1015:S1015"/>
    <mergeCell ref="M1016:Q1016"/>
    <mergeCell ref="R1016:S1016"/>
    <mergeCell ref="M1017:Q1017"/>
    <mergeCell ref="R1017:S1017"/>
    <mergeCell ref="M1018:Q1018"/>
    <mergeCell ref="R1018:S1018"/>
    <mergeCell ref="R1019:S1019"/>
    <mergeCell ref="M1019:Q1019"/>
    <mergeCell ref="M1020:Q1020"/>
    <mergeCell ref="R1020:S1020"/>
    <mergeCell ref="M1021:Q1021"/>
    <mergeCell ref="R1021:S1021"/>
    <mergeCell ref="M1022:Q1022"/>
    <mergeCell ref="R1022:S1022"/>
    <mergeCell ref="M1023:Q1023"/>
    <mergeCell ref="R1023:S1023"/>
    <mergeCell ref="M1024:Q1024"/>
    <mergeCell ref="R1024:S1024"/>
    <mergeCell ref="M1025:Q1025"/>
    <mergeCell ref="R1025:S1025"/>
    <mergeCell ref="R1026:S1026"/>
    <mergeCell ref="M1026:Q1026"/>
    <mergeCell ref="M1027:Q1027"/>
    <mergeCell ref="R1027:S1027"/>
    <mergeCell ref="M1028:Q1028"/>
    <mergeCell ref="R1028:S1028"/>
    <mergeCell ref="M1029:Q1029"/>
    <mergeCell ref="R1029:S1029"/>
    <mergeCell ref="M1030:Q1030"/>
    <mergeCell ref="R1030:S1030"/>
    <mergeCell ref="M1031:Q1031"/>
    <mergeCell ref="R1031:S1031"/>
    <mergeCell ref="M1032:Q1032"/>
    <mergeCell ref="R1032:S1032"/>
    <mergeCell ref="R1033:S1033"/>
    <mergeCell ref="M1033:Q1033"/>
    <mergeCell ref="M1034:Q1034"/>
    <mergeCell ref="R1034:S1034"/>
    <mergeCell ref="M1035:Q1035"/>
    <mergeCell ref="R1035:S1035"/>
    <mergeCell ref="M1036:Q1036"/>
    <mergeCell ref="R1036:S1036"/>
    <mergeCell ref="M1037:Q1037"/>
    <mergeCell ref="R1037:S1037"/>
    <mergeCell ref="M1038:Q1038"/>
    <mergeCell ref="R1038:S1038"/>
    <mergeCell ref="M1039:Q1039"/>
    <mergeCell ref="R1039:S1039"/>
    <mergeCell ref="R1040:S1040"/>
    <mergeCell ref="M1040:Q1040"/>
    <mergeCell ref="M1041:Q1041"/>
    <mergeCell ref="R1041:S1041"/>
    <mergeCell ref="M1042:Q1042"/>
    <mergeCell ref="R1042:S1042"/>
    <mergeCell ref="M1043:Q1043"/>
    <mergeCell ref="R1043:S1043"/>
    <mergeCell ref="M1044:Q1044"/>
    <mergeCell ref="R1044:S1044"/>
    <mergeCell ref="M1045:Q1045"/>
    <mergeCell ref="R1045:S1045"/>
    <mergeCell ref="M1046:Q1046"/>
    <mergeCell ref="R1046:S1046"/>
    <mergeCell ref="R1047:S1047"/>
    <mergeCell ref="M1047:Q1047"/>
    <mergeCell ref="M1048:Q1048"/>
    <mergeCell ref="R1048:S1048"/>
    <mergeCell ref="M1049:Q1049"/>
    <mergeCell ref="R1049:S1049"/>
    <mergeCell ref="M1050:Q1050"/>
    <mergeCell ref="R1050:S1050"/>
    <mergeCell ref="M1051:Q1051"/>
    <mergeCell ref="R1051:S1051"/>
    <mergeCell ref="M1052:Q1052"/>
    <mergeCell ref="R1052:S1052"/>
    <mergeCell ref="M1053:Q1053"/>
    <mergeCell ref="R1053:S1053"/>
    <mergeCell ref="R1054:S1054"/>
    <mergeCell ref="M1054:Q1054"/>
    <mergeCell ref="M1055:Q1055"/>
    <mergeCell ref="R1055:S1055"/>
    <mergeCell ref="M1056:Q1056"/>
    <mergeCell ref="R1056:S1056"/>
    <mergeCell ref="M1057:Q1057"/>
    <mergeCell ref="R1057:S1057"/>
    <mergeCell ref="M1058:Q1058"/>
    <mergeCell ref="R1058:S1058"/>
    <mergeCell ref="M1059:Q1059"/>
    <mergeCell ref="R1059:S1059"/>
    <mergeCell ref="M1060:Q1060"/>
    <mergeCell ref="R1060:S1060"/>
    <mergeCell ref="R1061:S1061"/>
    <mergeCell ref="M1061:Q1061"/>
    <mergeCell ref="M1062:Q1062"/>
    <mergeCell ref="R1062:S1062"/>
    <mergeCell ref="M1063:Q1063"/>
    <mergeCell ref="R1063:S1063"/>
    <mergeCell ref="M1064:Q1064"/>
    <mergeCell ref="R1064:S1064"/>
    <mergeCell ref="M1065:Q1065"/>
    <mergeCell ref="R1065:S1065"/>
    <mergeCell ref="M1066:Q1066"/>
    <mergeCell ref="R1066:S1066"/>
    <mergeCell ref="M1067:Q1067"/>
    <mergeCell ref="R1067:S1067"/>
    <mergeCell ref="R1068:S1068"/>
    <mergeCell ref="M1068:Q1068"/>
    <mergeCell ref="M1069:Q1069"/>
    <mergeCell ref="R1069:S1069"/>
    <mergeCell ref="M1070:Q1070"/>
    <mergeCell ref="R1070:S1070"/>
    <mergeCell ref="M1071:Q1071"/>
    <mergeCell ref="R1071:S1071"/>
  </mergeCells>
  <conditionalFormatting sqref="D9:I19 O15 P15:P19">
    <cfRule type="cellIs" dxfId="2" priority="1" operator="lessThanOrEqual">
      <formula>0</formula>
    </cfRule>
  </conditionalFormatting>
  <hyperlinks>
    <hyperlink r:id="rId1" ref="N3"/>
    <hyperlink r:id="rId2" ref="G23"/>
    <hyperlink r:id="rId3" ref="G24"/>
    <hyperlink r:id="rId4" ref="G25"/>
    <hyperlink r:id="rId5" ref="G26"/>
    <hyperlink r:id="rId6" ref="G27"/>
    <hyperlink r:id="rId7" ref="G28"/>
    <hyperlink r:id="rId8" ref="G29"/>
    <hyperlink r:id="rId9" ref="G30"/>
    <hyperlink r:id="rId10" ref="G31"/>
    <hyperlink r:id="rId11" ref="G32"/>
    <hyperlink r:id="rId12" ref="G33"/>
    <hyperlink r:id="rId13" ref="G34"/>
    <hyperlink r:id="rId14" ref="G35"/>
    <hyperlink r:id="rId15" ref="G36"/>
    <hyperlink r:id="rId16" ref="G37"/>
    <hyperlink r:id="rId17" ref="G38"/>
    <hyperlink r:id="rId18" ref="G39"/>
    <hyperlink r:id="rId19" ref="G40"/>
    <hyperlink r:id="rId20" ref="G41"/>
    <hyperlink r:id="rId21" ref="G42"/>
    <hyperlink r:id="rId22" ref="G43"/>
    <hyperlink r:id="rId23" ref="G44"/>
    <hyperlink r:id="rId24" ref="G45"/>
    <hyperlink r:id="rId25" ref="G46"/>
    <hyperlink r:id="rId26" ref="G47"/>
    <hyperlink r:id="rId27" ref="G48"/>
    <hyperlink r:id="rId28" ref="G49"/>
    <hyperlink r:id="rId29" ref="G50"/>
    <hyperlink r:id="rId30" ref="G51"/>
    <hyperlink r:id="rId31" ref="G52"/>
    <hyperlink r:id="rId32" ref="G53"/>
    <hyperlink r:id="rId33" ref="G54"/>
    <hyperlink r:id="rId34" ref="G55"/>
    <hyperlink r:id="rId35" ref="G56"/>
    <hyperlink r:id="rId36" ref="G57"/>
    <hyperlink r:id="rId37" ref="G58"/>
    <hyperlink r:id="rId38" ref="G59"/>
    <hyperlink r:id="rId39" ref="G60"/>
    <hyperlink r:id="rId40" ref="G61"/>
    <hyperlink r:id="rId41" ref="G62"/>
    <hyperlink r:id="rId42" ref="G63"/>
    <hyperlink r:id="rId43" ref="G64"/>
    <hyperlink r:id="rId44" ref="G65"/>
    <hyperlink r:id="rId45" ref="G66"/>
    <hyperlink r:id="rId46" ref="G67"/>
    <hyperlink r:id="rId47" ref="G68"/>
    <hyperlink r:id="rId48" ref="G69"/>
    <hyperlink r:id="rId49" ref="G70"/>
    <hyperlink r:id="rId50" ref="G71"/>
    <hyperlink r:id="rId51" ref="G72"/>
    <hyperlink r:id="rId52" ref="G73"/>
    <hyperlink r:id="rId53" ref="G74"/>
    <hyperlink r:id="rId54" ref="G75"/>
    <hyperlink r:id="rId55" ref="G76"/>
    <hyperlink r:id="rId56" ref="G77"/>
    <hyperlink r:id="rId57" ref="G78"/>
    <hyperlink r:id="rId58" ref="G79"/>
    <hyperlink r:id="rId59" ref="G80"/>
    <hyperlink r:id="rId60" ref="G81"/>
    <hyperlink r:id="rId61" ref="G82"/>
    <hyperlink r:id="rId62" ref="G83"/>
    <hyperlink r:id="rId63" ref="G84"/>
    <hyperlink r:id="rId64" ref="G85"/>
    <hyperlink r:id="rId65" ref="G86"/>
    <hyperlink r:id="rId66" ref="G87"/>
    <hyperlink r:id="rId67" ref="G88"/>
    <hyperlink r:id="rId68" ref="G89"/>
    <hyperlink r:id="rId69" ref="G90"/>
    <hyperlink r:id="rId70" ref="G91"/>
    <hyperlink r:id="rId71" ref="G92"/>
    <hyperlink r:id="rId72" ref="G93"/>
    <hyperlink r:id="rId73" ref="G94"/>
    <hyperlink r:id="rId74" ref="G95"/>
    <hyperlink r:id="rId75" ref="G96"/>
    <hyperlink r:id="rId76" ref="G97"/>
    <hyperlink r:id="rId77" ref="G98"/>
    <hyperlink r:id="rId78" ref="G99"/>
    <hyperlink r:id="rId79" ref="G100"/>
    <hyperlink r:id="rId80" ref="G101"/>
    <hyperlink r:id="rId81" ref="G102"/>
    <hyperlink r:id="rId82" ref="G103"/>
    <hyperlink r:id="rId83" ref="G104"/>
    <hyperlink r:id="rId84" ref="G105"/>
    <hyperlink r:id="rId85" ref="G106"/>
    <hyperlink r:id="rId86" ref="G107"/>
    <hyperlink r:id="rId87" ref="G108"/>
    <hyperlink r:id="rId88" ref="G109"/>
    <hyperlink r:id="rId89" ref="G110"/>
    <hyperlink r:id="rId90" ref="G111"/>
    <hyperlink r:id="rId91" ref="G112"/>
    <hyperlink r:id="rId92" ref="G113"/>
    <hyperlink r:id="rId93" ref="G114"/>
    <hyperlink r:id="rId94" ref="G115"/>
    <hyperlink r:id="rId95" ref="G116"/>
    <hyperlink r:id="rId96" ref="G117"/>
    <hyperlink r:id="rId97" ref="G118"/>
    <hyperlink r:id="rId98" ref="G119"/>
    <hyperlink r:id="rId99" ref="G120"/>
    <hyperlink r:id="rId100" ref="G121"/>
    <hyperlink r:id="rId101" ref="G122"/>
    <hyperlink r:id="rId102" ref="G123"/>
    <hyperlink r:id="rId103" ref="G124"/>
    <hyperlink r:id="rId104" ref="G125"/>
    <hyperlink r:id="rId105" ref="G126"/>
    <hyperlink r:id="rId106" ref="G127"/>
    <hyperlink r:id="rId107" ref="G128"/>
    <hyperlink r:id="rId108" ref="G129"/>
    <hyperlink r:id="rId109" ref="G130"/>
    <hyperlink r:id="rId110" ref="G131"/>
    <hyperlink r:id="rId111" ref="G132"/>
    <hyperlink r:id="rId112" ref="G133"/>
    <hyperlink r:id="rId113" ref="G134"/>
    <hyperlink r:id="rId114" ref="G135"/>
    <hyperlink r:id="rId115" ref="G136"/>
    <hyperlink r:id="rId116" ref="G137"/>
    <hyperlink r:id="rId117" ref="G138"/>
    <hyperlink r:id="rId118" ref="G139"/>
    <hyperlink r:id="rId119" ref="G140"/>
    <hyperlink r:id="rId120" ref="G141"/>
    <hyperlink r:id="rId121" ref="G142"/>
    <hyperlink r:id="rId122" ref="G143"/>
    <hyperlink r:id="rId123" ref="G144"/>
    <hyperlink r:id="rId124" ref="G145"/>
    <hyperlink r:id="rId125" ref="G146"/>
    <hyperlink r:id="rId126" ref="G147"/>
    <hyperlink r:id="rId127" ref="G148"/>
    <hyperlink r:id="rId128" ref="G149"/>
    <hyperlink r:id="rId129" ref="G150"/>
    <hyperlink r:id="rId130" ref="G151"/>
    <hyperlink r:id="rId131" ref="G152"/>
    <hyperlink r:id="rId132" ref="G153"/>
    <hyperlink r:id="rId133" ref="G154"/>
    <hyperlink r:id="rId134" ref="G155"/>
    <hyperlink r:id="rId135" ref="G156"/>
    <hyperlink r:id="rId136" ref="G157"/>
    <hyperlink r:id="rId137" ref="G158"/>
    <hyperlink r:id="rId138" ref="G159"/>
    <hyperlink r:id="rId139" ref="G160"/>
    <hyperlink r:id="rId140" ref="G161"/>
    <hyperlink r:id="rId141" ref="G162"/>
    <hyperlink r:id="rId142" ref="G163"/>
    <hyperlink r:id="rId143" ref="G164"/>
    <hyperlink r:id="rId144" ref="G165"/>
    <hyperlink r:id="rId145" ref="G166"/>
    <hyperlink r:id="rId146" ref="G167"/>
    <hyperlink r:id="rId147" ref="G168"/>
    <hyperlink r:id="rId148" ref="G169"/>
    <hyperlink r:id="rId149" ref="G170"/>
    <hyperlink r:id="rId150" ref="G171"/>
    <hyperlink r:id="rId151" ref="G172"/>
    <hyperlink r:id="rId152" ref="G173"/>
    <hyperlink r:id="rId153" ref="G174"/>
    <hyperlink r:id="rId154" ref="G175"/>
    <hyperlink r:id="rId155" ref="G176"/>
    <hyperlink r:id="rId156" ref="G177"/>
    <hyperlink r:id="rId157" ref="G178"/>
    <hyperlink r:id="rId158" ref="G179"/>
    <hyperlink r:id="rId159" ref="G180"/>
    <hyperlink r:id="rId160" ref="G181"/>
    <hyperlink r:id="rId161" ref="G182"/>
    <hyperlink r:id="rId162" ref="G183"/>
    <hyperlink r:id="rId163" ref="G184"/>
    <hyperlink r:id="rId164" ref="G185"/>
    <hyperlink r:id="rId165" ref="G186"/>
    <hyperlink r:id="rId166" ref="G187"/>
    <hyperlink r:id="rId167" ref="G188"/>
    <hyperlink r:id="rId168" ref="G189"/>
    <hyperlink r:id="rId169" ref="G190"/>
    <hyperlink r:id="rId170" ref="G191"/>
    <hyperlink r:id="rId171" ref="G192"/>
    <hyperlink r:id="rId172" ref="G193"/>
    <hyperlink r:id="rId173" ref="G194"/>
    <hyperlink r:id="rId174" ref="G195"/>
    <hyperlink r:id="rId175" ref="G196"/>
    <hyperlink r:id="rId176" ref="G197"/>
    <hyperlink r:id="rId177" ref="G198"/>
    <hyperlink r:id="rId178" ref="G199"/>
    <hyperlink r:id="rId179" ref="G200"/>
    <hyperlink r:id="rId180" ref="G201"/>
    <hyperlink r:id="rId181" ref="G202"/>
    <hyperlink r:id="rId182" ref="G203"/>
    <hyperlink r:id="rId183" ref="G204"/>
    <hyperlink r:id="rId184" ref="G205"/>
    <hyperlink r:id="rId185" ref="G206"/>
    <hyperlink r:id="rId186" ref="G207"/>
    <hyperlink r:id="rId187" ref="G208"/>
    <hyperlink r:id="rId188" ref="G209"/>
    <hyperlink r:id="rId189" ref="G210"/>
    <hyperlink r:id="rId190" ref="G211"/>
    <hyperlink r:id="rId191" ref="G212"/>
    <hyperlink r:id="rId192" ref="G213"/>
    <hyperlink r:id="rId193" ref="G214"/>
    <hyperlink r:id="rId194" ref="G215"/>
    <hyperlink r:id="rId195" ref="G216"/>
    <hyperlink r:id="rId196" ref="G217"/>
    <hyperlink r:id="rId197" ref="G218"/>
    <hyperlink r:id="rId198" ref="G219"/>
    <hyperlink r:id="rId199" ref="G220"/>
    <hyperlink r:id="rId200" ref="G221"/>
    <hyperlink r:id="rId201" ref="G222"/>
    <hyperlink r:id="rId202" location="google_vignette" ref="G223"/>
    <hyperlink r:id="rId203" ref="G224"/>
    <hyperlink r:id="rId204" ref="G225"/>
    <hyperlink r:id="rId205" ref="G226"/>
    <hyperlink r:id="rId206" ref="G227"/>
    <hyperlink r:id="rId207" ref="G228"/>
    <hyperlink r:id="rId208" ref="G229"/>
    <hyperlink r:id="rId209" ref="G230"/>
    <hyperlink r:id="rId210" ref="G231"/>
    <hyperlink r:id="rId211" ref="G232"/>
    <hyperlink r:id="rId212" ref="G233"/>
    <hyperlink r:id="rId213" ref="G234"/>
    <hyperlink r:id="rId214" ref="G235"/>
    <hyperlink r:id="rId215" ref="G236"/>
    <hyperlink r:id="rId216" ref="G237"/>
    <hyperlink r:id="rId217" ref="G238"/>
    <hyperlink r:id="rId218" ref="G239"/>
    <hyperlink r:id="rId219" ref="G240"/>
    <hyperlink r:id="rId220" ref="G241"/>
    <hyperlink r:id="rId221" ref="G242"/>
    <hyperlink r:id="rId222" ref="G243"/>
    <hyperlink r:id="rId223" ref="G244"/>
    <hyperlink r:id="rId224" ref="G245"/>
    <hyperlink r:id="rId225" ref="G246"/>
    <hyperlink r:id="rId226" ref="G247"/>
    <hyperlink r:id="rId227" ref="G248"/>
    <hyperlink r:id="rId228" ref="G249"/>
    <hyperlink r:id="rId229" ref="G250"/>
    <hyperlink r:id="rId230" ref="G251"/>
    <hyperlink r:id="rId231" ref="G252"/>
    <hyperlink r:id="rId232" ref="G253"/>
    <hyperlink r:id="rId233" ref="G254"/>
    <hyperlink r:id="rId234" ref="G255"/>
    <hyperlink r:id="rId235" ref="G256"/>
    <hyperlink r:id="rId236" ref="G257"/>
    <hyperlink r:id="rId237" ref="G258"/>
    <hyperlink r:id="rId238" ref="G259"/>
    <hyperlink r:id="rId239" ref="G260"/>
    <hyperlink r:id="rId240" ref="G261"/>
    <hyperlink r:id="rId241" ref="G262"/>
    <hyperlink r:id="rId242" ref="G263"/>
    <hyperlink r:id="rId243" ref="G264"/>
    <hyperlink r:id="rId244" ref="G265"/>
    <hyperlink r:id="rId245" ref="G266"/>
    <hyperlink r:id="rId246" ref="G267"/>
    <hyperlink r:id="rId247" ref="G268"/>
    <hyperlink r:id="rId248" ref="G269"/>
    <hyperlink r:id="rId249" ref="G270"/>
    <hyperlink r:id="rId250" ref="G271"/>
    <hyperlink r:id="rId251" ref="G272"/>
    <hyperlink r:id="rId252" ref="G273"/>
    <hyperlink r:id="rId253" ref="G274"/>
    <hyperlink r:id="rId254" ref="G275"/>
    <hyperlink r:id="rId255" ref="G276"/>
    <hyperlink r:id="rId256" ref="G277"/>
    <hyperlink r:id="rId257" ref="G278"/>
    <hyperlink r:id="rId258" ref="G279"/>
    <hyperlink r:id="rId259" ref="G280"/>
    <hyperlink r:id="rId260" ref="G281"/>
    <hyperlink r:id="rId261" ref="G282"/>
    <hyperlink r:id="rId262" ref="G283"/>
    <hyperlink r:id="rId263" ref="G284"/>
    <hyperlink r:id="rId264" ref="G285"/>
    <hyperlink r:id="rId265" ref="G286"/>
    <hyperlink r:id="rId266" ref="G287"/>
    <hyperlink r:id="rId267" ref="G288"/>
    <hyperlink r:id="rId268" ref="G289"/>
    <hyperlink r:id="rId269" ref="G290"/>
    <hyperlink r:id="rId270" ref="G291"/>
    <hyperlink r:id="rId271" ref="G292"/>
    <hyperlink r:id="rId272" ref="G293"/>
    <hyperlink r:id="rId273" ref="G294"/>
    <hyperlink r:id="rId274" ref="G295"/>
    <hyperlink r:id="rId275" ref="G296"/>
    <hyperlink r:id="rId276" ref="G297"/>
    <hyperlink r:id="rId277" ref="G298"/>
    <hyperlink r:id="rId278" ref="G299"/>
    <hyperlink r:id="rId279" ref="G300"/>
    <hyperlink r:id="rId280" ref="G301"/>
    <hyperlink r:id="rId281" ref="G302"/>
    <hyperlink r:id="rId282" ref="G303"/>
    <hyperlink r:id="rId283" ref="G304"/>
    <hyperlink r:id="rId284" ref="G305"/>
    <hyperlink r:id="rId285" ref="G306"/>
    <hyperlink r:id="rId286" ref="G307"/>
    <hyperlink r:id="rId287" ref="G308"/>
    <hyperlink r:id="rId288" ref="G309"/>
    <hyperlink r:id="rId289" ref="G310"/>
    <hyperlink r:id="rId290" ref="G311"/>
    <hyperlink r:id="rId291" ref="G312"/>
    <hyperlink r:id="rId292" ref="G313"/>
    <hyperlink r:id="rId293" ref="G314"/>
    <hyperlink r:id="rId294" ref="G315"/>
    <hyperlink r:id="rId295" ref="G316"/>
    <hyperlink r:id="rId296" ref="G317"/>
    <hyperlink r:id="rId297" ref="G318"/>
    <hyperlink r:id="rId298" ref="G319"/>
    <hyperlink r:id="rId299" ref="G320"/>
    <hyperlink r:id="rId300" ref="G321"/>
    <hyperlink r:id="rId301" ref="G322"/>
    <hyperlink r:id="rId302" ref="G323"/>
    <hyperlink r:id="rId303" ref="G324"/>
    <hyperlink r:id="rId304" ref="G325"/>
    <hyperlink r:id="rId305" ref="G326"/>
    <hyperlink r:id="rId306" ref="G327"/>
    <hyperlink r:id="rId307" ref="G328"/>
    <hyperlink r:id="rId308" ref="G329"/>
    <hyperlink r:id="rId309" ref="G330"/>
    <hyperlink r:id="rId310" ref="G331"/>
    <hyperlink r:id="rId311" ref="G332"/>
    <hyperlink r:id="rId312" ref="G333"/>
    <hyperlink r:id="rId313" ref="G334"/>
    <hyperlink r:id="rId314" ref="G335"/>
    <hyperlink r:id="rId315" ref="G336"/>
    <hyperlink r:id="rId316" location="google_vignette" ref="G337"/>
    <hyperlink r:id="rId317" ref="G338"/>
    <hyperlink r:id="rId318" ref="G339"/>
    <hyperlink r:id="rId319" ref="G340"/>
    <hyperlink r:id="rId320" ref="G341"/>
    <hyperlink r:id="rId321" ref="G342"/>
    <hyperlink r:id="rId322" ref="G343"/>
    <hyperlink r:id="rId323" ref="G344"/>
    <hyperlink r:id="rId324" ref="G345"/>
    <hyperlink r:id="rId325" ref="G346"/>
    <hyperlink r:id="rId326" ref="G347"/>
    <hyperlink r:id="rId327" ref="G348"/>
    <hyperlink r:id="rId328" ref="G349"/>
    <hyperlink r:id="rId329" ref="G350"/>
    <hyperlink r:id="rId330" ref="G351"/>
    <hyperlink r:id="rId331" ref="G352"/>
    <hyperlink r:id="rId332" ref="G353"/>
    <hyperlink r:id="rId333" ref="G354"/>
    <hyperlink r:id="rId334" ref="G355"/>
    <hyperlink r:id="rId335" ref="G356"/>
    <hyperlink r:id="rId336" ref="G357"/>
    <hyperlink r:id="rId337" ref="G358"/>
    <hyperlink r:id="rId338" ref="G359"/>
    <hyperlink r:id="rId339" ref="G360"/>
    <hyperlink r:id="rId340" ref="G361"/>
    <hyperlink r:id="rId341" ref="G362"/>
    <hyperlink r:id="rId342" ref="G363"/>
    <hyperlink r:id="rId343" ref="G364"/>
    <hyperlink r:id="rId344" ref="G365"/>
    <hyperlink r:id="rId345" ref="G366"/>
    <hyperlink r:id="rId346" ref="G367"/>
    <hyperlink r:id="rId347" ref="G368"/>
    <hyperlink r:id="rId348" ref="G369"/>
    <hyperlink r:id="rId349" ref="G370"/>
    <hyperlink r:id="rId350" ref="G371"/>
    <hyperlink r:id="rId351" ref="G372"/>
    <hyperlink r:id="rId352" ref="G373"/>
    <hyperlink r:id="rId353" ref="G374"/>
    <hyperlink r:id="rId354" ref="G375"/>
    <hyperlink r:id="rId355" ref="G376"/>
    <hyperlink r:id="rId356" ref="G377"/>
    <hyperlink r:id="rId357" ref="G378"/>
    <hyperlink r:id="rId358" ref="G379"/>
    <hyperlink r:id="rId359" ref="G380"/>
    <hyperlink r:id="rId360" ref="G381"/>
    <hyperlink r:id="rId361" ref="G382"/>
    <hyperlink r:id="rId362" ref="G383"/>
    <hyperlink r:id="rId363" ref="G384"/>
    <hyperlink r:id="rId364" ref="G385"/>
    <hyperlink r:id="rId365" ref="G386"/>
    <hyperlink r:id="rId366" ref="G387"/>
    <hyperlink r:id="rId367" ref="G388"/>
    <hyperlink r:id="rId368" ref="G389"/>
  </hyperlinks>
  <drawing r:id="rId36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63"/>
    <col customWidth="1" min="2" max="2" width="12.75"/>
    <col customWidth="1" min="3" max="3" width="13.5"/>
    <col customWidth="1" min="4" max="4" width="9.25"/>
    <col customWidth="1" min="5" max="5" width="0.75"/>
    <col customWidth="1" min="6" max="6" width="17.63"/>
    <col customWidth="1" min="7" max="7" width="22.63"/>
    <col customWidth="1" min="8" max="8" width="5.0"/>
    <col customWidth="1" min="9" max="9" width="1.13"/>
    <col customWidth="1" min="11" max="11" width="12.63"/>
    <col customWidth="1" min="12" max="12" width="9.5"/>
    <col customWidth="1" min="13" max="13" width="0.75"/>
    <col customWidth="1" min="15" max="15" width="13.88"/>
    <col customWidth="1" min="16" max="16" width="8.63"/>
    <col customWidth="1" min="17" max="17" width="0.75"/>
  </cols>
  <sheetData>
    <row r="1" ht="5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33"/>
      <c r="T1" s="133"/>
      <c r="U1" s="133"/>
      <c r="V1" s="1"/>
      <c r="W1" s="1"/>
      <c r="X1" s="1"/>
      <c r="Y1" s="1"/>
      <c r="Z1" s="1"/>
      <c r="AA1" s="1"/>
      <c r="AB1" s="1"/>
    </row>
    <row r="2" ht="4.5" customHeight="1">
      <c r="A2" s="1"/>
      <c r="B2" s="2"/>
      <c r="C2" s="2"/>
      <c r="D2" s="2"/>
      <c r="E2" s="2"/>
      <c r="F2" s="3"/>
      <c r="G2" s="3"/>
      <c r="H2" s="3"/>
      <c r="I2" s="2"/>
      <c r="J2" s="3"/>
      <c r="K2" s="3"/>
      <c r="L2" s="3"/>
      <c r="M2" s="2"/>
      <c r="N2" s="3"/>
      <c r="O2" s="3"/>
      <c r="P2" s="4"/>
      <c r="Q2" s="5"/>
      <c r="R2" s="1"/>
      <c r="S2" s="133"/>
      <c r="T2" s="133"/>
      <c r="U2" s="133"/>
      <c r="V2" s="1"/>
      <c r="W2" s="1"/>
      <c r="X2" s="1"/>
      <c r="Y2" s="1"/>
      <c r="Z2" s="1"/>
      <c r="AA2" s="1"/>
      <c r="AB2" s="1"/>
    </row>
    <row r="3">
      <c r="A3" s="1"/>
      <c r="B3" s="6" t="s">
        <v>746</v>
      </c>
      <c r="C3" s="7"/>
      <c r="D3" s="7"/>
      <c r="E3" s="8"/>
      <c r="F3" s="137" t="s">
        <v>1</v>
      </c>
      <c r="G3" s="10">
        <f>sum(K22:K121)</f>
        <v>6456.82</v>
      </c>
      <c r="H3" s="11"/>
      <c r="I3" s="12"/>
      <c r="J3" s="9" t="s">
        <v>2</v>
      </c>
      <c r="K3" s="13">
        <f>COUNT(K22:K121)</f>
        <v>32</v>
      </c>
      <c r="L3" s="11"/>
      <c r="M3" s="12"/>
      <c r="N3" s="138" t="s">
        <v>3</v>
      </c>
      <c r="O3" s="139"/>
      <c r="P3" s="140"/>
      <c r="Q3" s="5"/>
      <c r="R3" s="1"/>
      <c r="S3" s="133"/>
      <c r="T3" s="133"/>
      <c r="U3" s="133"/>
      <c r="V3" s="1"/>
      <c r="W3" s="1"/>
      <c r="X3" s="1"/>
      <c r="Y3" s="1"/>
      <c r="Z3" s="1"/>
      <c r="AA3" s="1"/>
      <c r="AB3" s="1"/>
    </row>
    <row r="4">
      <c r="A4" s="1"/>
      <c r="B4" s="17"/>
      <c r="E4" s="18"/>
      <c r="F4" s="19"/>
      <c r="H4" s="20"/>
      <c r="I4" s="12"/>
      <c r="J4" s="19"/>
      <c r="L4" s="20"/>
      <c r="M4" s="12"/>
      <c r="N4" s="141"/>
      <c r="P4" s="142"/>
      <c r="Q4" s="5"/>
      <c r="R4" s="1"/>
      <c r="S4" s="133"/>
      <c r="T4" s="133"/>
      <c r="U4" s="133"/>
      <c r="V4" s="1"/>
      <c r="W4" s="1"/>
      <c r="X4" s="1"/>
      <c r="Y4" s="1"/>
      <c r="Z4" s="1"/>
      <c r="AA4" s="1"/>
      <c r="AB4" s="1"/>
    </row>
    <row r="5">
      <c r="A5" s="1"/>
      <c r="B5" s="21"/>
      <c r="C5" s="22"/>
      <c r="D5" s="22"/>
      <c r="E5" s="23"/>
      <c r="F5" s="24"/>
      <c r="G5" s="25"/>
      <c r="H5" s="26"/>
      <c r="I5" s="12"/>
      <c r="J5" s="24"/>
      <c r="K5" s="25"/>
      <c r="L5" s="26"/>
      <c r="M5" s="12"/>
      <c r="N5" s="143"/>
      <c r="O5" s="144"/>
      <c r="P5" s="145"/>
      <c r="Q5" s="5"/>
      <c r="R5" s="1"/>
      <c r="S5" s="133"/>
      <c r="T5" s="133"/>
      <c r="U5" s="133"/>
      <c r="V5" s="1"/>
      <c r="W5" s="1"/>
      <c r="X5" s="1"/>
      <c r="Y5" s="1"/>
      <c r="Z5" s="1"/>
      <c r="AA5" s="1"/>
      <c r="AB5" s="1"/>
    </row>
    <row r="6" ht="3.75" customHeight="1">
      <c r="A6" s="1"/>
      <c r="B6" s="2"/>
      <c r="C6" s="2"/>
      <c r="D6" s="2"/>
      <c r="E6" s="2"/>
      <c r="F6" s="27"/>
      <c r="G6" s="27"/>
      <c r="H6" s="27"/>
      <c r="I6" s="2"/>
      <c r="J6" s="27"/>
      <c r="K6" s="27"/>
      <c r="L6" s="27"/>
      <c r="M6" s="2"/>
      <c r="N6" s="27"/>
      <c r="O6" s="27"/>
      <c r="P6" s="28"/>
      <c r="Q6" s="5"/>
      <c r="R6" s="1"/>
      <c r="S6" s="133"/>
      <c r="T6" s="133"/>
      <c r="U6" s="133"/>
      <c r="V6" s="1"/>
      <c r="W6" s="1"/>
      <c r="X6" s="1"/>
      <c r="Y6" s="1"/>
      <c r="Z6" s="1"/>
      <c r="AA6" s="1"/>
      <c r="AB6" s="1"/>
    </row>
    <row r="7" ht="3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33"/>
      <c r="T7" s="133"/>
      <c r="U7" s="133"/>
      <c r="V7" s="1"/>
      <c r="W7" s="1"/>
      <c r="X7" s="1"/>
      <c r="Y7" s="1"/>
      <c r="Z7" s="1"/>
      <c r="AA7" s="1"/>
      <c r="AB7" s="1"/>
    </row>
    <row r="8">
      <c r="A8" s="29"/>
      <c r="B8" s="30" t="s">
        <v>4</v>
      </c>
      <c r="C8" s="31" t="s">
        <v>1</v>
      </c>
      <c r="D8" s="32" t="s">
        <v>2</v>
      </c>
      <c r="E8" s="1"/>
      <c r="F8" s="30" t="s">
        <v>747</v>
      </c>
      <c r="G8" s="31" t="s">
        <v>1</v>
      </c>
      <c r="H8" s="32" t="s">
        <v>2</v>
      </c>
      <c r="I8" s="29"/>
      <c r="J8" s="30" t="s">
        <v>6</v>
      </c>
      <c r="K8" s="31" t="s">
        <v>1</v>
      </c>
      <c r="L8" s="32" t="s">
        <v>2</v>
      </c>
      <c r="M8" s="29"/>
      <c r="N8" s="33" t="s">
        <v>7</v>
      </c>
      <c r="O8" s="34" t="s">
        <v>1</v>
      </c>
      <c r="P8" s="35" t="s">
        <v>2</v>
      </c>
      <c r="Q8" s="29"/>
      <c r="R8" s="29"/>
      <c r="S8" s="146"/>
      <c r="T8" s="146"/>
      <c r="U8" s="146"/>
      <c r="V8" s="29"/>
      <c r="W8" s="29"/>
      <c r="X8" s="29"/>
      <c r="Y8" s="29"/>
      <c r="Z8" s="29"/>
      <c r="AA8" s="29"/>
      <c r="AB8" s="29"/>
    </row>
    <row r="9">
      <c r="A9" s="1"/>
      <c r="B9" s="36" t="s">
        <v>8</v>
      </c>
      <c r="C9" s="37">
        <f>SUMIFS(K22:K121,N22:N121,B9)</f>
        <v>3226.9</v>
      </c>
      <c r="D9" s="38">
        <f t="shared" ref="D9:D10" si="1">COUNTIFS($N$22:$N$121,B9)</f>
        <v>16</v>
      </c>
      <c r="E9" s="1"/>
      <c r="F9" s="36" t="s">
        <v>748</v>
      </c>
      <c r="G9" s="37">
        <f t="shared" ref="G9:G10" si="2">SUMIFS($K$22:$K$121,$O$22:$O$121,F9)</f>
        <v>3132.89</v>
      </c>
      <c r="H9" s="38">
        <f t="shared" ref="H9:H10" si="3">COUNTIFS($O$22:$O$121,F9)</f>
        <v>20</v>
      </c>
      <c r="I9" s="1"/>
      <c r="J9" s="36" t="str">
        <f t="array" ref="J9:L19">SORT(S9:U19,2,FALSE)</f>
        <v>LOTR</v>
      </c>
      <c r="K9" s="37">
        <v>1644.98</v>
      </c>
      <c r="L9" s="38">
        <v>3.0</v>
      </c>
      <c r="M9" s="1"/>
      <c r="N9" s="39" t="str">
        <f t="array" ref="N9:N10">SORT(UNIQUE(YEAR(L22:L1164)),1,FALSE)</f>
        <v>#VALUE!</v>
      </c>
      <c r="O9" s="147" t="str">
        <f t="shared" ref="O9:O19" si="4">IF(SUMIFS($K$22:$K$1164,$P$22:$P$1164,N9)=0,"",SUMIFS($K$22:$K$1164,$P$22:$P$1164,N9))</f>
        <v/>
      </c>
      <c r="P9" s="148" t="str">
        <f t="shared" ref="P9:P19" si="5">IF(N9=1899,"", IF(COUNTIFS($P$22:$P$1164,N9)=0,"",COUNTIFS($P$22:$P$1164,N9)))</f>
        <v>#VALUE!</v>
      </c>
      <c r="Q9" s="1"/>
      <c r="R9" s="1"/>
      <c r="S9" s="133" t="str">
        <f t="array" ref="S9:S17">SORT(UNIQUE(B22:B1164))</f>
        <v>Editions</v>
      </c>
      <c r="T9" s="149">
        <f t="shared" ref="T9:T19" si="6">IF(SUMIFS($K$22:$K$1164,$B$22:$B$1164,S9)=0,0,SUMIFS($K$22:$K$1164,$B$22:$B$1164,S9))</f>
        <v>551.94</v>
      </c>
      <c r="U9" s="150">
        <f t="shared" ref="U9:U19" si="7">IF(COUNTIFS($B$22:$B$1164,S9)=0,0,COUNTIFS($B$22:$B$1164,S9))</f>
        <v>6</v>
      </c>
      <c r="V9" s="132"/>
      <c r="W9" s="132"/>
      <c r="X9" s="132"/>
      <c r="Y9" s="1"/>
      <c r="Z9" s="1"/>
      <c r="AA9" s="1"/>
      <c r="AB9" s="1"/>
    </row>
    <row r="10">
      <c r="A10" s="1"/>
      <c r="B10" s="36" t="s">
        <v>9</v>
      </c>
      <c r="C10" s="37">
        <f>SUMIFS(K22:K121,N22:N121,B10)</f>
        <v>3229.92</v>
      </c>
      <c r="D10" s="38">
        <f t="shared" si="1"/>
        <v>16</v>
      </c>
      <c r="E10" s="1"/>
      <c r="F10" s="36" t="s">
        <v>749</v>
      </c>
      <c r="G10" s="37">
        <f t="shared" si="2"/>
        <v>3323.93</v>
      </c>
      <c r="H10" s="38">
        <f t="shared" si="3"/>
        <v>12</v>
      </c>
      <c r="I10" s="1"/>
      <c r="J10" s="36" t="s">
        <v>31</v>
      </c>
      <c r="K10" s="37">
        <v>1498.98</v>
      </c>
      <c r="L10" s="38">
        <v>7.0</v>
      </c>
      <c r="M10" s="1"/>
      <c r="N10" s="36">
        <v>1899.0</v>
      </c>
      <c r="O10" s="37">
        <f t="shared" si="4"/>
        <v>1932.92</v>
      </c>
      <c r="P10" s="38" t="str">
        <f t="shared" si="5"/>
        <v/>
      </c>
      <c r="Q10" s="1"/>
      <c r="R10" s="1"/>
      <c r="S10" s="133" t="s">
        <v>16</v>
      </c>
      <c r="T10" s="149">
        <f t="shared" si="6"/>
        <v>605</v>
      </c>
      <c r="U10" s="150">
        <f t="shared" si="7"/>
        <v>8</v>
      </c>
      <c r="V10" s="132"/>
      <c r="W10" s="132"/>
      <c r="X10" s="132"/>
      <c r="Y10" s="1"/>
      <c r="Z10" s="1"/>
      <c r="AA10" s="1"/>
      <c r="AB10" s="1"/>
    </row>
    <row r="11">
      <c r="A11" s="1"/>
      <c r="B11" s="40" t="s">
        <v>11</v>
      </c>
      <c r="C11" s="41">
        <f t="shared" ref="C11:D11" si="8">C9+C10</f>
        <v>6456.82</v>
      </c>
      <c r="D11" s="42">
        <f t="shared" si="8"/>
        <v>32</v>
      </c>
      <c r="E11" s="1"/>
      <c r="F11" s="40" t="s">
        <v>11</v>
      </c>
      <c r="G11" s="41">
        <f t="shared" ref="G11:H11" si="9">G9+G10</f>
        <v>6456.82</v>
      </c>
      <c r="H11" s="42">
        <f t="shared" si="9"/>
        <v>32</v>
      </c>
      <c r="I11" s="1"/>
      <c r="J11" s="36" t="s">
        <v>14</v>
      </c>
      <c r="K11" s="37">
        <v>709.98</v>
      </c>
      <c r="L11" s="38">
        <v>2.0</v>
      </c>
      <c r="M11" s="1"/>
      <c r="N11" s="36"/>
      <c r="O11" s="37" t="str">
        <f t="shared" si="4"/>
        <v/>
      </c>
      <c r="P11" s="38" t="str">
        <f t="shared" si="5"/>
        <v/>
      </c>
      <c r="Q11" s="1"/>
      <c r="R11" s="1"/>
      <c r="S11" s="133" t="s">
        <v>14</v>
      </c>
      <c r="T11" s="149">
        <f t="shared" si="6"/>
        <v>709.98</v>
      </c>
      <c r="U11" s="150">
        <f t="shared" si="7"/>
        <v>2</v>
      </c>
      <c r="V11" s="132"/>
      <c r="W11" s="132"/>
      <c r="X11" s="132"/>
      <c r="Y11" s="1"/>
      <c r="Z11" s="1"/>
      <c r="AA11" s="1"/>
      <c r="AB11" s="1"/>
    </row>
    <row r="12">
      <c r="A12" s="1"/>
      <c r="B12" s="43">
        <f>C9/C11</f>
        <v>0.4997661387</v>
      </c>
      <c r="C12" s="44"/>
      <c r="D12" s="45"/>
      <c r="E12" s="1"/>
      <c r="F12" s="43">
        <f>G9/G11</f>
        <v>0.48520634</v>
      </c>
      <c r="G12" s="44"/>
      <c r="H12" s="45"/>
      <c r="I12" s="1"/>
      <c r="J12" s="36" t="s">
        <v>15</v>
      </c>
      <c r="K12" s="37">
        <v>639.97</v>
      </c>
      <c r="L12" s="38">
        <v>3.0</v>
      </c>
      <c r="M12" s="1"/>
      <c r="N12" s="36"/>
      <c r="O12" s="37" t="str">
        <f t="shared" si="4"/>
        <v/>
      </c>
      <c r="P12" s="38" t="str">
        <f t="shared" si="5"/>
        <v/>
      </c>
      <c r="Q12" s="1"/>
      <c r="R12" s="1"/>
      <c r="S12" s="133" t="s">
        <v>12</v>
      </c>
      <c r="T12" s="149">
        <f t="shared" si="6"/>
        <v>355.98</v>
      </c>
      <c r="U12" s="150">
        <f t="shared" si="7"/>
        <v>3</v>
      </c>
      <c r="V12" s="132"/>
      <c r="W12" s="132"/>
      <c r="X12" s="132"/>
      <c r="Y12" s="1"/>
      <c r="Z12" s="1"/>
      <c r="AA12" s="1"/>
      <c r="AB12" s="1"/>
    </row>
    <row r="13">
      <c r="A13" s="1"/>
      <c r="B13" s="46"/>
      <c r="D13" s="47"/>
      <c r="E13" s="1"/>
      <c r="F13" s="46"/>
      <c r="H13" s="47"/>
      <c r="I13" s="1"/>
      <c r="J13" s="36" t="s">
        <v>16</v>
      </c>
      <c r="K13" s="37">
        <v>605.0</v>
      </c>
      <c r="L13" s="38">
        <v>8.0</v>
      </c>
      <c r="M13" s="1"/>
      <c r="N13" s="36"/>
      <c r="O13" s="37" t="str">
        <f t="shared" si="4"/>
        <v/>
      </c>
      <c r="P13" s="38" t="str">
        <f t="shared" si="5"/>
        <v/>
      </c>
      <c r="Q13" s="1"/>
      <c r="R13" s="1"/>
      <c r="S13" s="133" t="s">
        <v>750</v>
      </c>
      <c r="T13" s="149">
        <f t="shared" si="6"/>
        <v>1644.98</v>
      </c>
      <c r="U13" s="150">
        <f t="shared" si="7"/>
        <v>3</v>
      </c>
      <c r="V13" s="132"/>
      <c r="W13" s="132"/>
      <c r="X13" s="132"/>
      <c r="Y13" s="1"/>
      <c r="Z13" s="1"/>
      <c r="AA13" s="1"/>
      <c r="AB13" s="1"/>
    </row>
    <row r="14">
      <c r="A14" s="1"/>
      <c r="B14" s="46"/>
      <c r="D14" s="47"/>
      <c r="E14" s="1"/>
      <c r="F14" s="46"/>
      <c r="H14" s="47"/>
      <c r="I14" s="1"/>
      <c r="J14" s="36" t="s">
        <v>751</v>
      </c>
      <c r="K14" s="37">
        <v>551.9399999999999</v>
      </c>
      <c r="L14" s="38">
        <v>6.0</v>
      </c>
      <c r="M14" s="1"/>
      <c r="N14" s="36"/>
      <c r="O14" s="37" t="str">
        <f t="shared" si="4"/>
        <v/>
      </c>
      <c r="P14" s="38" t="str">
        <f t="shared" si="5"/>
        <v/>
      </c>
      <c r="Q14" s="1"/>
      <c r="R14" s="1"/>
      <c r="S14" s="133" t="s">
        <v>15</v>
      </c>
      <c r="T14" s="149">
        <f t="shared" si="6"/>
        <v>639.97</v>
      </c>
      <c r="U14" s="150">
        <f t="shared" si="7"/>
        <v>3</v>
      </c>
      <c r="V14" s="132"/>
      <c r="W14" s="132"/>
      <c r="X14" s="132"/>
      <c r="Y14" s="1"/>
      <c r="Z14" s="1"/>
      <c r="AA14" s="1"/>
      <c r="AB14" s="1"/>
    </row>
    <row r="15">
      <c r="A15" s="1"/>
      <c r="B15" s="46"/>
      <c r="D15" s="47"/>
      <c r="E15" s="1"/>
      <c r="F15" s="46"/>
      <c r="H15" s="47"/>
      <c r="I15" s="1"/>
      <c r="J15" s="36" t="s">
        <v>10</v>
      </c>
      <c r="K15" s="37">
        <v>449.99</v>
      </c>
      <c r="L15" s="38">
        <v>1.0</v>
      </c>
      <c r="M15" s="1"/>
      <c r="N15" s="36"/>
      <c r="O15" s="37" t="str">
        <f t="shared" si="4"/>
        <v/>
      </c>
      <c r="P15" s="38" t="str">
        <f t="shared" si="5"/>
        <v/>
      </c>
      <c r="Q15" s="1"/>
      <c r="R15" s="1"/>
      <c r="S15" s="133" t="s">
        <v>31</v>
      </c>
      <c r="T15" s="149">
        <f t="shared" si="6"/>
        <v>1498.98</v>
      </c>
      <c r="U15" s="150">
        <f t="shared" si="7"/>
        <v>7</v>
      </c>
      <c r="V15" s="132"/>
      <c r="W15" s="132"/>
      <c r="X15" s="132"/>
      <c r="Y15" s="1"/>
      <c r="Z15" s="1"/>
      <c r="AA15" s="1"/>
      <c r="AB15" s="1"/>
    </row>
    <row r="16">
      <c r="A16" s="1"/>
      <c r="B16" s="46"/>
      <c r="D16" s="47"/>
      <c r="E16" s="1"/>
      <c r="F16" s="46"/>
      <c r="H16" s="47"/>
      <c r="I16" s="1"/>
      <c r="J16" s="36" t="s">
        <v>12</v>
      </c>
      <c r="K16" s="37">
        <v>355.98</v>
      </c>
      <c r="L16" s="38">
        <v>3.0</v>
      </c>
      <c r="M16" s="1"/>
      <c r="N16" s="36"/>
      <c r="O16" s="37" t="str">
        <f t="shared" si="4"/>
        <v/>
      </c>
      <c r="P16" s="38" t="str">
        <f t="shared" si="5"/>
        <v/>
      </c>
      <c r="Q16" s="1"/>
      <c r="R16" s="1"/>
      <c r="S16" s="133" t="s">
        <v>10</v>
      </c>
      <c r="T16" s="149">
        <f t="shared" si="6"/>
        <v>449.99</v>
      </c>
      <c r="U16" s="150">
        <f t="shared" si="7"/>
        <v>1</v>
      </c>
      <c r="V16" s="132"/>
      <c r="W16" s="132"/>
      <c r="X16" s="132"/>
      <c r="Y16" s="1"/>
      <c r="Z16" s="1"/>
      <c r="AA16" s="1"/>
      <c r="AB16" s="1"/>
    </row>
    <row r="17">
      <c r="A17" s="1"/>
      <c r="B17" s="46"/>
      <c r="D17" s="47"/>
      <c r="E17" s="1"/>
      <c r="F17" s="46"/>
      <c r="H17" s="47"/>
      <c r="I17" s="1"/>
      <c r="J17" s="36"/>
      <c r="K17" s="37">
        <v>0.0</v>
      </c>
      <c r="L17" s="38">
        <v>0.0</v>
      </c>
      <c r="M17" s="1"/>
      <c r="N17" s="36"/>
      <c r="O17" s="37" t="str">
        <f t="shared" si="4"/>
        <v/>
      </c>
      <c r="P17" s="38" t="str">
        <f t="shared" si="5"/>
        <v/>
      </c>
      <c r="Q17" s="1"/>
      <c r="R17" s="1"/>
      <c r="S17" s="133"/>
      <c r="T17" s="149">
        <f t="shared" si="6"/>
        <v>0</v>
      </c>
      <c r="U17" s="150">
        <f t="shared" si="7"/>
        <v>0</v>
      </c>
      <c r="V17" s="132"/>
      <c r="W17" s="132"/>
      <c r="X17" s="132"/>
      <c r="Y17" s="1"/>
      <c r="Z17" s="1"/>
      <c r="AA17" s="1"/>
      <c r="AB17" s="1"/>
    </row>
    <row r="18">
      <c r="A18" s="1"/>
      <c r="B18" s="46"/>
      <c r="D18" s="47"/>
      <c r="E18" s="1"/>
      <c r="F18" s="46"/>
      <c r="H18" s="47"/>
      <c r="I18" s="1"/>
      <c r="J18" s="36"/>
      <c r="K18" s="37">
        <v>0.0</v>
      </c>
      <c r="L18" s="38">
        <v>0.0</v>
      </c>
      <c r="M18" s="1"/>
      <c r="N18" s="36"/>
      <c r="O18" s="37" t="str">
        <f t="shared" si="4"/>
        <v/>
      </c>
      <c r="P18" s="38" t="str">
        <f t="shared" si="5"/>
        <v/>
      </c>
      <c r="Q18" s="1"/>
      <c r="R18" s="1"/>
      <c r="S18" s="133"/>
      <c r="T18" s="149">
        <f t="shared" si="6"/>
        <v>0</v>
      </c>
      <c r="U18" s="150">
        <f t="shared" si="7"/>
        <v>0</v>
      </c>
      <c r="V18" s="132"/>
      <c r="W18" s="132"/>
      <c r="X18" s="132"/>
      <c r="Y18" s="1"/>
      <c r="Z18" s="1"/>
      <c r="AA18" s="1"/>
      <c r="AB18" s="1"/>
    </row>
    <row r="19">
      <c r="A19" s="1"/>
      <c r="B19" s="48"/>
      <c r="C19" s="49"/>
      <c r="D19" s="50"/>
      <c r="E19" s="1"/>
      <c r="F19" s="48"/>
      <c r="G19" s="49"/>
      <c r="H19" s="50"/>
      <c r="I19" s="1"/>
      <c r="J19" s="51"/>
      <c r="K19" s="52">
        <v>0.0</v>
      </c>
      <c r="L19" s="53">
        <v>0.0</v>
      </c>
      <c r="M19" s="1"/>
      <c r="N19" s="51"/>
      <c r="O19" s="52" t="str">
        <f t="shared" si="4"/>
        <v/>
      </c>
      <c r="P19" s="53" t="str">
        <f t="shared" si="5"/>
        <v/>
      </c>
      <c r="Q19" s="1"/>
      <c r="R19" s="1"/>
      <c r="S19" s="133"/>
      <c r="T19" s="149">
        <f t="shared" si="6"/>
        <v>0</v>
      </c>
      <c r="U19" s="150">
        <f t="shared" si="7"/>
        <v>0</v>
      </c>
      <c r="V19" s="132"/>
      <c r="W19" s="132"/>
      <c r="X19" s="132"/>
      <c r="Y19" s="1"/>
      <c r="Z19" s="1"/>
      <c r="AA19" s="1"/>
      <c r="AB19" s="1"/>
    </row>
    <row r="20" ht="3.75" customHeight="1">
      <c r="A20" s="1"/>
      <c r="B20" s="1"/>
      <c r="C20" s="1"/>
      <c r="D20" s="1"/>
      <c r="E20" s="1"/>
      <c r="F20" s="1"/>
      <c r="G20" s="1"/>
      <c r="H20" s="1"/>
      <c r="I20" s="1"/>
      <c r="J20" s="54"/>
      <c r="K20" s="55"/>
      <c r="L20" s="56"/>
      <c r="M20" s="1"/>
      <c r="N20" s="54"/>
      <c r="O20" s="55"/>
      <c r="P20" s="56"/>
      <c r="Q20" s="1"/>
      <c r="R20" s="1"/>
      <c r="S20" s="133"/>
      <c r="T20" s="133"/>
      <c r="U20" s="133"/>
      <c r="V20" s="132"/>
      <c r="W20" s="132"/>
      <c r="X20" s="132"/>
      <c r="Y20" s="1"/>
      <c r="Z20" s="1"/>
      <c r="AA20" s="1"/>
      <c r="AB20" s="1"/>
    </row>
    <row r="21">
      <c r="A21" s="1"/>
      <c r="B21" s="57" t="s">
        <v>6</v>
      </c>
      <c r="C21" s="58"/>
      <c r="D21" s="57" t="s">
        <v>18</v>
      </c>
      <c r="E21" s="58"/>
      <c r="F21" s="57" t="s">
        <v>19</v>
      </c>
      <c r="G21" s="109"/>
      <c r="H21" s="151"/>
      <c r="I21" s="58"/>
      <c r="J21" s="62" t="s">
        <v>752</v>
      </c>
      <c r="K21" s="62" t="s">
        <v>22</v>
      </c>
      <c r="L21" s="57" t="s">
        <v>753</v>
      </c>
      <c r="M21" s="58"/>
      <c r="N21" s="62" t="s">
        <v>4</v>
      </c>
      <c r="O21" s="62" t="s">
        <v>747</v>
      </c>
      <c r="P21" s="63" t="s">
        <v>24</v>
      </c>
      <c r="Q21" s="1"/>
      <c r="R21" s="1"/>
      <c r="S21" s="133"/>
      <c r="T21" s="133"/>
      <c r="U21" s="133"/>
      <c r="V21" s="132"/>
      <c r="W21" s="132"/>
      <c r="X21" s="132"/>
      <c r="Y21" s="1"/>
      <c r="Z21" s="1"/>
      <c r="AA21" s="1"/>
      <c r="AB21" s="1"/>
    </row>
    <row r="22">
      <c r="A22" s="1"/>
      <c r="B22" s="65"/>
      <c r="C22" s="58"/>
      <c r="D22" s="152"/>
      <c r="E22" s="58"/>
      <c r="F22" s="76"/>
      <c r="G22" s="77"/>
      <c r="H22" s="153"/>
      <c r="I22" s="77"/>
      <c r="J22" s="69"/>
      <c r="K22" s="70"/>
      <c r="L22" s="154"/>
      <c r="M22" s="58"/>
      <c r="N22" s="72"/>
      <c r="O22" s="72"/>
      <c r="P22" s="63">
        <f t="shared" ref="P22:P121" si="10">YEAR(J22)</f>
        <v>1899</v>
      </c>
      <c r="Q22" s="1"/>
      <c r="R22" s="1"/>
      <c r="S22" s="133"/>
      <c r="T22" s="133"/>
      <c r="U22" s="133"/>
      <c r="V22" s="132"/>
      <c r="W22" s="132"/>
      <c r="X22" s="132"/>
      <c r="Y22" s="1"/>
      <c r="Z22" s="1"/>
      <c r="AA22" s="1"/>
      <c r="AB22" s="1"/>
    </row>
    <row r="23">
      <c r="A23" s="1"/>
      <c r="B23" s="65" t="s">
        <v>16</v>
      </c>
      <c r="C23" s="58"/>
      <c r="D23" s="66">
        <v>21110.0</v>
      </c>
      <c r="E23" s="58"/>
      <c r="F23" s="76" t="s">
        <v>754</v>
      </c>
      <c r="G23" s="77"/>
      <c r="H23" s="153"/>
      <c r="I23" s="77"/>
      <c r="J23" s="69">
        <v>2014.0</v>
      </c>
      <c r="K23" s="70">
        <v>80.0</v>
      </c>
      <c r="L23" s="154"/>
      <c r="M23" s="58"/>
      <c r="N23" s="72" t="s">
        <v>9</v>
      </c>
      <c r="O23" s="72" t="s">
        <v>748</v>
      </c>
      <c r="P23" s="63">
        <f t="shared" si="10"/>
        <v>1905</v>
      </c>
      <c r="Q23" s="1"/>
      <c r="R23" s="1"/>
      <c r="S23" s="133"/>
      <c r="T23" s="133"/>
      <c r="U23" s="133"/>
      <c r="V23" s="132"/>
      <c r="W23" s="132"/>
      <c r="X23" s="132"/>
      <c r="Y23" s="1"/>
      <c r="Z23" s="1"/>
      <c r="AA23" s="1"/>
      <c r="AB23" s="1"/>
    </row>
    <row r="24">
      <c r="A24" s="1"/>
      <c r="B24" s="65" t="s">
        <v>16</v>
      </c>
      <c r="C24" s="58"/>
      <c r="D24" s="66">
        <v>21312.0</v>
      </c>
      <c r="E24" s="58"/>
      <c r="F24" s="76" t="s">
        <v>755</v>
      </c>
      <c r="G24" s="77"/>
      <c r="H24" s="153"/>
      <c r="I24" s="77"/>
      <c r="J24" s="69">
        <v>2017.0</v>
      </c>
      <c r="K24" s="70">
        <v>80.0</v>
      </c>
      <c r="L24" s="154"/>
      <c r="M24" s="58"/>
      <c r="N24" s="72" t="s">
        <v>9</v>
      </c>
      <c r="O24" s="72" t="s">
        <v>748</v>
      </c>
      <c r="P24" s="63">
        <f t="shared" si="10"/>
        <v>1905</v>
      </c>
      <c r="Q24" s="1"/>
      <c r="R24" s="1"/>
      <c r="S24" s="133"/>
      <c r="T24" s="133"/>
      <c r="U24" s="133"/>
      <c r="V24" s="132"/>
      <c r="W24" s="132"/>
      <c r="X24" s="132"/>
      <c r="Y24" s="1"/>
      <c r="Z24" s="1"/>
      <c r="AA24" s="1"/>
      <c r="AB24" s="1"/>
    </row>
    <row r="25">
      <c r="A25" s="1"/>
      <c r="B25" s="65" t="s">
        <v>16</v>
      </c>
      <c r="C25" s="58"/>
      <c r="D25" s="66">
        <v>40450.0</v>
      </c>
      <c r="E25" s="58"/>
      <c r="F25" s="76" t="s">
        <v>756</v>
      </c>
      <c r="G25" s="77"/>
      <c r="H25" s="153"/>
      <c r="I25" s="77"/>
      <c r="J25" s="69">
        <v>2021.0</v>
      </c>
      <c r="K25" s="70">
        <v>50.0</v>
      </c>
      <c r="L25" s="154"/>
      <c r="M25" s="58"/>
      <c r="N25" s="72" t="s">
        <v>9</v>
      </c>
      <c r="O25" s="72" t="s">
        <v>748</v>
      </c>
      <c r="P25" s="63">
        <f t="shared" si="10"/>
        <v>1905</v>
      </c>
      <c r="Q25" s="1"/>
      <c r="R25" s="1"/>
      <c r="S25" s="133"/>
      <c r="T25" s="133"/>
      <c r="U25" s="133"/>
      <c r="V25" s="132"/>
      <c r="W25" s="132"/>
      <c r="X25" s="132"/>
      <c r="Y25" s="1"/>
      <c r="Z25" s="1"/>
      <c r="AA25" s="1"/>
      <c r="AB25" s="1"/>
    </row>
    <row r="26">
      <c r="A26" s="1"/>
      <c r="B26" s="65" t="s">
        <v>16</v>
      </c>
      <c r="C26" s="58"/>
      <c r="D26" s="66">
        <v>40530.0</v>
      </c>
      <c r="E26" s="58"/>
      <c r="F26" s="76" t="s">
        <v>757</v>
      </c>
      <c r="G26" s="77"/>
      <c r="H26" s="153"/>
      <c r="I26" s="77"/>
      <c r="J26" s="69">
        <v>2022.0</v>
      </c>
      <c r="K26" s="70">
        <v>40.0</v>
      </c>
      <c r="L26" s="154"/>
      <c r="M26" s="58"/>
      <c r="N26" s="72" t="s">
        <v>9</v>
      </c>
      <c r="O26" s="72" t="s">
        <v>748</v>
      </c>
      <c r="P26" s="63">
        <f t="shared" si="10"/>
        <v>1905</v>
      </c>
      <c r="Q26" s="1"/>
      <c r="R26" s="1"/>
      <c r="S26" s="133"/>
      <c r="T26" s="133"/>
      <c r="U26" s="133"/>
      <c r="V26" s="132"/>
      <c r="W26" s="132"/>
      <c r="X26" s="132"/>
      <c r="Y26" s="1"/>
      <c r="Z26" s="1"/>
      <c r="AA26" s="1"/>
      <c r="AB26" s="1"/>
    </row>
    <row r="27">
      <c r="A27" s="1"/>
      <c r="B27" s="65" t="s">
        <v>16</v>
      </c>
      <c r="C27" s="58"/>
      <c r="D27" s="66">
        <v>40579.0</v>
      </c>
      <c r="E27" s="58"/>
      <c r="F27" s="76" t="s">
        <v>758</v>
      </c>
      <c r="G27" s="77"/>
      <c r="H27" s="153"/>
      <c r="I27" s="77"/>
      <c r="J27" s="69">
        <v>2022.0</v>
      </c>
      <c r="K27" s="70">
        <v>135.0</v>
      </c>
      <c r="L27" s="154"/>
      <c r="M27" s="58"/>
      <c r="N27" s="72" t="s">
        <v>9</v>
      </c>
      <c r="O27" s="72" t="s">
        <v>748</v>
      </c>
      <c r="P27" s="63">
        <f t="shared" si="10"/>
        <v>1905</v>
      </c>
      <c r="Q27" s="1"/>
      <c r="R27" s="1"/>
      <c r="S27" s="133"/>
      <c r="T27" s="133"/>
      <c r="U27" s="133"/>
      <c r="V27" s="1"/>
      <c r="W27" s="1"/>
      <c r="X27" s="1"/>
      <c r="Y27" s="1"/>
      <c r="Z27" s="1"/>
      <c r="AA27" s="1"/>
      <c r="AB27" s="1"/>
    </row>
    <row r="28">
      <c r="A28" s="1"/>
      <c r="B28" s="65" t="s">
        <v>16</v>
      </c>
      <c r="C28" s="58"/>
      <c r="D28" s="66">
        <v>40595.0</v>
      </c>
      <c r="E28" s="58"/>
      <c r="F28" s="76" t="s">
        <v>759</v>
      </c>
      <c r="G28" s="77"/>
      <c r="H28" s="153"/>
      <c r="I28" s="77"/>
      <c r="J28" s="69">
        <v>2023.0</v>
      </c>
      <c r="K28" s="70">
        <v>95.0</v>
      </c>
      <c r="L28" s="154"/>
      <c r="M28" s="58"/>
      <c r="N28" s="72" t="s">
        <v>9</v>
      </c>
      <c r="O28" s="72" t="s">
        <v>748</v>
      </c>
      <c r="P28" s="63">
        <f t="shared" si="10"/>
        <v>1905</v>
      </c>
      <c r="Q28" s="1"/>
      <c r="R28" s="1"/>
      <c r="S28" s="133"/>
      <c r="T28" s="133"/>
      <c r="U28" s="133"/>
      <c r="V28" s="1"/>
      <c r="W28" s="1"/>
      <c r="X28" s="1"/>
      <c r="Y28" s="1"/>
      <c r="Z28" s="1"/>
      <c r="AA28" s="1"/>
      <c r="AB28" s="1"/>
    </row>
    <row r="29">
      <c r="A29" s="1"/>
      <c r="B29" s="65" t="s">
        <v>16</v>
      </c>
      <c r="C29" s="58"/>
      <c r="D29" s="66">
        <v>40729.0</v>
      </c>
      <c r="E29" s="58"/>
      <c r="F29" s="76" t="s">
        <v>760</v>
      </c>
      <c r="G29" s="77"/>
      <c r="H29" s="153"/>
      <c r="I29" s="77"/>
      <c r="J29" s="69">
        <v>2024.0</v>
      </c>
      <c r="K29" s="70">
        <v>60.0</v>
      </c>
      <c r="L29" s="154"/>
      <c r="M29" s="58"/>
      <c r="N29" s="72" t="s">
        <v>9</v>
      </c>
      <c r="O29" s="72" t="s">
        <v>748</v>
      </c>
      <c r="P29" s="63">
        <f t="shared" si="10"/>
        <v>1905</v>
      </c>
      <c r="Q29" s="1"/>
      <c r="R29" s="1"/>
      <c r="S29" s="133"/>
      <c r="T29" s="133"/>
      <c r="U29" s="133"/>
      <c r="V29" s="1"/>
      <c r="W29" s="1"/>
      <c r="X29" s="1"/>
      <c r="Y29" s="1"/>
      <c r="Z29" s="1"/>
      <c r="AA29" s="1"/>
      <c r="AB29" s="1"/>
    </row>
    <row r="30">
      <c r="A30" s="1"/>
      <c r="B30" s="65" t="s">
        <v>15</v>
      </c>
      <c r="C30" s="58"/>
      <c r="D30" s="66">
        <v>76325.0</v>
      </c>
      <c r="E30" s="58"/>
      <c r="F30" s="76" t="s">
        <v>761</v>
      </c>
      <c r="G30" s="77"/>
      <c r="H30" s="153"/>
      <c r="I30" s="77"/>
      <c r="J30" s="79">
        <v>45870.0</v>
      </c>
      <c r="K30" s="70">
        <v>124.99</v>
      </c>
      <c r="L30" s="154"/>
      <c r="M30" s="58"/>
      <c r="N30" s="72" t="s">
        <v>9</v>
      </c>
      <c r="O30" s="72" t="s">
        <v>748</v>
      </c>
      <c r="P30" s="63">
        <f t="shared" si="10"/>
        <v>2025</v>
      </c>
      <c r="Q30" s="1"/>
      <c r="R30" s="1"/>
      <c r="S30" s="133"/>
      <c r="T30" s="133"/>
      <c r="U30" s="133"/>
      <c r="V30" s="1"/>
      <c r="W30" s="1"/>
      <c r="X30" s="1"/>
      <c r="Y30" s="1"/>
      <c r="Z30" s="1"/>
      <c r="AA30" s="1"/>
      <c r="AB30" s="1"/>
    </row>
    <row r="31">
      <c r="A31" s="1"/>
      <c r="B31" s="65" t="s">
        <v>15</v>
      </c>
      <c r="C31" s="58"/>
      <c r="D31" s="152">
        <v>76354.0</v>
      </c>
      <c r="E31" s="58"/>
      <c r="F31" s="76" t="s">
        <v>762</v>
      </c>
      <c r="G31" s="77"/>
      <c r="H31" s="153"/>
      <c r="I31" s="77"/>
      <c r="J31" s="79">
        <v>46174.0</v>
      </c>
      <c r="K31" s="70">
        <v>379.99</v>
      </c>
      <c r="L31" s="154"/>
      <c r="M31" s="58"/>
      <c r="N31" s="72" t="s">
        <v>9</v>
      </c>
      <c r="O31" s="72" t="s">
        <v>748</v>
      </c>
      <c r="P31" s="63">
        <f t="shared" si="10"/>
        <v>2026</v>
      </c>
      <c r="Q31" s="1"/>
      <c r="R31" s="1"/>
      <c r="S31" s="133"/>
      <c r="T31" s="133"/>
      <c r="U31" s="133"/>
      <c r="V31" s="1"/>
      <c r="W31" s="1"/>
      <c r="X31" s="1"/>
      <c r="Y31" s="1"/>
      <c r="Z31" s="1"/>
      <c r="AA31" s="1"/>
      <c r="AB31" s="1"/>
    </row>
    <row r="32">
      <c r="A32" s="1"/>
      <c r="B32" s="65"/>
      <c r="C32" s="58"/>
      <c r="D32" s="152"/>
      <c r="E32" s="58"/>
      <c r="F32" s="76"/>
      <c r="G32" s="77"/>
      <c r="H32" s="153"/>
      <c r="I32" s="77"/>
      <c r="J32" s="79"/>
      <c r="K32" s="70"/>
      <c r="L32" s="154"/>
      <c r="M32" s="58"/>
      <c r="N32" s="72"/>
      <c r="O32" s="72"/>
      <c r="P32" s="63">
        <f t="shared" si="10"/>
        <v>1899</v>
      </c>
      <c r="Q32" s="1"/>
      <c r="R32" s="1"/>
      <c r="S32" s="133"/>
      <c r="T32" s="133"/>
      <c r="U32" s="133"/>
      <c r="V32" s="1"/>
      <c r="W32" s="1"/>
      <c r="X32" s="1"/>
      <c r="Y32" s="1"/>
      <c r="Z32" s="1"/>
      <c r="AA32" s="1"/>
      <c r="AB32" s="1"/>
    </row>
    <row r="33">
      <c r="A33" s="1"/>
      <c r="B33" s="65" t="s">
        <v>10</v>
      </c>
      <c r="C33" s="58"/>
      <c r="D33" s="152">
        <v>42232.0</v>
      </c>
      <c r="E33" s="58"/>
      <c r="F33" s="76" t="s">
        <v>763</v>
      </c>
      <c r="G33" s="77"/>
      <c r="H33" s="153"/>
      <c r="I33" s="77"/>
      <c r="J33" s="79">
        <v>46204.0</v>
      </c>
      <c r="K33" s="70">
        <v>449.99</v>
      </c>
      <c r="L33" s="154"/>
      <c r="M33" s="58"/>
      <c r="N33" s="72" t="s">
        <v>8</v>
      </c>
      <c r="O33" s="72" t="s">
        <v>748</v>
      </c>
      <c r="P33" s="63">
        <f t="shared" si="10"/>
        <v>2026</v>
      </c>
      <c r="Q33" s="1"/>
      <c r="R33" s="1"/>
      <c r="S33" s="133"/>
      <c r="T33" s="133"/>
      <c r="U33" s="133"/>
      <c r="V33" s="1"/>
      <c r="W33" s="1"/>
      <c r="X33" s="1"/>
      <c r="Y33" s="1"/>
      <c r="Z33" s="1"/>
      <c r="AA33" s="1"/>
      <c r="AB33" s="1"/>
    </row>
    <row r="34">
      <c r="A34" s="1"/>
      <c r="B34" s="65" t="s">
        <v>751</v>
      </c>
      <c r="C34" s="58"/>
      <c r="D34" s="152">
        <v>43014.0</v>
      </c>
      <c r="E34" s="58"/>
      <c r="F34" s="76" t="s">
        <v>764</v>
      </c>
      <c r="G34" s="77"/>
      <c r="H34" s="153"/>
      <c r="I34" s="77"/>
      <c r="J34" s="79">
        <v>46143.0</v>
      </c>
      <c r="K34" s="70">
        <v>91.99</v>
      </c>
      <c r="L34" s="154"/>
      <c r="M34" s="58"/>
      <c r="N34" s="72" t="s">
        <v>8</v>
      </c>
      <c r="O34" s="72" t="s">
        <v>748</v>
      </c>
      <c r="P34" s="63">
        <f t="shared" si="10"/>
        <v>2026</v>
      </c>
      <c r="Q34" s="1"/>
      <c r="R34" s="1"/>
      <c r="S34" s="133"/>
      <c r="T34" s="133"/>
      <c r="U34" s="133"/>
      <c r="V34" s="1"/>
      <c r="W34" s="1"/>
      <c r="X34" s="1"/>
      <c r="Y34" s="1"/>
      <c r="Z34" s="1"/>
      <c r="AA34" s="1"/>
      <c r="AB34" s="1"/>
    </row>
    <row r="35">
      <c r="A35" s="1"/>
      <c r="B35" s="65" t="s">
        <v>751</v>
      </c>
      <c r="C35" s="58"/>
      <c r="D35" s="152">
        <v>43022.0</v>
      </c>
      <c r="E35" s="58"/>
      <c r="F35" s="76" t="s">
        <v>765</v>
      </c>
      <c r="G35" s="77"/>
      <c r="H35" s="153"/>
      <c r="I35" s="77"/>
      <c r="J35" s="79">
        <v>46143.0</v>
      </c>
      <c r="K35" s="70">
        <v>91.99</v>
      </c>
      <c r="L35" s="154"/>
      <c r="M35" s="58"/>
      <c r="N35" s="72" t="s">
        <v>8</v>
      </c>
      <c r="O35" s="72" t="s">
        <v>748</v>
      </c>
      <c r="P35" s="63">
        <f t="shared" si="10"/>
        <v>2026</v>
      </c>
      <c r="Q35" s="1"/>
      <c r="R35" s="1"/>
      <c r="S35" s="133"/>
      <c r="T35" s="133"/>
      <c r="U35" s="133"/>
      <c r="V35" s="1"/>
      <c r="W35" s="1"/>
      <c r="X35" s="1"/>
      <c r="Y35" s="1"/>
      <c r="Z35" s="1"/>
      <c r="AA35" s="1"/>
      <c r="AB35" s="1"/>
    </row>
    <row r="36">
      <c r="A36" s="1"/>
      <c r="B36" s="65" t="s">
        <v>31</v>
      </c>
      <c r="C36" s="58"/>
      <c r="D36" s="66">
        <v>75325.0</v>
      </c>
      <c r="E36" s="58"/>
      <c r="F36" s="76" t="s">
        <v>766</v>
      </c>
      <c r="G36" s="77"/>
      <c r="H36" s="153"/>
      <c r="I36" s="77"/>
      <c r="J36" s="79">
        <v>44713.0</v>
      </c>
      <c r="K36" s="70">
        <v>65.99</v>
      </c>
      <c r="L36" s="154"/>
      <c r="M36" s="58"/>
      <c r="N36" s="72" t="s">
        <v>8</v>
      </c>
      <c r="O36" s="72" t="s">
        <v>748</v>
      </c>
      <c r="P36" s="63">
        <f t="shared" si="10"/>
        <v>2022</v>
      </c>
      <c r="Q36" s="1"/>
      <c r="R36" s="1"/>
      <c r="S36" s="133"/>
      <c r="T36" s="133"/>
      <c r="U36" s="133"/>
      <c r="V36" s="1"/>
      <c r="W36" s="1"/>
      <c r="X36" s="1"/>
      <c r="Y36" s="1"/>
      <c r="Z36" s="1"/>
      <c r="AA36" s="1"/>
      <c r="AB36" s="1"/>
    </row>
    <row r="37">
      <c r="A37" s="1"/>
      <c r="B37" s="65" t="s">
        <v>31</v>
      </c>
      <c r="C37" s="58"/>
      <c r="D37" s="66">
        <v>75347.0</v>
      </c>
      <c r="E37" s="58"/>
      <c r="F37" s="76" t="s">
        <v>767</v>
      </c>
      <c r="G37" s="77"/>
      <c r="H37" s="153"/>
      <c r="I37" s="77"/>
      <c r="J37" s="79">
        <v>44927.0</v>
      </c>
      <c r="K37" s="70">
        <v>65.99</v>
      </c>
      <c r="L37" s="154"/>
      <c r="M37" s="58"/>
      <c r="N37" s="72" t="s">
        <v>8</v>
      </c>
      <c r="O37" s="72" t="s">
        <v>748</v>
      </c>
      <c r="P37" s="63">
        <f t="shared" si="10"/>
        <v>2023</v>
      </c>
      <c r="Q37" s="1"/>
      <c r="R37" s="1"/>
      <c r="S37" s="133"/>
      <c r="T37" s="133"/>
      <c r="U37" s="133"/>
      <c r="V37" s="1"/>
      <c r="W37" s="1"/>
      <c r="X37" s="1"/>
      <c r="Y37" s="1"/>
      <c r="Z37" s="1"/>
      <c r="AA37" s="1"/>
      <c r="AB37" s="1"/>
    </row>
    <row r="38">
      <c r="A38" s="1"/>
      <c r="B38" s="65" t="s">
        <v>31</v>
      </c>
      <c r="C38" s="58"/>
      <c r="D38" s="66">
        <v>75354.0</v>
      </c>
      <c r="E38" s="58"/>
      <c r="F38" s="76" t="s">
        <v>768</v>
      </c>
      <c r="G38" s="77"/>
      <c r="H38" s="153"/>
      <c r="I38" s="77"/>
      <c r="J38" s="79">
        <v>45170.0</v>
      </c>
      <c r="K38" s="70">
        <v>154.0</v>
      </c>
      <c r="L38" s="155" t="s">
        <v>769</v>
      </c>
      <c r="M38" s="58"/>
      <c r="N38" s="72" t="s">
        <v>8</v>
      </c>
      <c r="O38" s="72" t="s">
        <v>748</v>
      </c>
      <c r="P38" s="63">
        <f t="shared" si="10"/>
        <v>2023</v>
      </c>
      <c r="Q38" s="1"/>
      <c r="R38" s="1"/>
      <c r="S38" s="133"/>
      <c r="T38" s="133"/>
      <c r="U38" s="133"/>
      <c r="V38" s="1"/>
      <c r="W38" s="1"/>
      <c r="X38" s="1"/>
      <c r="Y38" s="1"/>
      <c r="Z38" s="1"/>
      <c r="AA38" s="1"/>
      <c r="AB38" s="1"/>
    </row>
    <row r="39">
      <c r="A39" s="1"/>
      <c r="B39" s="65" t="s">
        <v>31</v>
      </c>
      <c r="C39" s="58"/>
      <c r="D39" s="152">
        <v>75457.0</v>
      </c>
      <c r="E39" s="58"/>
      <c r="F39" s="76" t="s">
        <v>770</v>
      </c>
      <c r="G39" s="77"/>
      <c r="H39" s="153"/>
      <c r="I39" s="77"/>
      <c r="J39" s="79">
        <v>46266.0</v>
      </c>
      <c r="K39" s="70">
        <v>800.0</v>
      </c>
      <c r="L39" s="154"/>
      <c r="M39" s="58"/>
      <c r="N39" s="72" t="s">
        <v>8</v>
      </c>
      <c r="O39" s="72" t="s">
        <v>748</v>
      </c>
      <c r="P39" s="63">
        <f t="shared" si="10"/>
        <v>2026</v>
      </c>
      <c r="Q39" s="1"/>
      <c r="R39" s="1"/>
      <c r="S39" s="133"/>
      <c r="T39" s="133"/>
      <c r="U39" s="133"/>
      <c r="V39" s="1"/>
      <c r="W39" s="1"/>
      <c r="X39" s="1"/>
      <c r="Y39" s="1"/>
      <c r="Z39" s="1"/>
      <c r="AA39" s="1"/>
      <c r="AB39" s="1"/>
    </row>
    <row r="40">
      <c r="A40" s="1"/>
      <c r="B40" s="65" t="s">
        <v>751</v>
      </c>
      <c r="C40" s="58"/>
      <c r="D40" s="152"/>
      <c r="E40" s="58"/>
      <c r="F40" s="76" t="s">
        <v>771</v>
      </c>
      <c r="G40" s="77"/>
      <c r="H40" s="153"/>
      <c r="I40" s="77"/>
      <c r="J40" s="69"/>
      <c r="K40" s="70">
        <v>91.99</v>
      </c>
      <c r="L40" s="154"/>
      <c r="M40" s="58"/>
      <c r="N40" s="72" t="s">
        <v>8</v>
      </c>
      <c r="O40" s="72" t="s">
        <v>748</v>
      </c>
      <c r="P40" s="63">
        <f t="shared" si="10"/>
        <v>1899</v>
      </c>
      <c r="Q40" s="1"/>
      <c r="R40" s="1"/>
      <c r="S40" s="133"/>
      <c r="T40" s="133"/>
      <c r="U40" s="133"/>
      <c r="V40" s="1"/>
      <c r="W40" s="1"/>
      <c r="X40" s="1"/>
      <c r="Y40" s="1"/>
      <c r="Z40" s="1"/>
      <c r="AA40" s="1"/>
      <c r="AB40" s="1"/>
    </row>
    <row r="41">
      <c r="A41" s="1"/>
      <c r="B41" s="65" t="s">
        <v>751</v>
      </c>
      <c r="C41" s="58"/>
      <c r="D41" s="152"/>
      <c r="E41" s="58"/>
      <c r="F41" s="76" t="s">
        <v>772</v>
      </c>
      <c r="G41" s="77"/>
      <c r="H41" s="153"/>
      <c r="I41" s="77"/>
      <c r="J41" s="69"/>
      <c r="K41" s="70">
        <v>91.99</v>
      </c>
      <c r="L41" s="154"/>
      <c r="M41" s="58"/>
      <c r="N41" s="72" t="s">
        <v>8</v>
      </c>
      <c r="O41" s="72" t="s">
        <v>748</v>
      </c>
      <c r="P41" s="63">
        <f t="shared" si="10"/>
        <v>1899</v>
      </c>
      <c r="Q41" s="1"/>
      <c r="R41" s="1"/>
      <c r="S41" s="133"/>
      <c r="T41" s="133"/>
      <c r="U41" s="133"/>
      <c r="V41" s="1"/>
      <c r="W41" s="1"/>
      <c r="X41" s="1"/>
      <c r="Y41" s="1"/>
      <c r="Z41" s="1"/>
      <c r="AA41" s="1"/>
      <c r="AB41" s="1"/>
    </row>
    <row r="42">
      <c r="A42" s="1"/>
      <c r="B42" s="65" t="s">
        <v>751</v>
      </c>
      <c r="C42" s="58"/>
      <c r="D42" s="152"/>
      <c r="E42" s="58"/>
      <c r="F42" s="76" t="s">
        <v>773</v>
      </c>
      <c r="G42" s="77"/>
      <c r="H42" s="153"/>
      <c r="I42" s="77"/>
      <c r="J42" s="69"/>
      <c r="K42" s="70">
        <v>91.99</v>
      </c>
      <c r="L42" s="154"/>
      <c r="M42" s="58"/>
      <c r="N42" s="72" t="s">
        <v>8</v>
      </c>
      <c r="O42" s="72" t="s">
        <v>748</v>
      </c>
      <c r="P42" s="63">
        <f t="shared" si="10"/>
        <v>1899</v>
      </c>
      <c r="Q42" s="1"/>
      <c r="R42" s="1"/>
      <c r="S42" s="133"/>
      <c r="T42" s="133"/>
      <c r="U42" s="133"/>
      <c r="V42" s="1"/>
      <c r="W42" s="1"/>
      <c r="X42" s="1"/>
      <c r="Y42" s="1"/>
      <c r="Z42" s="1"/>
      <c r="AA42" s="1"/>
      <c r="AB42" s="1"/>
    </row>
    <row r="43">
      <c r="A43" s="1"/>
      <c r="B43" s="65" t="s">
        <v>751</v>
      </c>
      <c r="C43" s="58"/>
      <c r="D43" s="152"/>
      <c r="E43" s="58"/>
      <c r="F43" s="76" t="s">
        <v>774</v>
      </c>
      <c r="G43" s="77"/>
      <c r="H43" s="153"/>
      <c r="I43" s="77"/>
      <c r="J43" s="69"/>
      <c r="K43" s="70">
        <v>91.99</v>
      </c>
      <c r="L43" s="154"/>
      <c r="M43" s="58"/>
      <c r="N43" s="72" t="s">
        <v>8</v>
      </c>
      <c r="O43" s="72" t="s">
        <v>748</v>
      </c>
      <c r="P43" s="63">
        <f t="shared" si="10"/>
        <v>1899</v>
      </c>
      <c r="Q43" s="1"/>
      <c r="R43" s="1"/>
      <c r="S43" s="133"/>
      <c r="T43" s="133"/>
      <c r="U43" s="133"/>
      <c r="V43" s="1"/>
      <c r="W43" s="1"/>
      <c r="X43" s="1"/>
      <c r="Y43" s="1"/>
      <c r="Z43" s="1"/>
      <c r="AA43" s="1"/>
      <c r="AB43" s="1"/>
    </row>
    <row r="44">
      <c r="A44" s="1"/>
      <c r="B44" s="65" t="s">
        <v>750</v>
      </c>
      <c r="C44" s="58"/>
      <c r="D44" s="66">
        <v>10316.0</v>
      </c>
      <c r="E44" s="58"/>
      <c r="F44" s="76" t="s">
        <v>775</v>
      </c>
      <c r="G44" s="77"/>
      <c r="H44" s="153"/>
      <c r="I44" s="77"/>
      <c r="J44" s="69"/>
      <c r="K44" s="70">
        <v>519.99</v>
      </c>
      <c r="L44" s="154"/>
      <c r="M44" s="58"/>
      <c r="N44" s="72" t="s">
        <v>9</v>
      </c>
      <c r="O44" s="72" t="s">
        <v>749</v>
      </c>
      <c r="P44" s="63">
        <f t="shared" si="10"/>
        <v>1899</v>
      </c>
      <c r="Q44" s="1"/>
      <c r="R44" s="1"/>
      <c r="S44" s="133"/>
      <c r="T44" s="133"/>
      <c r="U44" s="133"/>
      <c r="V44" s="1"/>
      <c r="W44" s="1"/>
      <c r="X44" s="1"/>
      <c r="Y44" s="1"/>
      <c r="Z44" s="1"/>
      <c r="AA44" s="1"/>
      <c r="AB44" s="1"/>
    </row>
    <row r="45">
      <c r="A45" s="1"/>
      <c r="B45" s="65" t="s">
        <v>750</v>
      </c>
      <c r="C45" s="58"/>
      <c r="D45" s="66">
        <v>10333.0</v>
      </c>
      <c r="E45" s="58"/>
      <c r="F45" s="76" t="s">
        <v>776</v>
      </c>
      <c r="G45" s="77"/>
      <c r="H45" s="153"/>
      <c r="I45" s="77"/>
      <c r="J45" s="69"/>
      <c r="K45" s="70">
        <v>474.99</v>
      </c>
      <c r="L45" s="154"/>
      <c r="M45" s="58"/>
      <c r="N45" s="72" t="s">
        <v>9</v>
      </c>
      <c r="O45" s="72" t="s">
        <v>749</v>
      </c>
      <c r="P45" s="63">
        <f t="shared" si="10"/>
        <v>1899</v>
      </c>
      <c r="Q45" s="1"/>
      <c r="R45" s="1"/>
      <c r="S45" s="133"/>
      <c r="T45" s="133"/>
      <c r="U45" s="133"/>
      <c r="V45" s="1"/>
      <c r="W45" s="1"/>
      <c r="X45" s="1"/>
      <c r="Y45" s="1"/>
      <c r="Z45" s="1"/>
      <c r="AA45" s="1"/>
      <c r="AB45" s="1"/>
    </row>
    <row r="46">
      <c r="A46" s="1"/>
      <c r="B46" s="65" t="s">
        <v>12</v>
      </c>
      <c r="C46" s="58"/>
      <c r="D46" s="66">
        <v>10354.0</v>
      </c>
      <c r="E46" s="58"/>
      <c r="F46" s="76" t="s">
        <v>777</v>
      </c>
      <c r="G46" s="77"/>
      <c r="H46" s="153"/>
      <c r="I46" s="77"/>
      <c r="J46" s="69"/>
      <c r="K46" s="70">
        <v>279.99</v>
      </c>
      <c r="L46" s="154"/>
      <c r="M46" s="58"/>
      <c r="N46" s="72" t="s">
        <v>9</v>
      </c>
      <c r="O46" s="72" t="s">
        <v>749</v>
      </c>
      <c r="P46" s="63">
        <f t="shared" si="10"/>
        <v>1899</v>
      </c>
      <c r="Q46" s="1"/>
      <c r="R46" s="1"/>
      <c r="S46" s="133"/>
      <c r="T46" s="133"/>
      <c r="U46" s="133"/>
      <c r="V46" s="1"/>
      <c r="W46" s="1"/>
      <c r="X46" s="1"/>
      <c r="Y46" s="1"/>
      <c r="Z46" s="1"/>
      <c r="AA46" s="1"/>
      <c r="AB46" s="1"/>
    </row>
    <row r="47">
      <c r="A47" s="1"/>
      <c r="B47" s="65" t="s">
        <v>16</v>
      </c>
      <c r="C47" s="58"/>
      <c r="D47" s="66">
        <v>21355.0</v>
      </c>
      <c r="E47" s="58"/>
      <c r="F47" s="76" t="s">
        <v>778</v>
      </c>
      <c r="G47" s="77"/>
      <c r="H47" s="153"/>
      <c r="I47" s="77"/>
      <c r="J47" s="69">
        <v>2025.0</v>
      </c>
      <c r="K47" s="70">
        <v>65.0</v>
      </c>
      <c r="L47" s="154"/>
      <c r="M47" s="58"/>
      <c r="N47" s="72" t="s">
        <v>9</v>
      </c>
      <c r="O47" s="72" t="s">
        <v>749</v>
      </c>
      <c r="P47" s="63">
        <f t="shared" si="10"/>
        <v>1905</v>
      </c>
      <c r="Q47" s="1"/>
      <c r="R47" s="1"/>
      <c r="S47" s="133"/>
      <c r="T47" s="133"/>
      <c r="U47" s="133"/>
      <c r="V47" s="1"/>
      <c r="W47" s="1"/>
      <c r="X47" s="1"/>
      <c r="Y47" s="1"/>
      <c r="Z47" s="1"/>
      <c r="AA47" s="1"/>
      <c r="AB47" s="1"/>
    </row>
    <row r="48">
      <c r="A48" s="1"/>
      <c r="B48" s="65" t="s">
        <v>15</v>
      </c>
      <c r="C48" s="58"/>
      <c r="D48" s="66">
        <v>76344.0</v>
      </c>
      <c r="E48" s="58"/>
      <c r="F48" s="76" t="s">
        <v>779</v>
      </c>
      <c r="G48" s="77"/>
      <c r="H48" s="153"/>
      <c r="I48" s="77"/>
      <c r="J48" s="69">
        <v>2026.0</v>
      </c>
      <c r="K48" s="70">
        <v>134.99</v>
      </c>
      <c r="L48" s="154"/>
      <c r="M48" s="58"/>
      <c r="N48" s="72" t="s">
        <v>9</v>
      </c>
      <c r="O48" s="72" t="s">
        <v>749</v>
      </c>
      <c r="P48" s="63">
        <f t="shared" si="10"/>
        <v>1905</v>
      </c>
      <c r="Q48" s="1"/>
      <c r="R48" s="1"/>
      <c r="S48" s="133"/>
      <c r="T48" s="133"/>
      <c r="U48" s="133"/>
      <c r="V48" s="1"/>
      <c r="W48" s="1"/>
      <c r="X48" s="1"/>
      <c r="Y48" s="1"/>
      <c r="Z48" s="1"/>
      <c r="AA48" s="1"/>
      <c r="AB48" s="1"/>
    </row>
    <row r="49">
      <c r="A49" s="1"/>
      <c r="B49" s="65" t="s">
        <v>14</v>
      </c>
      <c r="C49" s="58"/>
      <c r="D49" s="66">
        <v>76417.0</v>
      </c>
      <c r="E49" s="58"/>
      <c r="F49" s="76" t="s">
        <v>780</v>
      </c>
      <c r="G49" s="77"/>
      <c r="H49" s="153"/>
      <c r="I49" s="77"/>
      <c r="J49" s="69">
        <v>2024.0</v>
      </c>
      <c r="K49" s="70">
        <v>439.99</v>
      </c>
      <c r="L49" s="154"/>
      <c r="M49" s="58"/>
      <c r="N49" s="72" t="s">
        <v>9</v>
      </c>
      <c r="O49" s="72" t="s">
        <v>749</v>
      </c>
      <c r="P49" s="63">
        <f t="shared" si="10"/>
        <v>1905</v>
      </c>
      <c r="Q49" s="1"/>
      <c r="R49" s="1"/>
      <c r="S49" s="133"/>
      <c r="T49" s="133"/>
      <c r="U49" s="133"/>
      <c r="V49" s="1"/>
      <c r="W49" s="1"/>
      <c r="X49" s="1"/>
      <c r="Y49" s="1"/>
      <c r="Z49" s="1"/>
      <c r="AA49" s="1"/>
      <c r="AB49" s="1"/>
    </row>
    <row r="50">
      <c r="A50" s="1"/>
      <c r="B50" s="65" t="s">
        <v>14</v>
      </c>
      <c r="C50" s="58"/>
      <c r="D50" s="66">
        <v>76437.0</v>
      </c>
      <c r="E50" s="58"/>
      <c r="F50" s="76" t="s">
        <v>781</v>
      </c>
      <c r="G50" s="77"/>
      <c r="H50" s="153"/>
      <c r="I50" s="77"/>
      <c r="J50" s="65">
        <v>2024.0</v>
      </c>
      <c r="K50" s="156">
        <v>269.99</v>
      </c>
      <c r="L50" s="154"/>
      <c r="M50" s="58"/>
      <c r="N50" s="72" t="s">
        <v>9</v>
      </c>
      <c r="O50" s="72" t="s">
        <v>749</v>
      </c>
      <c r="P50" s="63">
        <f t="shared" si="10"/>
        <v>1905</v>
      </c>
      <c r="Q50" s="1"/>
      <c r="R50" s="1"/>
      <c r="S50" s="133"/>
      <c r="T50" s="133"/>
      <c r="U50" s="133"/>
      <c r="V50" s="1"/>
      <c r="W50" s="1"/>
      <c r="X50" s="1"/>
      <c r="Y50" s="1"/>
      <c r="Z50" s="1"/>
      <c r="AA50" s="1"/>
      <c r="AB50" s="1"/>
    </row>
    <row r="51">
      <c r="A51" s="1"/>
      <c r="B51" s="65" t="s">
        <v>12</v>
      </c>
      <c r="C51" s="58"/>
      <c r="D51" s="66">
        <v>11373.0</v>
      </c>
      <c r="E51" s="58"/>
      <c r="F51" s="76" t="s">
        <v>782</v>
      </c>
      <c r="G51" s="77"/>
      <c r="H51" s="153"/>
      <c r="I51" s="77"/>
      <c r="J51" s="65"/>
      <c r="K51" s="70">
        <v>75.99</v>
      </c>
      <c r="L51" s="154"/>
      <c r="M51" s="58"/>
      <c r="N51" s="72" t="s">
        <v>8</v>
      </c>
      <c r="O51" s="72" t="s">
        <v>749</v>
      </c>
      <c r="P51" s="63">
        <f t="shared" si="10"/>
        <v>1899</v>
      </c>
      <c r="Q51" s="1"/>
      <c r="R51" s="1"/>
      <c r="S51" s="133"/>
      <c r="T51" s="133"/>
      <c r="U51" s="133"/>
      <c r="V51" s="1"/>
      <c r="W51" s="1"/>
      <c r="X51" s="1"/>
      <c r="Y51" s="1"/>
      <c r="Z51" s="1"/>
      <c r="AA51" s="1"/>
      <c r="AB51" s="1"/>
    </row>
    <row r="52">
      <c r="A52" s="1"/>
      <c r="B52" s="65" t="s">
        <v>750</v>
      </c>
      <c r="C52" s="58"/>
      <c r="D52" s="152">
        <v>11377.0</v>
      </c>
      <c r="E52" s="58"/>
      <c r="F52" s="76" t="s">
        <v>783</v>
      </c>
      <c r="G52" s="77"/>
      <c r="H52" s="153"/>
      <c r="I52" s="77"/>
      <c r="J52" s="65">
        <v>2026.0</v>
      </c>
      <c r="K52" s="70">
        <v>650.0</v>
      </c>
      <c r="L52" s="154"/>
      <c r="M52" s="58"/>
      <c r="N52" s="72" t="s">
        <v>8</v>
      </c>
      <c r="O52" s="72" t="s">
        <v>749</v>
      </c>
      <c r="P52" s="63">
        <f t="shared" si="10"/>
        <v>1905</v>
      </c>
      <c r="Q52" s="1"/>
      <c r="R52" s="1"/>
      <c r="S52" s="133"/>
      <c r="T52" s="133"/>
      <c r="U52" s="133"/>
      <c r="V52" s="1"/>
      <c r="W52" s="1"/>
      <c r="X52" s="1"/>
      <c r="Y52" s="1"/>
      <c r="Z52" s="1"/>
      <c r="AA52" s="1"/>
      <c r="AB52" s="1"/>
    </row>
    <row r="53">
      <c r="A53" s="1"/>
      <c r="B53" s="65" t="s">
        <v>31</v>
      </c>
      <c r="C53" s="58"/>
      <c r="D53" s="66">
        <v>75357.0</v>
      </c>
      <c r="E53" s="58"/>
      <c r="F53" s="76" t="s">
        <v>784</v>
      </c>
      <c r="G53" s="77"/>
      <c r="H53" s="153"/>
      <c r="I53" s="77"/>
      <c r="J53" s="65"/>
      <c r="K53" s="70">
        <v>174.0</v>
      </c>
      <c r="L53" s="155" t="s">
        <v>769</v>
      </c>
      <c r="M53" s="58"/>
      <c r="N53" s="72" t="s">
        <v>8</v>
      </c>
      <c r="O53" s="72" t="s">
        <v>749</v>
      </c>
      <c r="P53" s="63">
        <f t="shared" si="10"/>
        <v>1899</v>
      </c>
      <c r="Q53" s="1"/>
      <c r="R53" s="1"/>
      <c r="S53" s="133"/>
      <c r="T53" s="133"/>
      <c r="U53" s="133"/>
      <c r="V53" s="1"/>
      <c r="W53" s="1"/>
      <c r="X53" s="1"/>
      <c r="Y53" s="1"/>
      <c r="Z53" s="1"/>
      <c r="AA53" s="1"/>
      <c r="AB53" s="1"/>
    </row>
    <row r="54">
      <c r="A54" s="1"/>
      <c r="B54" s="65" t="s">
        <v>31</v>
      </c>
      <c r="C54" s="58"/>
      <c r="D54" s="66">
        <v>75431.0</v>
      </c>
      <c r="E54" s="58"/>
      <c r="F54" s="76" t="s">
        <v>785</v>
      </c>
      <c r="G54" s="77"/>
      <c r="H54" s="153"/>
      <c r="I54" s="77"/>
      <c r="J54" s="65"/>
      <c r="K54" s="70">
        <v>40.0</v>
      </c>
      <c r="L54" s="154"/>
      <c r="M54" s="58"/>
      <c r="N54" s="72" t="s">
        <v>8</v>
      </c>
      <c r="O54" s="72" t="s">
        <v>749</v>
      </c>
      <c r="P54" s="63">
        <f t="shared" si="10"/>
        <v>1899</v>
      </c>
      <c r="Q54" s="1"/>
      <c r="R54" s="1"/>
      <c r="S54" s="133"/>
      <c r="T54" s="133"/>
      <c r="U54" s="133"/>
      <c r="V54" s="1"/>
      <c r="W54" s="1"/>
      <c r="X54" s="1"/>
      <c r="Y54" s="1"/>
      <c r="Z54" s="1"/>
      <c r="AA54" s="1"/>
      <c r="AB54" s="1"/>
    </row>
    <row r="55">
      <c r="A55" s="1"/>
      <c r="B55" s="65" t="s">
        <v>31</v>
      </c>
      <c r="C55" s="58"/>
      <c r="D55" s="152">
        <v>75453.0</v>
      </c>
      <c r="E55" s="58"/>
      <c r="F55" s="76" t="s">
        <v>786</v>
      </c>
      <c r="G55" s="77"/>
      <c r="H55" s="153"/>
      <c r="I55" s="77"/>
      <c r="J55" s="69">
        <v>2026.0</v>
      </c>
      <c r="K55" s="70">
        <v>199.0</v>
      </c>
      <c r="L55" s="154"/>
      <c r="M55" s="58"/>
      <c r="N55" s="72" t="s">
        <v>8</v>
      </c>
      <c r="O55" s="72" t="s">
        <v>749</v>
      </c>
      <c r="P55" s="63">
        <f t="shared" si="10"/>
        <v>1905</v>
      </c>
      <c r="Q55" s="1"/>
      <c r="R55" s="1"/>
      <c r="S55" s="133"/>
      <c r="T55" s="133"/>
      <c r="U55" s="133"/>
      <c r="V55" s="1"/>
      <c r="W55" s="1"/>
      <c r="X55" s="1"/>
      <c r="Y55" s="1"/>
      <c r="Z55" s="1"/>
      <c r="AA55" s="1"/>
      <c r="AB55" s="1"/>
    </row>
    <row r="56">
      <c r="A56" s="1"/>
      <c r="B56" s="65"/>
      <c r="C56" s="58"/>
      <c r="D56" s="152"/>
      <c r="E56" s="58"/>
      <c r="F56" s="76"/>
      <c r="G56" s="77"/>
      <c r="H56" s="153"/>
      <c r="I56" s="77"/>
      <c r="J56" s="69"/>
      <c r="K56" s="70"/>
      <c r="L56" s="154"/>
      <c r="M56" s="58"/>
      <c r="N56" s="72"/>
      <c r="O56" s="72"/>
      <c r="P56" s="63">
        <f t="shared" si="10"/>
        <v>1899</v>
      </c>
      <c r="Q56" s="1"/>
      <c r="R56" s="1"/>
      <c r="S56" s="133"/>
      <c r="T56" s="133"/>
      <c r="U56" s="133"/>
      <c r="V56" s="1"/>
      <c r="W56" s="1"/>
      <c r="X56" s="1"/>
      <c r="Y56" s="1"/>
      <c r="Z56" s="1"/>
      <c r="AA56" s="1"/>
      <c r="AB56" s="1"/>
    </row>
    <row r="57">
      <c r="A57" s="1"/>
      <c r="B57" s="65"/>
      <c r="C57" s="58"/>
      <c r="D57" s="152"/>
      <c r="E57" s="58"/>
      <c r="F57" s="76"/>
      <c r="G57" s="77"/>
      <c r="H57" s="153"/>
      <c r="I57" s="77"/>
      <c r="J57" s="69"/>
      <c r="K57" s="70"/>
      <c r="L57" s="154"/>
      <c r="M57" s="58"/>
      <c r="N57" s="72"/>
      <c r="O57" s="72"/>
      <c r="P57" s="63">
        <f t="shared" si="10"/>
        <v>1899</v>
      </c>
      <c r="Q57" s="1"/>
      <c r="R57" s="1"/>
      <c r="S57" s="133"/>
      <c r="T57" s="133"/>
      <c r="U57" s="133"/>
      <c r="V57" s="1"/>
      <c r="W57" s="1"/>
      <c r="X57" s="1"/>
      <c r="Y57" s="1"/>
      <c r="Z57" s="1"/>
      <c r="AA57" s="1"/>
      <c r="AB57" s="1"/>
    </row>
    <row r="58">
      <c r="A58" s="1"/>
      <c r="B58" s="65"/>
      <c r="C58" s="58"/>
      <c r="D58" s="152"/>
      <c r="E58" s="58"/>
      <c r="F58" s="76"/>
      <c r="G58" s="77"/>
      <c r="H58" s="153"/>
      <c r="I58" s="77"/>
      <c r="J58" s="69"/>
      <c r="K58" s="70"/>
      <c r="L58" s="154"/>
      <c r="M58" s="58"/>
      <c r="N58" s="72"/>
      <c r="O58" s="72"/>
      <c r="P58" s="63">
        <f t="shared" si="10"/>
        <v>1899</v>
      </c>
      <c r="Q58" s="1"/>
      <c r="R58" s="1"/>
      <c r="S58" s="133"/>
      <c r="T58" s="133"/>
      <c r="U58" s="133"/>
      <c r="V58" s="1"/>
      <c r="W58" s="1"/>
      <c r="X58" s="1"/>
      <c r="Y58" s="1"/>
      <c r="Z58" s="1"/>
      <c r="AA58" s="1"/>
      <c r="AB58" s="1"/>
    </row>
    <row r="59">
      <c r="A59" s="1"/>
      <c r="B59" s="65" t="s">
        <v>12</v>
      </c>
      <c r="C59" s="58"/>
      <c r="D59" s="152"/>
      <c r="E59" s="58"/>
      <c r="F59" s="76" t="s">
        <v>787</v>
      </c>
      <c r="G59" s="77"/>
      <c r="H59" s="153"/>
      <c r="I59" s="77"/>
      <c r="J59" s="65"/>
      <c r="K59" s="70"/>
      <c r="L59" s="154"/>
      <c r="M59" s="58"/>
      <c r="N59" s="72"/>
      <c r="O59" s="72"/>
      <c r="P59" s="63">
        <f t="shared" si="10"/>
        <v>1899</v>
      </c>
      <c r="Q59" s="1"/>
      <c r="R59" s="1"/>
      <c r="S59" s="133"/>
      <c r="T59" s="133"/>
      <c r="U59" s="133"/>
      <c r="V59" s="1"/>
      <c r="W59" s="1"/>
      <c r="X59" s="1"/>
      <c r="Y59" s="1"/>
      <c r="Z59" s="1"/>
      <c r="AA59" s="1"/>
      <c r="AB59" s="1"/>
    </row>
    <row r="60">
      <c r="A60" s="1"/>
      <c r="B60" s="65"/>
      <c r="C60" s="58"/>
      <c r="D60" s="152"/>
      <c r="E60" s="58"/>
      <c r="F60" s="76"/>
      <c r="G60" s="77"/>
      <c r="H60" s="153"/>
      <c r="I60" s="77"/>
      <c r="J60" s="65"/>
      <c r="K60" s="70"/>
      <c r="L60" s="154"/>
      <c r="M60" s="58"/>
      <c r="N60" s="72"/>
      <c r="O60" s="72"/>
      <c r="P60" s="63">
        <f t="shared" si="10"/>
        <v>1899</v>
      </c>
      <c r="Q60" s="1"/>
      <c r="R60" s="1"/>
      <c r="S60" s="133"/>
      <c r="T60" s="133"/>
      <c r="U60" s="133"/>
      <c r="V60" s="1"/>
      <c r="W60" s="1"/>
      <c r="X60" s="1"/>
      <c r="Y60" s="1"/>
      <c r="Z60" s="1"/>
      <c r="AA60" s="1"/>
      <c r="AB60" s="1"/>
    </row>
    <row r="61">
      <c r="A61" s="1"/>
      <c r="B61" s="65"/>
      <c r="C61" s="58"/>
      <c r="D61" s="152"/>
      <c r="E61" s="58"/>
      <c r="F61" s="76"/>
      <c r="G61" s="77"/>
      <c r="H61" s="153"/>
      <c r="I61" s="77"/>
      <c r="J61" s="69"/>
      <c r="K61" s="70"/>
      <c r="L61" s="154"/>
      <c r="M61" s="58"/>
      <c r="N61" s="72"/>
      <c r="O61" s="72"/>
      <c r="P61" s="63">
        <f t="shared" si="10"/>
        <v>1899</v>
      </c>
      <c r="Q61" s="1"/>
      <c r="R61" s="1"/>
      <c r="S61" s="133"/>
      <c r="T61" s="133"/>
      <c r="U61" s="133"/>
      <c r="V61" s="1"/>
      <c r="W61" s="1"/>
      <c r="X61" s="1"/>
      <c r="Y61" s="1"/>
      <c r="Z61" s="1"/>
      <c r="AA61" s="1"/>
      <c r="AB61" s="1"/>
    </row>
    <row r="62">
      <c r="A62" s="1"/>
      <c r="B62" s="65"/>
      <c r="C62" s="58"/>
      <c r="D62" s="152"/>
      <c r="E62" s="58"/>
      <c r="F62" s="76"/>
      <c r="G62" s="77"/>
      <c r="H62" s="153"/>
      <c r="I62" s="77"/>
      <c r="J62" s="69"/>
      <c r="K62" s="70"/>
      <c r="L62" s="154"/>
      <c r="M62" s="58"/>
      <c r="N62" s="72"/>
      <c r="O62" s="72"/>
      <c r="P62" s="63">
        <f t="shared" si="10"/>
        <v>1899</v>
      </c>
      <c r="Q62" s="1"/>
      <c r="R62" s="1"/>
      <c r="S62" s="133"/>
      <c r="T62" s="133"/>
      <c r="U62" s="133"/>
      <c r="V62" s="1"/>
      <c r="W62" s="1"/>
      <c r="X62" s="1"/>
      <c r="Y62" s="1"/>
      <c r="Z62" s="1"/>
      <c r="AA62" s="1"/>
      <c r="AB62" s="1"/>
    </row>
    <row r="63">
      <c r="A63" s="1"/>
      <c r="B63" s="65"/>
      <c r="C63" s="58"/>
      <c r="D63" s="152"/>
      <c r="E63" s="58"/>
      <c r="F63" s="76"/>
      <c r="G63" s="77"/>
      <c r="H63" s="153"/>
      <c r="I63" s="77"/>
      <c r="J63" s="69"/>
      <c r="K63" s="70"/>
      <c r="L63" s="154"/>
      <c r="M63" s="58"/>
      <c r="N63" s="72"/>
      <c r="O63" s="72"/>
      <c r="P63" s="63">
        <f t="shared" si="10"/>
        <v>1899</v>
      </c>
      <c r="Q63" s="1"/>
      <c r="R63" s="1"/>
      <c r="S63" s="133"/>
      <c r="T63" s="133"/>
      <c r="U63" s="133"/>
      <c r="V63" s="1"/>
      <c r="W63" s="1"/>
      <c r="X63" s="1"/>
      <c r="Y63" s="1"/>
      <c r="Z63" s="1"/>
      <c r="AA63" s="1"/>
      <c r="AB63" s="1"/>
    </row>
    <row r="64">
      <c r="A64" s="1"/>
      <c r="B64" s="65"/>
      <c r="C64" s="58"/>
      <c r="D64" s="152"/>
      <c r="E64" s="58"/>
      <c r="F64" s="76"/>
      <c r="G64" s="77"/>
      <c r="H64" s="153"/>
      <c r="I64" s="77"/>
      <c r="J64" s="69"/>
      <c r="K64" s="70"/>
      <c r="L64" s="154"/>
      <c r="M64" s="58"/>
      <c r="N64" s="72"/>
      <c r="O64" s="72"/>
      <c r="P64" s="63">
        <f t="shared" si="10"/>
        <v>1899</v>
      </c>
      <c r="Q64" s="1"/>
      <c r="R64" s="1"/>
      <c r="S64" s="133"/>
      <c r="T64" s="133"/>
      <c r="U64" s="133"/>
      <c r="V64" s="1"/>
      <c r="W64" s="1"/>
      <c r="X64" s="1"/>
      <c r="Y64" s="1"/>
      <c r="Z64" s="1"/>
      <c r="AA64" s="1"/>
      <c r="AB64" s="1"/>
    </row>
    <row r="65">
      <c r="A65" s="1"/>
      <c r="B65" s="65"/>
      <c r="C65" s="58"/>
      <c r="D65" s="152"/>
      <c r="E65" s="58"/>
      <c r="F65" s="76"/>
      <c r="G65" s="77"/>
      <c r="H65" s="153"/>
      <c r="I65" s="77"/>
      <c r="J65" s="69"/>
      <c r="K65" s="70"/>
      <c r="L65" s="154"/>
      <c r="M65" s="58"/>
      <c r="N65" s="72"/>
      <c r="O65" s="72"/>
      <c r="P65" s="63">
        <f t="shared" si="10"/>
        <v>1899</v>
      </c>
      <c r="Q65" s="1"/>
      <c r="R65" s="1"/>
      <c r="S65" s="133"/>
      <c r="T65" s="133"/>
      <c r="U65" s="133"/>
      <c r="V65" s="1"/>
      <c r="W65" s="1"/>
      <c r="X65" s="1"/>
      <c r="Y65" s="1"/>
      <c r="Z65" s="1"/>
      <c r="AA65" s="1"/>
      <c r="AB65" s="1"/>
    </row>
    <row r="66">
      <c r="A66" s="1"/>
      <c r="B66" s="65"/>
      <c r="C66" s="58"/>
      <c r="D66" s="152"/>
      <c r="E66" s="58"/>
      <c r="F66" s="76"/>
      <c r="G66" s="77"/>
      <c r="H66" s="153"/>
      <c r="I66" s="77"/>
      <c r="J66" s="69"/>
      <c r="K66" s="70"/>
      <c r="L66" s="154"/>
      <c r="M66" s="58"/>
      <c r="N66" s="72"/>
      <c r="O66" s="72"/>
      <c r="P66" s="63">
        <f t="shared" si="10"/>
        <v>1899</v>
      </c>
      <c r="Q66" s="1"/>
      <c r="R66" s="1"/>
      <c r="S66" s="133"/>
      <c r="T66" s="133"/>
      <c r="U66" s="133"/>
      <c r="V66" s="1"/>
      <c r="W66" s="1"/>
      <c r="X66" s="1"/>
      <c r="Y66" s="1"/>
      <c r="Z66" s="1"/>
      <c r="AA66" s="1"/>
      <c r="AB66" s="1"/>
    </row>
    <row r="67">
      <c r="A67" s="1"/>
      <c r="B67" s="65"/>
      <c r="C67" s="58"/>
      <c r="D67" s="152"/>
      <c r="E67" s="58"/>
      <c r="F67" s="76"/>
      <c r="G67" s="77"/>
      <c r="H67" s="153"/>
      <c r="I67" s="77"/>
      <c r="J67" s="69"/>
      <c r="K67" s="70"/>
      <c r="L67" s="154"/>
      <c r="M67" s="58"/>
      <c r="N67" s="72"/>
      <c r="O67" s="72"/>
      <c r="P67" s="63">
        <f t="shared" si="10"/>
        <v>1899</v>
      </c>
      <c r="Q67" s="1"/>
      <c r="R67" s="1"/>
      <c r="S67" s="133"/>
      <c r="T67" s="133"/>
      <c r="U67" s="133"/>
      <c r="V67" s="1"/>
      <c r="W67" s="1"/>
      <c r="X67" s="1"/>
      <c r="Y67" s="1"/>
      <c r="Z67" s="1"/>
      <c r="AA67" s="1"/>
      <c r="AB67" s="1"/>
    </row>
    <row r="68">
      <c r="A68" s="1"/>
      <c r="B68" s="65"/>
      <c r="C68" s="58"/>
      <c r="D68" s="152"/>
      <c r="E68" s="58"/>
      <c r="F68" s="76"/>
      <c r="G68" s="77"/>
      <c r="H68" s="153"/>
      <c r="I68" s="77"/>
      <c r="J68" s="69"/>
      <c r="K68" s="70"/>
      <c r="L68" s="154"/>
      <c r="M68" s="58"/>
      <c r="N68" s="72"/>
      <c r="O68" s="72"/>
      <c r="P68" s="63">
        <f t="shared" si="10"/>
        <v>1899</v>
      </c>
      <c r="Q68" s="1"/>
      <c r="R68" s="1"/>
      <c r="S68" s="133"/>
      <c r="T68" s="133"/>
      <c r="U68" s="133"/>
      <c r="V68" s="1"/>
      <c r="W68" s="1"/>
      <c r="X68" s="1"/>
      <c r="Y68" s="1"/>
      <c r="Z68" s="1"/>
      <c r="AA68" s="1"/>
      <c r="AB68" s="1"/>
    </row>
    <row r="69">
      <c r="A69" s="1"/>
      <c r="B69" s="65"/>
      <c r="C69" s="58"/>
      <c r="D69" s="152"/>
      <c r="E69" s="58"/>
      <c r="F69" s="76"/>
      <c r="G69" s="77"/>
      <c r="H69" s="153"/>
      <c r="I69" s="77"/>
      <c r="J69" s="69"/>
      <c r="K69" s="70"/>
      <c r="L69" s="154"/>
      <c r="M69" s="58"/>
      <c r="N69" s="72"/>
      <c r="O69" s="72"/>
      <c r="P69" s="63">
        <f t="shared" si="10"/>
        <v>1899</v>
      </c>
      <c r="Q69" s="1"/>
      <c r="R69" s="1"/>
      <c r="S69" s="133"/>
      <c r="T69" s="133"/>
      <c r="U69" s="133"/>
      <c r="V69" s="1"/>
      <c r="W69" s="1"/>
      <c r="X69" s="1"/>
      <c r="Y69" s="1"/>
      <c r="Z69" s="1"/>
      <c r="AA69" s="1"/>
      <c r="AB69" s="1"/>
    </row>
    <row r="70">
      <c r="A70" s="1"/>
      <c r="B70" s="65"/>
      <c r="C70" s="58"/>
      <c r="D70" s="152"/>
      <c r="E70" s="58"/>
      <c r="F70" s="76"/>
      <c r="G70" s="77"/>
      <c r="H70" s="153"/>
      <c r="I70" s="77"/>
      <c r="J70" s="69"/>
      <c r="K70" s="70"/>
      <c r="L70" s="154"/>
      <c r="M70" s="58"/>
      <c r="N70" s="72"/>
      <c r="O70" s="72"/>
      <c r="P70" s="63">
        <f t="shared" si="10"/>
        <v>1899</v>
      </c>
      <c r="Q70" s="1"/>
      <c r="R70" s="1"/>
      <c r="S70" s="133"/>
      <c r="T70" s="133"/>
      <c r="U70" s="133"/>
      <c r="V70" s="1"/>
      <c r="W70" s="1"/>
      <c r="X70" s="1"/>
      <c r="Y70" s="1"/>
      <c r="Z70" s="1"/>
      <c r="AA70" s="1"/>
      <c r="AB70" s="1"/>
    </row>
    <row r="71">
      <c r="A71" s="1"/>
      <c r="B71" s="65"/>
      <c r="C71" s="58"/>
      <c r="D71" s="152"/>
      <c r="E71" s="58"/>
      <c r="F71" s="76"/>
      <c r="G71" s="77"/>
      <c r="H71" s="153"/>
      <c r="I71" s="77"/>
      <c r="J71" s="69"/>
      <c r="K71" s="70"/>
      <c r="L71" s="154"/>
      <c r="M71" s="58"/>
      <c r="N71" s="72"/>
      <c r="O71" s="72"/>
      <c r="P71" s="63">
        <f t="shared" si="10"/>
        <v>1899</v>
      </c>
      <c r="Q71" s="1"/>
      <c r="R71" s="1"/>
      <c r="S71" s="133"/>
      <c r="T71" s="133"/>
      <c r="U71" s="133"/>
      <c r="V71" s="1"/>
      <c r="W71" s="1"/>
      <c r="X71" s="1"/>
      <c r="Y71" s="1"/>
      <c r="Z71" s="1"/>
      <c r="AA71" s="1"/>
      <c r="AB71" s="1"/>
    </row>
    <row r="72">
      <c r="A72" s="1"/>
      <c r="B72" s="65"/>
      <c r="C72" s="58"/>
      <c r="D72" s="152"/>
      <c r="E72" s="58"/>
      <c r="F72" s="76"/>
      <c r="G72" s="77"/>
      <c r="H72" s="153"/>
      <c r="I72" s="77"/>
      <c r="J72" s="69"/>
      <c r="K72" s="70"/>
      <c r="L72" s="154"/>
      <c r="M72" s="58"/>
      <c r="N72" s="72"/>
      <c r="O72" s="72"/>
      <c r="P72" s="63">
        <f t="shared" si="10"/>
        <v>1899</v>
      </c>
      <c r="Q72" s="1"/>
      <c r="R72" s="1"/>
      <c r="S72" s="133"/>
      <c r="T72" s="133"/>
      <c r="U72" s="133"/>
      <c r="V72" s="1"/>
      <c r="W72" s="1"/>
      <c r="X72" s="1"/>
      <c r="Y72" s="1"/>
      <c r="Z72" s="1"/>
      <c r="AA72" s="1"/>
      <c r="AB72" s="1"/>
    </row>
    <row r="73">
      <c r="A73" s="1"/>
      <c r="B73" s="65"/>
      <c r="C73" s="58"/>
      <c r="D73" s="152"/>
      <c r="E73" s="58"/>
      <c r="F73" s="76"/>
      <c r="G73" s="77"/>
      <c r="H73" s="153"/>
      <c r="I73" s="77"/>
      <c r="J73" s="69"/>
      <c r="K73" s="70"/>
      <c r="L73" s="154"/>
      <c r="M73" s="58"/>
      <c r="N73" s="72"/>
      <c r="O73" s="72"/>
      <c r="P73" s="63">
        <f t="shared" si="10"/>
        <v>1899</v>
      </c>
      <c r="Q73" s="1"/>
      <c r="R73" s="1"/>
      <c r="S73" s="133"/>
      <c r="T73" s="133"/>
      <c r="U73" s="133"/>
      <c r="V73" s="1"/>
      <c r="W73" s="1"/>
      <c r="X73" s="1"/>
      <c r="Y73" s="1"/>
      <c r="Z73" s="1"/>
      <c r="AA73" s="1"/>
      <c r="AB73" s="1"/>
    </row>
    <row r="74">
      <c r="A74" s="1"/>
      <c r="B74" s="65"/>
      <c r="C74" s="58"/>
      <c r="D74" s="152"/>
      <c r="E74" s="58"/>
      <c r="F74" s="76"/>
      <c r="G74" s="77"/>
      <c r="H74" s="153"/>
      <c r="I74" s="77"/>
      <c r="J74" s="69"/>
      <c r="K74" s="70"/>
      <c r="L74" s="154"/>
      <c r="M74" s="58"/>
      <c r="N74" s="72"/>
      <c r="O74" s="72"/>
      <c r="P74" s="63">
        <f t="shared" si="10"/>
        <v>1899</v>
      </c>
      <c r="Q74" s="1"/>
      <c r="R74" s="1"/>
      <c r="S74" s="133"/>
      <c r="T74" s="133"/>
      <c r="U74" s="133"/>
      <c r="V74" s="1"/>
      <c r="W74" s="1"/>
      <c r="X74" s="1"/>
      <c r="Y74" s="1"/>
      <c r="Z74" s="1"/>
      <c r="AA74" s="1"/>
      <c r="AB74" s="1"/>
    </row>
    <row r="75">
      <c r="A75" s="1"/>
      <c r="B75" s="65"/>
      <c r="C75" s="58"/>
      <c r="D75" s="152"/>
      <c r="E75" s="58"/>
      <c r="F75" s="76"/>
      <c r="G75" s="77"/>
      <c r="H75" s="153"/>
      <c r="I75" s="77"/>
      <c r="J75" s="69"/>
      <c r="K75" s="70"/>
      <c r="L75" s="154"/>
      <c r="M75" s="58"/>
      <c r="N75" s="72"/>
      <c r="O75" s="72"/>
      <c r="P75" s="63">
        <f t="shared" si="10"/>
        <v>1899</v>
      </c>
      <c r="Q75" s="1"/>
      <c r="R75" s="1"/>
      <c r="S75" s="133"/>
      <c r="T75" s="133"/>
      <c r="U75" s="133"/>
      <c r="V75" s="1"/>
      <c r="W75" s="1"/>
      <c r="X75" s="1"/>
      <c r="Y75" s="1"/>
      <c r="Z75" s="1"/>
      <c r="AA75" s="1"/>
      <c r="AB75" s="1"/>
    </row>
    <row r="76">
      <c r="A76" s="1"/>
      <c r="B76" s="65"/>
      <c r="C76" s="58"/>
      <c r="D76" s="152"/>
      <c r="E76" s="58"/>
      <c r="F76" s="76"/>
      <c r="G76" s="77"/>
      <c r="H76" s="153"/>
      <c r="I76" s="77"/>
      <c r="J76" s="69"/>
      <c r="K76" s="70"/>
      <c r="L76" s="154"/>
      <c r="M76" s="58"/>
      <c r="N76" s="72"/>
      <c r="O76" s="72"/>
      <c r="P76" s="63">
        <f t="shared" si="10"/>
        <v>1899</v>
      </c>
      <c r="Q76" s="1"/>
      <c r="R76" s="1"/>
      <c r="S76" s="133"/>
      <c r="T76" s="133"/>
      <c r="U76" s="133"/>
      <c r="V76" s="1"/>
      <c r="W76" s="1"/>
      <c r="X76" s="1"/>
      <c r="Y76" s="1"/>
      <c r="Z76" s="1"/>
      <c r="AA76" s="1"/>
      <c r="AB76" s="1"/>
    </row>
    <row r="77">
      <c r="A77" s="1"/>
      <c r="B77" s="65"/>
      <c r="C77" s="58"/>
      <c r="D77" s="152"/>
      <c r="E77" s="58"/>
      <c r="F77" s="76"/>
      <c r="G77" s="77"/>
      <c r="H77" s="153"/>
      <c r="I77" s="77"/>
      <c r="J77" s="69"/>
      <c r="K77" s="70"/>
      <c r="L77" s="154"/>
      <c r="M77" s="58"/>
      <c r="N77" s="72"/>
      <c r="O77" s="72"/>
      <c r="P77" s="63">
        <f t="shared" si="10"/>
        <v>1899</v>
      </c>
      <c r="Q77" s="1"/>
      <c r="R77" s="1"/>
      <c r="S77" s="133"/>
      <c r="T77" s="133"/>
      <c r="U77" s="133"/>
      <c r="V77" s="1"/>
      <c r="W77" s="1"/>
      <c r="X77" s="1"/>
      <c r="Y77" s="1"/>
      <c r="Z77" s="1"/>
      <c r="AA77" s="1"/>
      <c r="AB77" s="1"/>
    </row>
    <row r="78">
      <c r="A78" s="1"/>
      <c r="B78" s="65"/>
      <c r="C78" s="58"/>
      <c r="D78" s="152"/>
      <c r="E78" s="58"/>
      <c r="F78" s="76"/>
      <c r="G78" s="77"/>
      <c r="H78" s="153"/>
      <c r="I78" s="77"/>
      <c r="J78" s="69"/>
      <c r="K78" s="70"/>
      <c r="L78" s="154"/>
      <c r="M78" s="58"/>
      <c r="N78" s="72"/>
      <c r="O78" s="72"/>
      <c r="P78" s="63">
        <f t="shared" si="10"/>
        <v>1899</v>
      </c>
      <c r="Q78" s="1"/>
      <c r="R78" s="1"/>
      <c r="S78" s="133"/>
      <c r="T78" s="133"/>
      <c r="U78" s="133"/>
      <c r="V78" s="1"/>
      <c r="W78" s="1"/>
      <c r="X78" s="1"/>
      <c r="Y78" s="1"/>
      <c r="Z78" s="1"/>
      <c r="AA78" s="1"/>
      <c r="AB78" s="1"/>
    </row>
    <row r="79">
      <c r="A79" s="1"/>
      <c r="B79" s="65"/>
      <c r="C79" s="58"/>
      <c r="D79" s="152"/>
      <c r="E79" s="58"/>
      <c r="F79" s="76"/>
      <c r="G79" s="77"/>
      <c r="H79" s="153"/>
      <c r="I79" s="77"/>
      <c r="J79" s="69"/>
      <c r="K79" s="70"/>
      <c r="L79" s="154"/>
      <c r="M79" s="58"/>
      <c r="N79" s="72"/>
      <c r="O79" s="72"/>
      <c r="P79" s="63">
        <f t="shared" si="10"/>
        <v>1899</v>
      </c>
      <c r="Q79" s="1"/>
      <c r="R79" s="1"/>
      <c r="S79" s="133"/>
      <c r="T79" s="133"/>
      <c r="U79" s="133"/>
      <c r="V79" s="1"/>
      <c r="W79" s="1"/>
      <c r="X79" s="1"/>
      <c r="Y79" s="1"/>
      <c r="Z79" s="1"/>
      <c r="AA79" s="1"/>
      <c r="AB79" s="1"/>
    </row>
    <row r="80">
      <c r="A80" s="1"/>
      <c r="B80" s="65"/>
      <c r="C80" s="58"/>
      <c r="D80" s="152"/>
      <c r="E80" s="58"/>
      <c r="F80" s="76"/>
      <c r="G80" s="77"/>
      <c r="H80" s="153"/>
      <c r="I80" s="77"/>
      <c r="J80" s="69"/>
      <c r="K80" s="70"/>
      <c r="L80" s="154"/>
      <c r="M80" s="58"/>
      <c r="N80" s="72"/>
      <c r="O80" s="72"/>
      <c r="P80" s="63">
        <f t="shared" si="10"/>
        <v>1899</v>
      </c>
      <c r="Q80" s="1"/>
      <c r="R80" s="1"/>
      <c r="S80" s="133"/>
      <c r="T80" s="133"/>
      <c r="U80" s="133"/>
      <c r="V80" s="1"/>
      <c r="W80" s="1"/>
      <c r="X80" s="1"/>
      <c r="Y80" s="1"/>
      <c r="Z80" s="1"/>
      <c r="AA80" s="1"/>
      <c r="AB80" s="1"/>
    </row>
    <row r="81">
      <c r="A81" s="1"/>
      <c r="B81" s="65"/>
      <c r="C81" s="58"/>
      <c r="D81" s="152"/>
      <c r="E81" s="58"/>
      <c r="F81" s="76"/>
      <c r="G81" s="77"/>
      <c r="H81" s="153"/>
      <c r="I81" s="77"/>
      <c r="J81" s="69"/>
      <c r="K81" s="70"/>
      <c r="L81" s="154"/>
      <c r="M81" s="58"/>
      <c r="N81" s="72"/>
      <c r="O81" s="72"/>
      <c r="P81" s="63">
        <f t="shared" si="10"/>
        <v>1899</v>
      </c>
      <c r="Q81" s="1"/>
      <c r="R81" s="1"/>
      <c r="S81" s="133"/>
      <c r="T81" s="133"/>
      <c r="U81" s="133"/>
      <c r="V81" s="1"/>
      <c r="W81" s="1"/>
      <c r="X81" s="1"/>
      <c r="Y81" s="1"/>
      <c r="Z81" s="1"/>
      <c r="AA81" s="1"/>
      <c r="AB81" s="1"/>
    </row>
    <row r="82">
      <c r="A82" s="1"/>
      <c r="B82" s="65"/>
      <c r="C82" s="58"/>
      <c r="D82" s="152"/>
      <c r="E82" s="58"/>
      <c r="F82" s="76"/>
      <c r="G82" s="77"/>
      <c r="H82" s="153"/>
      <c r="I82" s="77"/>
      <c r="J82" s="69"/>
      <c r="K82" s="70"/>
      <c r="L82" s="154"/>
      <c r="M82" s="58"/>
      <c r="N82" s="72"/>
      <c r="O82" s="72"/>
      <c r="P82" s="63">
        <f t="shared" si="10"/>
        <v>1899</v>
      </c>
      <c r="Q82" s="1"/>
      <c r="R82" s="1"/>
      <c r="S82" s="133"/>
      <c r="T82" s="133"/>
      <c r="U82" s="133"/>
      <c r="V82" s="1"/>
      <c r="W82" s="1"/>
      <c r="X82" s="1"/>
      <c r="Y82" s="1"/>
      <c r="Z82" s="1"/>
      <c r="AA82" s="1"/>
      <c r="AB82" s="1"/>
    </row>
    <row r="83">
      <c r="A83" s="1"/>
      <c r="B83" s="65"/>
      <c r="C83" s="58"/>
      <c r="D83" s="152"/>
      <c r="E83" s="58"/>
      <c r="F83" s="76"/>
      <c r="G83" s="77"/>
      <c r="H83" s="153"/>
      <c r="I83" s="77"/>
      <c r="J83" s="69"/>
      <c r="K83" s="70"/>
      <c r="L83" s="154"/>
      <c r="M83" s="58"/>
      <c r="N83" s="72"/>
      <c r="O83" s="72"/>
      <c r="P83" s="63">
        <f t="shared" si="10"/>
        <v>1899</v>
      </c>
      <c r="Q83" s="1"/>
      <c r="R83" s="1"/>
      <c r="S83" s="133"/>
      <c r="T83" s="133"/>
      <c r="U83" s="133"/>
      <c r="V83" s="1"/>
      <c r="W83" s="1"/>
      <c r="X83" s="1"/>
      <c r="Y83" s="1"/>
      <c r="Z83" s="1"/>
      <c r="AA83" s="1"/>
      <c r="AB83" s="1"/>
    </row>
    <row r="84">
      <c r="A84" s="1"/>
      <c r="B84" s="65"/>
      <c r="C84" s="58"/>
      <c r="D84" s="152"/>
      <c r="E84" s="58"/>
      <c r="F84" s="76"/>
      <c r="G84" s="77"/>
      <c r="H84" s="153"/>
      <c r="I84" s="77"/>
      <c r="J84" s="69"/>
      <c r="K84" s="70"/>
      <c r="L84" s="154"/>
      <c r="M84" s="58"/>
      <c r="N84" s="72"/>
      <c r="O84" s="72"/>
      <c r="P84" s="63">
        <f t="shared" si="10"/>
        <v>1899</v>
      </c>
      <c r="Q84" s="1"/>
      <c r="R84" s="1"/>
      <c r="S84" s="133"/>
      <c r="T84" s="133"/>
      <c r="U84" s="133"/>
      <c r="V84" s="1"/>
      <c r="W84" s="1"/>
      <c r="X84" s="1"/>
      <c r="Y84" s="1"/>
      <c r="Z84" s="1"/>
      <c r="AA84" s="1"/>
      <c r="AB84" s="1"/>
    </row>
    <row r="85">
      <c r="A85" s="1"/>
      <c r="B85" s="65"/>
      <c r="C85" s="58"/>
      <c r="D85" s="152"/>
      <c r="E85" s="58"/>
      <c r="F85" s="76"/>
      <c r="G85" s="77"/>
      <c r="H85" s="153"/>
      <c r="I85" s="77"/>
      <c r="J85" s="69"/>
      <c r="K85" s="70"/>
      <c r="L85" s="154"/>
      <c r="M85" s="58"/>
      <c r="N85" s="72"/>
      <c r="O85" s="72"/>
      <c r="P85" s="63">
        <f t="shared" si="10"/>
        <v>1899</v>
      </c>
      <c r="Q85" s="1"/>
      <c r="R85" s="1"/>
      <c r="S85" s="133"/>
      <c r="T85" s="133"/>
      <c r="U85" s="133"/>
      <c r="V85" s="1"/>
      <c r="W85" s="1"/>
      <c r="X85" s="1"/>
      <c r="Y85" s="1"/>
      <c r="Z85" s="1"/>
      <c r="AA85" s="1"/>
      <c r="AB85" s="1"/>
    </row>
    <row r="86">
      <c r="A86" s="1"/>
      <c r="B86" s="65"/>
      <c r="C86" s="58"/>
      <c r="D86" s="152"/>
      <c r="E86" s="58"/>
      <c r="F86" s="76"/>
      <c r="G86" s="77"/>
      <c r="H86" s="153"/>
      <c r="I86" s="77"/>
      <c r="J86" s="69"/>
      <c r="K86" s="70"/>
      <c r="L86" s="154"/>
      <c r="M86" s="58"/>
      <c r="N86" s="72"/>
      <c r="O86" s="72"/>
      <c r="P86" s="63">
        <f t="shared" si="10"/>
        <v>1899</v>
      </c>
      <c r="Q86" s="1"/>
      <c r="R86" s="1"/>
      <c r="S86" s="133"/>
      <c r="T86" s="133"/>
      <c r="U86" s="133"/>
      <c r="V86" s="1"/>
      <c r="W86" s="1"/>
      <c r="X86" s="1"/>
      <c r="Y86" s="1"/>
      <c r="Z86" s="1"/>
      <c r="AA86" s="1"/>
      <c r="AB86" s="1"/>
    </row>
    <row r="87">
      <c r="A87" s="1"/>
      <c r="B87" s="65"/>
      <c r="C87" s="58"/>
      <c r="D87" s="152"/>
      <c r="E87" s="58"/>
      <c r="F87" s="76"/>
      <c r="G87" s="77"/>
      <c r="H87" s="153"/>
      <c r="I87" s="77"/>
      <c r="J87" s="69"/>
      <c r="K87" s="70"/>
      <c r="L87" s="154"/>
      <c r="M87" s="58"/>
      <c r="N87" s="72"/>
      <c r="O87" s="72"/>
      <c r="P87" s="63">
        <f t="shared" si="10"/>
        <v>1899</v>
      </c>
      <c r="Q87" s="1"/>
      <c r="R87" s="1"/>
      <c r="S87" s="133"/>
      <c r="T87" s="133"/>
      <c r="U87" s="133"/>
      <c r="V87" s="1"/>
      <c r="W87" s="1"/>
      <c r="X87" s="1"/>
      <c r="Y87" s="1"/>
      <c r="Z87" s="1"/>
      <c r="AA87" s="1"/>
      <c r="AB87" s="1"/>
    </row>
    <row r="88">
      <c r="A88" s="1"/>
      <c r="B88" s="65"/>
      <c r="C88" s="58"/>
      <c r="D88" s="152"/>
      <c r="E88" s="58"/>
      <c r="F88" s="76"/>
      <c r="G88" s="77"/>
      <c r="H88" s="153"/>
      <c r="I88" s="77"/>
      <c r="J88" s="69"/>
      <c r="K88" s="70"/>
      <c r="L88" s="154"/>
      <c r="M88" s="58"/>
      <c r="N88" s="72"/>
      <c r="O88" s="72"/>
      <c r="P88" s="63">
        <f t="shared" si="10"/>
        <v>1899</v>
      </c>
      <c r="Q88" s="1"/>
      <c r="R88" s="1"/>
      <c r="S88" s="133"/>
      <c r="T88" s="133"/>
      <c r="U88" s="133"/>
      <c r="V88" s="1"/>
      <c r="W88" s="1"/>
      <c r="X88" s="1"/>
      <c r="Y88" s="1"/>
      <c r="Z88" s="1"/>
      <c r="AA88" s="1"/>
      <c r="AB88" s="1"/>
    </row>
    <row r="89">
      <c r="A89" s="1"/>
      <c r="B89" s="65"/>
      <c r="C89" s="58"/>
      <c r="D89" s="152"/>
      <c r="E89" s="58"/>
      <c r="F89" s="76"/>
      <c r="G89" s="77"/>
      <c r="H89" s="153"/>
      <c r="I89" s="77"/>
      <c r="J89" s="69"/>
      <c r="K89" s="70"/>
      <c r="L89" s="154"/>
      <c r="M89" s="58"/>
      <c r="N89" s="72"/>
      <c r="O89" s="72"/>
      <c r="P89" s="63">
        <f t="shared" si="10"/>
        <v>1899</v>
      </c>
      <c r="Q89" s="1"/>
      <c r="R89" s="1"/>
      <c r="S89" s="133"/>
      <c r="T89" s="133"/>
      <c r="U89" s="133"/>
      <c r="V89" s="1"/>
      <c r="W89" s="1"/>
      <c r="X89" s="1"/>
      <c r="Y89" s="1"/>
      <c r="Z89" s="1"/>
      <c r="AA89" s="1"/>
      <c r="AB89" s="1"/>
    </row>
    <row r="90">
      <c r="A90" s="1"/>
      <c r="B90" s="65"/>
      <c r="C90" s="58"/>
      <c r="D90" s="152"/>
      <c r="E90" s="58"/>
      <c r="F90" s="76"/>
      <c r="G90" s="77"/>
      <c r="H90" s="153"/>
      <c r="I90" s="77"/>
      <c r="J90" s="69"/>
      <c r="K90" s="70"/>
      <c r="L90" s="154"/>
      <c r="M90" s="58"/>
      <c r="N90" s="72"/>
      <c r="O90" s="72"/>
      <c r="P90" s="63">
        <f t="shared" si="10"/>
        <v>1899</v>
      </c>
      <c r="Q90" s="1"/>
      <c r="R90" s="1"/>
      <c r="S90" s="133"/>
      <c r="T90" s="133"/>
      <c r="U90" s="133"/>
      <c r="V90" s="1"/>
      <c r="W90" s="1"/>
      <c r="X90" s="1"/>
      <c r="Y90" s="1"/>
      <c r="Z90" s="1"/>
      <c r="AA90" s="1"/>
      <c r="AB90" s="1"/>
    </row>
    <row r="91">
      <c r="A91" s="1"/>
      <c r="B91" s="65"/>
      <c r="C91" s="58"/>
      <c r="D91" s="152"/>
      <c r="E91" s="58"/>
      <c r="F91" s="76"/>
      <c r="G91" s="77"/>
      <c r="H91" s="153"/>
      <c r="I91" s="77"/>
      <c r="J91" s="69"/>
      <c r="K91" s="70"/>
      <c r="L91" s="154"/>
      <c r="M91" s="58"/>
      <c r="N91" s="72"/>
      <c r="O91" s="72"/>
      <c r="P91" s="63">
        <f t="shared" si="10"/>
        <v>1899</v>
      </c>
      <c r="Q91" s="1"/>
      <c r="R91" s="1"/>
      <c r="S91" s="133"/>
      <c r="T91" s="133"/>
      <c r="U91" s="133"/>
      <c r="V91" s="1"/>
      <c r="W91" s="1"/>
      <c r="X91" s="1"/>
      <c r="Y91" s="1"/>
      <c r="Z91" s="1"/>
      <c r="AA91" s="1"/>
      <c r="AB91" s="1"/>
    </row>
    <row r="92">
      <c r="A92" s="1"/>
      <c r="B92" s="65"/>
      <c r="C92" s="58"/>
      <c r="D92" s="152"/>
      <c r="E92" s="58"/>
      <c r="F92" s="76"/>
      <c r="G92" s="77"/>
      <c r="H92" s="153"/>
      <c r="I92" s="77"/>
      <c r="J92" s="69"/>
      <c r="K92" s="70"/>
      <c r="L92" s="154"/>
      <c r="M92" s="58"/>
      <c r="N92" s="72"/>
      <c r="O92" s="72"/>
      <c r="P92" s="63">
        <f t="shared" si="10"/>
        <v>1899</v>
      </c>
      <c r="Q92" s="1"/>
      <c r="R92" s="1"/>
      <c r="S92" s="133"/>
      <c r="T92" s="133"/>
      <c r="U92" s="133"/>
      <c r="V92" s="1"/>
      <c r="W92" s="1"/>
      <c r="X92" s="1"/>
      <c r="Y92" s="1"/>
      <c r="Z92" s="1"/>
      <c r="AA92" s="1"/>
      <c r="AB92" s="1"/>
    </row>
    <row r="93">
      <c r="A93" s="1"/>
      <c r="B93" s="65"/>
      <c r="C93" s="58"/>
      <c r="D93" s="152"/>
      <c r="E93" s="58"/>
      <c r="F93" s="76"/>
      <c r="G93" s="77"/>
      <c r="H93" s="153"/>
      <c r="I93" s="77"/>
      <c r="J93" s="69"/>
      <c r="K93" s="70"/>
      <c r="L93" s="154"/>
      <c r="M93" s="58"/>
      <c r="N93" s="72"/>
      <c r="O93" s="72"/>
      <c r="P93" s="63">
        <f t="shared" si="10"/>
        <v>1899</v>
      </c>
      <c r="Q93" s="1"/>
      <c r="R93" s="1"/>
      <c r="S93" s="133"/>
      <c r="T93" s="133"/>
      <c r="U93" s="133"/>
      <c r="V93" s="1"/>
      <c r="W93" s="1"/>
      <c r="X93" s="1"/>
      <c r="Y93" s="1"/>
      <c r="Z93" s="1"/>
      <c r="AA93" s="1"/>
      <c r="AB93" s="1"/>
    </row>
    <row r="94">
      <c r="A94" s="1"/>
      <c r="B94" s="65"/>
      <c r="C94" s="58"/>
      <c r="D94" s="152"/>
      <c r="E94" s="58"/>
      <c r="F94" s="76"/>
      <c r="G94" s="77"/>
      <c r="H94" s="153"/>
      <c r="I94" s="77"/>
      <c r="J94" s="69"/>
      <c r="K94" s="70"/>
      <c r="L94" s="154"/>
      <c r="M94" s="58"/>
      <c r="N94" s="72"/>
      <c r="O94" s="72"/>
      <c r="P94" s="63">
        <f t="shared" si="10"/>
        <v>1899</v>
      </c>
      <c r="Q94" s="1"/>
      <c r="R94" s="1"/>
      <c r="S94" s="133"/>
      <c r="T94" s="133"/>
      <c r="U94" s="133"/>
      <c r="V94" s="1"/>
      <c r="W94" s="1"/>
      <c r="X94" s="1"/>
      <c r="Y94" s="1"/>
      <c r="Z94" s="1"/>
      <c r="AA94" s="1"/>
      <c r="AB94" s="1"/>
    </row>
    <row r="95">
      <c r="A95" s="1"/>
      <c r="B95" s="65"/>
      <c r="C95" s="58"/>
      <c r="D95" s="152"/>
      <c r="E95" s="58"/>
      <c r="F95" s="76"/>
      <c r="G95" s="77"/>
      <c r="H95" s="153"/>
      <c r="I95" s="77"/>
      <c r="J95" s="69"/>
      <c r="K95" s="70"/>
      <c r="L95" s="154"/>
      <c r="M95" s="58"/>
      <c r="N95" s="72"/>
      <c r="O95" s="72"/>
      <c r="P95" s="63">
        <f t="shared" si="10"/>
        <v>1899</v>
      </c>
      <c r="Q95" s="1"/>
      <c r="R95" s="1"/>
      <c r="S95" s="133"/>
      <c r="T95" s="133"/>
      <c r="U95" s="133"/>
      <c r="V95" s="1"/>
      <c r="W95" s="1"/>
      <c r="X95" s="1"/>
      <c r="Y95" s="1"/>
      <c r="Z95" s="1"/>
      <c r="AA95" s="1"/>
      <c r="AB95" s="1"/>
    </row>
    <row r="96">
      <c r="A96" s="1"/>
      <c r="B96" s="65"/>
      <c r="C96" s="58"/>
      <c r="D96" s="152"/>
      <c r="E96" s="58"/>
      <c r="F96" s="76"/>
      <c r="G96" s="77"/>
      <c r="H96" s="153"/>
      <c r="I96" s="77"/>
      <c r="J96" s="69"/>
      <c r="K96" s="70"/>
      <c r="L96" s="154"/>
      <c r="M96" s="58"/>
      <c r="N96" s="72"/>
      <c r="O96" s="72"/>
      <c r="P96" s="63">
        <f t="shared" si="10"/>
        <v>1899</v>
      </c>
      <c r="Q96" s="1"/>
      <c r="R96" s="1"/>
      <c r="S96" s="133"/>
      <c r="T96" s="133"/>
      <c r="U96" s="133"/>
      <c r="V96" s="1"/>
      <c r="W96" s="1"/>
      <c r="X96" s="1"/>
      <c r="Y96" s="1"/>
      <c r="Z96" s="1"/>
      <c r="AA96" s="1"/>
      <c r="AB96" s="1"/>
    </row>
    <row r="97">
      <c r="A97" s="1"/>
      <c r="B97" s="65"/>
      <c r="C97" s="58"/>
      <c r="D97" s="152"/>
      <c r="E97" s="58"/>
      <c r="F97" s="76"/>
      <c r="G97" s="77"/>
      <c r="H97" s="153"/>
      <c r="I97" s="77"/>
      <c r="J97" s="69"/>
      <c r="K97" s="70"/>
      <c r="L97" s="154"/>
      <c r="M97" s="58"/>
      <c r="N97" s="72"/>
      <c r="O97" s="72"/>
      <c r="P97" s="63">
        <f t="shared" si="10"/>
        <v>1899</v>
      </c>
      <c r="Q97" s="1"/>
      <c r="R97" s="1"/>
      <c r="S97" s="133"/>
      <c r="T97" s="133"/>
      <c r="U97" s="133"/>
      <c r="V97" s="1"/>
      <c r="W97" s="1"/>
      <c r="X97" s="1"/>
      <c r="Y97" s="1"/>
      <c r="Z97" s="1"/>
      <c r="AA97" s="1"/>
      <c r="AB97" s="1"/>
    </row>
    <row r="98">
      <c r="A98" s="1"/>
      <c r="B98" s="65"/>
      <c r="C98" s="58"/>
      <c r="D98" s="152"/>
      <c r="E98" s="58"/>
      <c r="F98" s="76"/>
      <c r="G98" s="77"/>
      <c r="H98" s="153"/>
      <c r="I98" s="77"/>
      <c r="J98" s="69"/>
      <c r="K98" s="70"/>
      <c r="L98" s="154"/>
      <c r="M98" s="58"/>
      <c r="N98" s="72"/>
      <c r="O98" s="72"/>
      <c r="P98" s="63">
        <f t="shared" si="10"/>
        <v>1899</v>
      </c>
      <c r="Q98" s="1"/>
      <c r="R98" s="1"/>
      <c r="S98" s="133"/>
      <c r="T98" s="133"/>
      <c r="U98" s="133"/>
      <c r="V98" s="1"/>
      <c r="W98" s="1"/>
      <c r="X98" s="1"/>
      <c r="Y98" s="1"/>
      <c r="Z98" s="1"/>
      <c r="AA98" s="1"/>
      <c r="AB98" s="1"/>
    </row>
    <row r="99">
      <c r="A99" s="1"/>
      <c r="B99" s="65"/>
      <c r="C99" s="58"/>
      <c r="D99" s="152"/>
      <c r="E99" s="58"/>
      <c r="F99" s="76"/>
      <c r="G99" s="77"/>
      <c r="H99" s="153"/>
      <c r="I99" s="77"/>
      <c r="J99" s="69"/>
      <c r="K99" s="70"/>
      <c r="L99" s="154"/>
      <c r="M99" s="58"/>
      <c r="N99" s="72"/>
      <c r="O99" s="72"/>
      <c r="P99" s="63">
        <f t="shared" si="10"/>
        <v>1899</v>
      </c>
      <c r="Q99" s="1"/>
      <c r="R99" s="1"/>
      <c r="S99" s="133"/>
      <c r="T99" s="133"/>
      <c r="U99" s="133"/>
      <c r="V99" s="1"/>
      <c r="W99" s="1"/>
      <c r="X99" s="1"/>
      <c r="Y99" s="1"/>
      <c r="Z99" s="1"/>
      <c r="AA99" s="1"/>
      <c r="AB99" s="1"/>
    </row>
    <row r="100">
      <c r="A100" s="1"/>
      <c r="B100" s="65"/>
      <c r="C100" s="58"/>
      <c r="D100" s="152"/>
      <c r="E100" s="58"/>
      <c r="F100" s="76"/>
      <c r="G100" s="77"/>
      <c r="H100" s="153"/>
      <c r="I100" s="77"/>
      <c r="J100" s="69"/>
      <c r="K100" s="70"/>
      <c r="L100" s="154"/>
      <c r="M100" s="58"/>
      <c r="N100" s="72"/>
      <c r="O100" s="72"/>
      <c r="P100" s="63">
        <f t="shared" si="10"/>
        <v>1899</v>
      </c>
      <c r="Q100" s="1"/>
      <c r="R100" s="1"/>
      <c r="S100" s="133"/>
      <c r="T100" s="133"/>
      <c r="U100" s="133"/>
      <c r="V100" s="1"/>
      <c r="W100" s="1"/>
      <c r="X100" s="1"/>
      <c r="Y100" s="1"/>
      <c r="Z100" s="1"/>
      <c r="AA100" s="1"/>
      <c r="AB100" s="1"/>
    </row>
    <row r="101">
      <c r="A101" s="1"/>
      <c r="B101" s="65"/>
      <c r="C101" s="58"/>
      <c r="D101" s="152"/>
      <c r="E101" s="58"/>
      <c r="F101" s="76"/>
      <c r="G101" s="77"/>
      <c r="H101" s="153"/>
      <c r="I101" s="77"/>
      <c r="J101" s="69"/>
      <c r="K101" s="70"/>
      <c r="L101" s="154"/>
      <c r="M101" s="58"/>
      <c r="N101" s="72"/>
      <c r="O101" s="72"/>
      <c r="P101" s="63">
        <f t="shared" si="10"/>
        <v>1899</v>
      </c>
      <c r="Q101" s="1"/>
      <c r="R101" s="1"/>
      <c r="S101" s="133"/>
      <c r="T101" s="133"/>
      <c r="U101" s="133"/>
      <c r="V101" s="1"/>
      <c r="W101" s="1"/>
      <c r="X101" s="1"/>
      <c r="Y101" s="1"/>
      <c r="Z101" s="1"/>
      <c r="AA101" s="1"/>
      <c r="AB101" s="1"/>
    </row>
    <row r="102">
      <c r="A102" s="1"/>
      <c r="B102" s="65"/>
      <c r="C102" s="58"/>
      <c r="D102" s="152"/>
      <c r="E102" s="58"/>
      <c r="F102" s="76"/>
      <c r="G102" s="77"/>
      <c r="H102" s="153"/>
      <c r="I102" s="77"/>
      <c r="J102" s="69"/>
      <c r="K102" s="70"/>
      <c r="L102" s="154"/>
      <c r="M102" s="58"/>
      <c r="N102" s="72"/>
      <c r="O102" s="72"/>
      <c r="P102" s="63">
        <f t="shared" si="10"/>
        <v>1899</v>
      </c>
      <c r="Q102" s="1"/>
      <c r="R102" s="1"/>
      <c r="S102" s="133"/>
      <c r="T102" s="133"/>
      <c r="U102" s="133"/>
      <c r="V102" s="1"/>
      <c r="W102" s="1"/>
      <c r="X102" s="1"/>
      <c r="Y102" s="1"/>
      <c r="Z102" s="1"/>
      <c r="AA102" s="1"/>
      <c r="AB102" s="1"/>
    </row>
    <row r="103">
      <c r="A103" s="1"/>
      <c r="B103" s="65"/>
      <c r="C103" s="58"/>
      <c r="D103" s="152"/>
      <c r="E103" s="58"/>
      <c r="F103" s="76"/>
      <c r="G103" s="77"/>
      <c r="H103" s="153"/>
      <c r="I103" s="77"/>
      <c r="J103" s="69"/>
      <c r="K103" s="70"/>
      <c r="L103" s="154"/>
      <c r="M103" s="58"/>
      <c r="N103" s="72"/>
      <c r="O103" s="72"/>
      <c r="P103" s="63">
        <f t="shared" si="10"/>
        <v>1899</v>
      </c>
      <c r="Q103" s="1"/>
      <c r="R103" s="1"/>
      <c r="S103" s="133"/>
      <c r="T103" s="133"/>
      <c r="U103" s="133"/>
      <c r="V103" s="1"/>
      <c r="W103" s="1"/>
      <c r="X103" s="1"/>
      <c r="Y103" s="1"/>
      <c r="Z103" s="1"/>
      <c r="AA103" s="1"/>
      <c r="AB103" s="1"/>
    </row>
    <row r="104">
      <c r="A104" s="1"/>
      <c r="B104" s="65"/>
      <c r="C104" s="58"/>
      <c r="D104" s="152"/>
      <c r="E104" s="58"/>
      <c r="F104" s="76"/>
      <c r="G104" s="77"/>
      <c r="H104" s="153"/>
      <c r="I104" s="77"/>
      <c r="J104" s="69"/>
      <c r="K104" s="70"/>
      <c r="L104" s="154"/>
      <c r="M104" s="58"/>
      <c r="N104" s="72"/>
      <c r="O104" s="72"/>
      <c r="P104" s="63">
        <f t="shared" si="10"/>
        <v>1899</v>
      </c>
      <c r="Q104" s="1"/>
      <c r="R104" s="1"/>
      <c r="S104" s="133"/>
      <c r="T104" s="133"/>
      <c r="U104" s="133"/>
      <c r="V104" s="1"/>
      <c r="W104" s="1"/>
      <c r="X104" s="1"/>
      <c r="Y104" s="1"/>
      <c r="Z104" s="1"/>
      <c r="AA104" s="1"/>
      <c r="AB104" s="1"/>
    </row>
    <row r="105">
      <c r="A105" s="1"/>
      <c r="B105" s="65"/>
      <c r="C105" s="58"/>
      <c r="D105" s="152"/>
      <c r="E105" s="58"/>
      <c r="F105" s="76"/>
      <c r="G105" s="77"/>
      <c r="H105" s="153"/>
      <c r="I105" s="77"/>
      <c r="J105" s="69"/>
      <c r="K105" s="70"/>
      <c r="L105" s="154"/>
      <c r="M105" s="58"/>
      <c r="N105" s="72"/>
      <c r="O105" s="72"/>
      <c r="P105" s="63">
        <f t="shared" si="10"/>
        <v>1899</v>
      </c>
      <c r="Q105" s="1"/>
      <c r="R105" s="1"/>
      <c r="S105" s="133"/>
      <c r="T105" s="133"/>
      <c r="U105" s="133"/>
      <c r="V105" s="1"/>
      <c r="W105" s="1"/>
      <c r="X105" s="1"/>
      <c r="Y105" s="1"/>
      <c r="Z105" s="1"/>
      <c r="AA105" s="1"/>
      <c r="AB105" s="1"/>
    </row>
    <row r="106">
      <c r="A106" s="1"/>
      <c r="B106" s="65"/>
      <c r="C106" s="58"/>
      <c r="D106" s="152"/>
      <c r="E106" s="58"/>
      <c r="F106" s="76"/>
      <c r="G106" s="77"/>
      <c r="H106" s="153"/>
      <c r="I106" s="77"/>
      <c r="J106" s="69"/>
      <c r="K106" s="70"/>
      <c r="L106" s="154"/>
      <c r="M106" s="58"/>
      <c r="N106" s="72"/>
      <c r="O106" s="72"/>
      <c r="P106" s="63">
        <f t="shared" si="10"/>
        <v>1899</v>
      </c>
      <c r="Q106" s="1"/>
      <c r="R106" s="1"/>
      <c r="S106" s="133"/>
      <c r="T106" s="133"/>
      <c r="U106" s="133"/>
      <c r="V106" s="1"/>
      <c r="W106" s="1"/>
      <c r="X106" s="1"/>
      <c r="Y106" s="1"/>
      <c r="Z106" s="1"/>
      <c r="AA106" s="1"/>
      <c r="AB106" s="1"/>
    </row>
    <row r="107">
      <c r="A107" s="1"/>
      <c r="B107" s="65"/>
      <c r="C107" s="58"/>
      <c r="D107" s="152"/>
      <c r="E107" s="58"/>
      <c r="F107" s="76"/>
      <c r="G107" s="77"/>
      <c r="H107" s="153"/>
      <c r="I107" s="77"/>
      <c r="J107" s="69"/>
      <c r="K107" s="70"/>
      <c r="L107" s="154"/>
      <c r="M107" s="58"/>
      <c r="N107" s="72"/>
      <c r="O107" s="72"/>
      <c r="P107" s="63">
        <f t="shared" si="10"/>
        <v>1899</v>
      </c>
      <c r="Q107" s="1"/>
      <c r="R107" s="1"/>
      <c r="S107" s="133"/>
      <c r="T107" s="133"/>
      <c r="U107" s="133"/>
      <c r="V107" s="1"/>
      <c r="W107" s="1"/>
      <c r="X107" s="1"/>
      <c r="Y107" s="1"/>
      <c r="Z107" s="1"/>
      <c r="AA107" s="1"/>
      <c r="AB107" s="1"/>
    </row>
    <row r="108">
      <c r="A108" s="1"/>
      <c r="B108" s="65"/>
      <c r="C108" s="58"/>
      <c r="D108" s="152"/>
      <c r="E108" s="58"/>
      <c r="F108" s="76"/>
      <c r="G108" s="77"/>
      <c r="H108" s="153"/>
      <c r="I108" s="77"/>
      <c r="J108" s="69"/>
      <c r="K108" s="70"/>
      <c r="L108" s="154"/>
      <c r="M108" s="58"/>
      <c r="N108" s="72"/>
      <c r="O108" s="72"/>
      <c r="P108" s="63">
        <f t="shared" si="10"/>
        <v>1899</v>
      </c>
      <c r="Q108" s="1"/>
      <c r="R108" s="1"/>
      <c r="S108" s="133"/>
      <c r="T108" s="133"/>
      <c r="U108" s="133"/>
      <c r="V108" s="1"/>
      <c r="W108" s="1"/>
      <c r="X108" s="1"/>
      <c r="Y108" s="1"/>
      <c r="Z108" s="1"/>
      <c r="AA108" s="1"/>
      <c r="AB108" s="1"/>
    </row>
    <row r="109">
      <c r="A109" s="1"/>
      <c r="B109" s="65"/>
      <c r="C109" s="58"/>
      <c r="D109" s="152"/>
      <c r="E109" s="58"/>
      <c r="F109" s="76"/>
      <c r="G109" s="77"/>
      <c r="H109" s="153"/>
      <c r="I109" s="77"/>
      <c r="J109" s="69"/>
      <c r="K109" s="70"/>
      <c r="L109" s="154"/>
      <c r="M109" s="58"/>
      <c r="N109" s="72"/>
      <c r="O109" s="72"/>
      <c r="P109" s="63">
        <f t="shared" si="10"/>
        <v>1899</v>
      </c>
      <c r="Q109" s="1"/>
      <c r="R109" s="1"/>
      <c r="S109" s="133"/>
      <c r="T109" s="133"/>
      <c r="U109" s="133"/>
      <c r="V109" s="1"/>
      <c r="W109" s="1"/>
      <c r="X109" s="1"/>
      <c r="Y109" s="1"/>
      <c r="Z109" s="1"/>
      <c r="AA109" s="1"/>
      <c r="AB109" s="1"/>
    </row>
    <row r="110">
      <c r="A110" s="1"/>
      <c r="B110" s="65"/>
      <c r="C110" s="58"/>
      <c r="D110" s="152"/>
      <c r="E110" s="58"/>
      <c r="F110" s="76"/>
      <c r="G110" s="77"/>
      <c r="H110" s="153"/>
      <c r="I110" s="77"/>
      <c r="J110" s="69"/>
      <c r="K110" s="70"/>
      <c r="L110" s="154"/>
      <c r="M110" s="58"/>
      <c r="N110" s="72"/>
      <c r="O110" s="72"/>
      <c r="P110" s="63">
        <f t="shared" si="10"/>
        <v>1899</v>
      </c>
      <c r="Q110" s="1"/>
      <c r="R110" s="1"/>
      <c r="S110" s="133"/>
      <c r="T110" s="133"/>
      <c r="U110" s="133"/>
      <c r="V110" s="1"/>
      <c r="W110" s="1"/>
      <c r="X110" s="1"/>
      <c r="Y110" s="1"/>
      <c r="Z110" s="1"/>
      <c r="AA110" s="1"/>
      <c r="AB110" s="1"/>
    </row>
    <row r="111">
      <c r="A111" s="1"/>
      <c r="B111" s="65"/>
      <c r="C111" s="58"/>
      <c r="D111" s="152"/>
      <c r="E111" s="58"/>
      <c r="F111" s="76"/>
      <c r="G111" s="77"/>
      <c r="H111" s="153"/>
      <c r="I111" s="77"/>
      <c r="J111" s="69"/>
      <c r="K111" s="70"/>
      <c r="L111" s="154"/>
      <c r="M111" s="58"/>
      <c r="N111" s="72"/>
      <c r="O111" s="72"/>
      <c r="P111" s="63">
        <f t="shared" si="10"/>
        <v>1899</v>
      </c>
      <c r="Q111" s="1"/>
      <c r="R111" s="1"/>
      <c r="S111" s="133"/>
      <c r="T111" s="133"/>
      <c r="U111" s="133"/>
      <c r="V111" s="1"/>
      <c r="W111" s="1"/>
      <c r="X111" s="1"/>
      <c r="Y111" s="1"/>
      <c r="Z111" s="1"/>
      <c r="AA111" s="1"/>
      <c r="AB111" s="1"/>
    </row>
    <row r="112">
      <c r="A112" s="1"/>
      <c r="B112" s="65"/>
      <c r="C112" s="58"/>
      <c r="D112" s="152"/>
      <c r="E112" s="58"/>
      <c r="F112" s="76"/>
      <c r="G112" s="77"/>
      <c r="H112" s="153"/>
      <c r="I112" s="77"/>
      <c r="J112" s="69"/>
      <c r="K112" s="70"/>
      <c r="L112" s="154"/>
      <c r="M112" s="58"/>
      <c r="N112" s="72"/>
      <c r="O112" s="72"/>
      <c r="P112" s="63">
        <f t="shared" si="10"/>
        <v>1899</v>
      </c>
      <c r="Q112" s="1"/>
      <c r="R112" s="1"/>
      <c r="S112" s="133"/>
      <c r="T112" s="133"/>
      <c r="U112" s="133"/>
      <c r="V112" s="1"/>
      <c r="W112" s="1"/>
      <c r="X112" s="1"/>
      <c r="Y112" s="1"/>
      <c r="Z112" s="1"/>
      <c r="AA112" s="1"/>
      <c r="AB112" s="1"/>
    </row>
    <row r="113">
      <c r="A113" s="1"/>
      <c r="B113" s="65"/>
      <c r="C113" s="58"/>
      <c r="D113" s="152"/>
      <c r="E113" s="58"/>
      <c r="F113" s="76"/>
      <c r="G113" s="77"/>
      <c r="H113" s="153"/>
      <c r="I113" s="77"/>
      <c r="J113" s="69"/>
      <c r="K113" s="70"/>
      <c r="L113" s="154"/>
      <c r="M113" s="58"/>
      <c r="N113" s="72"/>
      <c r="O113" s="72"/>
      <c r="P113" s="63">
        <f t="shared" si="10"/>
        <v>1899</v>
      </c>
      <c r="Q113" s="1"/>
      <c r="R113" s="1"/>
      <c r="S113" s="133"/>
      <c r="T113" s="133"/>
      <c r="U113" s="133"/>
      <c r="V113" s="1"/>
      <c r="W113" s="1"/>
      <c r="X113" s="1"/>
      <c r="Y113" s="1"/>
      <c r="Z113" s="1"/>
      <c r="AA113" s="1"/>
      <c r="AB113" s="1"/>
    </row>
    <row r="114">
      <c r="A114" s="1"/>
      <c r="B114" s="65"/>
      <c r="C114" s="58"/>
      <c r="D114" s="152"/>
      <c r="E114" s="58"/>
      <c r="F114" s="76"/>
      <c r="G114" s="77"/>
      <c r="H114" s="153"/>
      <c r="I114" s="77"/>
      <c r="J114" s="69"/>
      <c r="K114" s="70"/>
      <c r="L114" s="154"/>
      <c r="M114" s="58"/>
      <c r="N114" s="72"/>
      <c r="O114" s="72"/>
      <c r="P114" s="63">
        <f t="shared" si="10"/>
        <v>1899</v>
      </c>
      <c r="Q114" s="1"/>
      <c r="R114" s="1"/>
      <c r="S114" s="133"/>
      <c r="T114" s="133"/>
      <c r="U114" s="133"/>
      <c r="V114" s="1"/>
      <c r="W114" s="1"/>
      <c r="X114" s="1"/>
      <c r="Y114" s="1"/>
      <c r="Z114" s="1"/>
      <c r="AA114" s="1"/>
      <c r="AB114" s="1"/>
    </row>
    <row r="115">
      <c r="A115" s="1"/>
      <c r="B115" s="65"/>
      <c r="C115" s="58"/>
      <c r="D115" s="152"/>
      <c r="E115" s="58"/>
      <c r="F115" s="76"/>
      <c r="G115" s="77"/>
      <c r="H115" s="153"/>
      <c r="I115" s="77"/>
      <c r="J115" s="69"/>
      <c r="K115" s="70"/>
      <c r="L115" s="71"/>
      <c r="M115" s="58"/>
      <c r="N115" s="72"/>
      <c r="O115" s="72"/>
      <c r="P115" s="63">
        <f t="shared" si="10"/>
        <v>1899</v>
      </c>
      <c r="Q115" s="1"/>
      <c r="R115" s="1"/>
      <c r="S115" s="133"/>
      <c r="T115" s="133"/>
      <c r="U115" s="133"/>
      <c r="V115" s="1"/>
      <c r="W115" s="1"/>
      <c r="X115" s="1"/>
      <c r="Y115" s="1"/>
      <c r="Z115" s="1"/>
      <c r="AA115" s="1"/>
      <c r="AB115" s="1"/>
    </row>
    <row r="116">
      <c r="A116" s="1"/>
      <c r="B116" s="65"/>
      <c r="C116" s="58"/>
      <c r="D116" s="152"/>
      <c r="E116" s="58"/>
      <c r="F116" s="76"/>
      <c r="G116" s="77"/>
      <c r="H116" s="153"/>
      <c r="I116" s="77"/>
      <c r="J116" s="69"/>
      <c r="K116" s="70"/>
      <c r="L116" s="71"/>
      <c r="M116" s="58"/>
      <c r="N116" s="72"/>
      <c r="O116" s="72"/>
      <c r="P116" s="63">
        <f t="shared" si="10"/>
        <v>1899</v>
      </c>
      <c r="Q116" s="1"/>
      <c r="R116" s="1"/>
      <c r="S116" s="133"/>
      <c r="T116" s="133"/>
      <c r="U116" s="133"/>
      <c r="V116" s="1"/>
      <c r="W116" s="1"/>
      <c r="X116" s="1"/>
      <c r="Y116" s="1"/>
      <c r="Z116" s="1"/>
      <c r="AA116" s="1"/>
      <c r="AB116" s="1"/>
    </row>
    <row r="117">
      <c r="A117" s="1"/>
      <c r="B117" s="65"/>
      <c r="C117" s="58"/>
      <c r="D117" s="152"/>
      <c r="E117" s="58"/>
      <c r="F117" s="76"/>
      <c r="G117" s="77"/>
      <c r="H117" s="153"/>
      <c r="I117" s="77"/>
      <c r="J117" s="69"/>
      <c r="K117" s="70"/>
      <c r="L117" s="71"/>
      <c r="M117" s="58"/>
      <c r="N117" s="72"/>
      <c r="O117" s="72"/>
      <c r="P117" s="63">
        <f t="shared" si="10"/>
        <v>1899</v>
      </c>
      <c r="Q117" s="1"/>
      <c r="R117" s="1"/>
      <c r="S117" s="133"/>
      <c r="T117" s="133"/>
      <c r="U117" s="133"/>
      <c r="V117" s="1"/>
      <c r="W117" s="1"/>
      <c r="X117" s="1"/>
      <c r="Y117" s="1"/>
      <c r="Z117" s="1"/>
      <c r="AA117" s="1"/>
      <c r="AB117" s="1"/>
    </row>
    <row r="118">
      <c r="A118" s="1"/>
      <c r="B118" s="65"/>
      <c r="C118" s="58"/>
      <c r="D118" s="152"/>
      <c r="E118" s="58"/>
      <c r="F118" s="76"/>
      <c r="G118" s="77"/>
      <c r="H118" s="153"/>
      <c r="I118" s="77"/>
      <c r="J118" s="69"/>
      <c r="K118" s="70"/>
      <c r="L118" s="71"/>
      <c r="M118" s="58"/>
      <c r="N118" s="72"/>
      <c r="O118" s="72"/>
      <c r="P118" s="63">
        <f t="shared" si="10"/>
        <v>1899</v>
      </c>
      <c r="Q118" s="1"/>
      <c r="R118" s="1"/>
      <c r="S118" s="133"/>
      <c r="T118" s="133"/>
      <c r="U118" s="133"/>
      <c r="V118" s="1"/>
      <c r="W118" s="1"/>
      <c r="X118" s="1"/>
      <c r="Y118" s="1"/>
      <c r="Z118" s="1"/>
      <c r="AA118" s="1"/>
      <c r="AB118" s="1"/>
    </row>
    <row r="119">
      <c r="A119" s="1"/>
      <c r="B119" s="65"/>
      <c r="C119" s="58"/>
      <c r="D119" s="152"/>
      <c r="E119" s="58"/>
      <c r="F119" s="76"/>
      <c r="G119" s="77"/>
      <c r="H119" s="153"/>
      <c r="I119" s="77"/>
      <c r="J119" s="69"/>
      <c r="K119" s="70"/>
      <c r="L119" s="71"/>
      <c r="M119" s="58"/>
      <c r="N119" s="72"/>
      <c r="O119" s="72"/>
      <c r="P119" s="63">
        <f t="shared" si="10"/>
        <v>1899</v>
      </c>
      <c r="Q119" s="1"/>
      <c r="R119" s="1"/>
      <c r="S119" s="133"/>
      <c r="T119" s="133"/>
      <c r="U119" s="133"/>
      <c r="V119" s="1"/>
      <c r="W119" s="1"/>
      <c r="X119" s="1"/>
      <c r="Y119" s="1"/>
      <c r="Z119" s="1"/>
      <c r="AA119" s="1"/>
      <c r="AB119" s="1"/>
    </row>
    <row r="120">
      <c r="A120" s="1"/>
      <c r="B120" s="65"/>
      <c r="C120" s="58"/>
      <c r="D120" s="152"/>
      <c r="E120" s="58"/>
      <c r="F120" s="76"/>
      <c r="G120" s="77"/>
      <c r="H120" s="153"/>
      <c r="I120" s="77"/>
      <c r="J120" s="69"/>
      <c r="K120" s="70"/>
      <c r="L120" s="71"/>
      <c r="M120" s="58"/>
      <c r="N120" s="72"/>
      <c r="O120" s="72"/>
      <c r="P120" s="63">
        <f t="shared" si="10"/>
        <v>1899</v>
      </c>
      <c r="Q120" s="1"/>
      <c r="R120" s="1"/>
      <c r="S120" s="133"/>
      <c r="T120" s="133"/>
      <c r="U120" s="133"/>
      <c r="V120" s="1"/>
      <c r="W120" s="1"/>
      <c r="X120" s="1"/>
      <c r="Y120" s="1"/>
      <c r="Z120" s="1"/>
      <c r="AA120" s="1"/>
      <c r="AB120" s="1"/>
    </row>
    <row r="121">
      <c r="A121" s="1"/>
      <c r="B121" s="65"/>
      <c r="C121" s="58"/>
      <c r="D121" s="152"/>
      <c r="E121" s="58"/>
      <c r="F121" s="76"/>
      <c r="G121" s="77"/>
      <c r="H121" s="153"/>
      <c r="I121" s="77"/>
      <c r="J121" s="69"/>
      <c r="K121" s="70"/>
      <c r="L121" s="71"/>
      <c r="M121" s="58"/>
      <c r="N121" s="72"/>
      <c r="O121" s="72"/>
      <c r="P121" s="63">
        <f t="shared" si="10"/>
        <v>1899</v>
      </c>
      <c r="Q121" s="1"/>
      <c r="R121" s="1"/>
      <c r="S121" s="133"/>
      <c r="T121" s="133"/>
      <c r="U121" s="133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57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33"/>
      <c r="T122" s="133"/>
      <c r="U122" s="133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57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33"/>
      <c r="T123" s="133"/>
      <c r="U123" s="133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57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33"/>
      <c r="T124" s="133"/>
      <c r="U124" s="133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57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33"/>
      <c r="T125" s="133"/>
      <c r="U125" s="133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57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33"/>
      <c r="T126" s="133"/>
      <c r="U126" s="133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57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33"/>
      <c r="T127" s="133"/>
      <c r="U127" s="133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57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33"/>
      <c r="T128" s="133"/>
      <c r="U128" s="133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57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33"/>
      <c r="T129" s="133"/>
      <c r="U129" s="133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57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33"/>
      <c r="T130" s="133"/>
      <c r="U130" s="133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57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33"/>
      <c r="T131" s="133"/>
      <c r="U131" s="133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57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33"/>
      <c r="T132" s="133"/>
      <c r="U132" s="133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57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33"/>
      <c r="T133" s="133"/>
      <c r="U133" s="133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57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33"/>
      <c r="T134" s="133"/>
      <c r="U134" s="133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57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33"/>
      <c r="T135" s="133"/>
      <c r="U135" s="133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57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33"/>
      <c r="T136" s="133"/>
      <c r="U136" s="133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57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33"/>
      <c r="T137" s="133"/>
      <c r="U137" s="133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57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33"/>
      <c r="T138" s="133"/>
      <c r="U138" s="133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57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33"/>
      <c r="T139" s="133"/>
      <c r="U139" s="133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57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33"/>
      <c r="T140" s="133"/>
      <c r="U140" s="133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57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33"/>
      <c r="T141" s="133"/>
      <c r="U141" s="133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57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33"/>
      <c r="T142" s="133"/>
      <c r="U142" s="133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57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33"/>
      <c r="T143" s="133"/>
      <c r="U143" s="133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57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33"/>
      <c r="T144" s="133"/>
      <c r="U144" s="133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57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33"/>
      <c r="T145" s="133"/>
      <c r="U145" s="133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57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33"/>
      <c r="T146" s="133"/>
      <c r="U146" s="133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57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33"/>
      <c r="T147" s="133"/>
      <c r="U147" s="133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57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33"/>
      <c r="T148" s="133"/>
      <c r="U148" s="133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57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33"/>
      <c r="T149" s="133"/>
      <c r="U149" s="133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57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33"/>
      <c r="T150" s="133"/>
      <c r="U150" s="133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57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33"/>
      <c r="T151" s="133"/>
      <c r="U151" s="133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57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33"/>
      <c r="T152" s="133"/>
      <c r="U152" s="133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57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33"/>
      <c r="T153" s="133"/>
      <c r="U153" s="133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57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33"/>
      <c r="T154" s="133"/>
      <c r="U154" s="133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57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33"/>
      <c r="T155" s="133"/>
      <c r="U155" s="133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57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33"/>
      <c r="T156" s="133"/>
      <c r="U156" s="133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57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33"/>
      <c r="T157" s="133"/>
      <c r="U157" s="133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57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33"/>
      <c r="T158" s="133"/>
      <c r="U158" s="133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57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33"/>
      <c r="T159" s="133"/>
      <c r="U159" s="133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57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33"/>
      <c r="T160" s="133"/>
      <c r="U160" s="133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57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33"/>
      <c r="T161" s="133"/>
      <c r="U161" s="133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57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33"/>
      <c r="T162" s="133"/>
      <c r="U162" s="133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57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33"/>
      <c r="T163" s="133"/>
      <c r="U163" s="133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57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33"/>
      <c r="T164" s="133"/>
      <c r="U164" s="133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57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33"/>
      <c r="T165" s="133"/>
      <c r="U165" s="133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57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33"/>
      <c r="T166" s="133"/>
      <c r="U166" s="133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57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33"/>
      <c r="T167" s="133"/>
      <c r="U167" s="133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57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33"/>
      <c r="T168" s="133"/>
      <c r="U168" s="133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57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33"/>
      <c r="T169" s="133"/>
      <c r="U169" s="133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57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33"/>
      <c r="T170" s="133"/>
      <c r="U170" s="133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57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33"/>
      <c r="T171" s="133"/>
      <c r="U171" s="133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57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33"/>
      <c r="T172" s="133"/>
      <c r="U172" s="133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57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33"/>
      <c r="T173" s="133"/>
      <c r="U173" s="133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57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33"/>
      <c r="T174" s="133"/>
      <c r="U174" s="133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57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33"/>
      <c r="T175" s="133"/>
      <c r="U175" s="133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57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33"/>
      <c r="T176" s="133"/>
      <c r="U176" s="133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57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33"/>
      <c r="T177" s="133"/>
      <c r="U177" s="133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57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33"/>
      <c r="T178" s="133"/>
      <c r="U178" s="133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57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33"/>
      <c r="T179" s="133"/>
      <c r="U179" s="133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57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33"/>
      <c r="T180" s="133"/>
      <c r="U180" s="133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57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33"/>
      <c r="T181" s="133"/>
      <c r="U181" s="133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57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33"/>
      <c r="T182" s="133"/>
      <c r="U182" s="133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57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33"/>
      <c r="T183" s="133"/>
      <c r="U183" s="133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57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33"/>
      <c r="T184" s="133"/>
      <c r="U184" s="133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57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33"/>
      <c r="T185" s="133"/>
      <c r="U185" s="133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57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33"/>
      <c r="T186" s="133"/>
      <c r="U186" s="133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57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33"/>
      <c r="T187" s="133"/>
      <c r="U187" s="133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57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33"/>
      <c r="T188" s="133"/>
      <c r="U188" s="133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57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33"/>
      <c r="T189" s="133"/>
      <c r="U189" s="133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57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33"/>
      <c r="T190" s="133"/>
      <c r="U190" s="133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57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33"/>
      <c r="T191" s="133"/>
      <c r="U191" s="133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57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33"/>
      <c r="T192" s="133"/>
      <c r="U192" s="133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57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33"/>
      <c r="T193" s="133"/>
      <c r="U193" s="133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57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33"/>
      <c r="T194" s="133"/>
      <c r="U194" s="133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57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33"/>
      <c r="T195" s="133"/>
      <c r="U195" s="133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57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33"/>
      <c r="T196" s="133"/>
      <c r="U196" s="133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57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33"/>
      <c r="T197" s="133"/>
      <c r="U197" s="133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57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33"/>
      <c r="T198" s="133"/>
      <c r="U198" s="133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57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33"/>
      <c r="T199" s="133"/>
      <c r="U199" s="133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57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33"/>
      <c r="T200" s="133"/>
      <c r="U200" s="133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57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33"/>
      <c r="T201" s="133"/>
      <c r="U201" s="133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57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33"/>
      <c r="T202" s="133"/>
      <c r="U202" s="133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57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33"/>
      <c r="T203" s="133"/>
      <c r="U203" s="133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57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33"/>
      <c r="T204" s="133"/>
      <c r="U204" s="133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57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33"/>
      <c r="T205" s="133"/>
      <c r="U205" s="133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57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33"/>
      <c r="T206" s="133"/>
      <c r="U206" s="133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57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33"/>
      <c r="T207" s="133"/>
      <c r="U207" s="133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57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33"/>
      <c r="T208" s="133"/>
      <c r="U208" s="133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57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33"/>
      <c r="T209" s="133"/>
      <c r="U209" s="133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57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33"/>
      <c r="T210" s="133"/>
      <c r="U210" s="133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57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33"/>
      <c r="T211" s="133"/>
      <c r="U211" s="133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57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33"/>
      <c r="T212" s="133"/>
      <c r="U212" s="133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57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33"/>
      <c r="T213" s="133"/>
      <c r="U213" s="133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57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33"/>
      <c r="T214" s="133"/>
      <c r="U214" s="133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57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33"/>
      <c r="T215" s="133"/>
      <c r="U215" s="133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57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33"/>
      <c r="T216" s="133"/>
      <c r="U216" s="133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57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33"/>
      <c r="T217" s="133"/>
      <c r="U217" s="133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57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33"/>
      <c r="T218" s="133"/>
      <c r="U218" s="133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57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33"/>
      <c r="T219" s="133"/>
      <c r="U219" s="133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57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33"/>
      <c r="T220" s="133"/>
      <c r="U220" s="133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57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33"/>
      <c r="T221" s="133"/>
      <c r="U221" s="133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57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33"/>
      <c r="T222" s="133"/>
      <c r="U222" s="133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57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33"/>
      <c r="T223" s="133"/>
      <c r="U223" s="133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57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33"/>
      <c r="T224" s="133"/>
      <c r="U224" s="133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57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33"/>
      <c r="T225" s="133"/>
      <c r="U225" s="133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57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33"/>
      <c r="T226" s="133"/>
      <c r="U226" s="133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57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33"/>
      <c r="T227" s="133"/>
      <c r="U227" s="133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57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33"/>
      <c r="T228" s="133"/>
      <c r="U228" s="133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57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33"/>
      <c r="T229" s="133"/>
      <c r="U229" s="133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57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33"/>
      <c r="T230" s="133"/>
      <c r="U230" s="133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57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33"/>
      <c r="T231" s="133"/>
      <c r="U231" s="133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57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33"/>
      <c r="T232" s="133"/>
      <c r="U232" s="133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57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33"/>
      <c r="T233" s="133"/>
      <c r="U233" s="133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57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33"/>
      <c r="T234" s="133"/>
      <c r="U234" s="133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57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33"/>
      <c r="T235" s="133"/>
      <c r="U235" s="133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57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33"/>
      <c r="T236" s="133"/>
      <c r="U236" s="133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57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33"/>
      <c r="T237" s="133"/>
      <c r="U237" s="133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57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33"/>
      <c r="T238" s="133"/>
      <c r="U238" s="133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57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33"/>
      <c r="T239" s="133"/>
      <c r="U239" s="133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57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33"/>
      <c r="T240" s="133"/>
      <c r="U240" s="133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57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33"/>
      <c r="T241" s="133"/>
      <c r="U241" s="133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57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33"/>
      <c r="T242" s="133"/>
      <c r="U242" s="133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57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33"/>
      <c r="T243" s="133"/>
      <c r="U243" s="133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57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33"/>
      <c r="T244" s="133"/>
      <c r="U244" s="133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57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33"/>
      <c r="T245" s="133"/>
      <c r="U245" s="133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57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33"/>
      <c r="T246" s="133"/>
      <c r="U246" s="133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57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33"/>
      <c r="T247" s="133"/>
      <c r="U247" s="133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57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33"/>
      <c r="T248" s="133"/>
      <c r="U248" s="133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57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33"/>
      <c r="T249" s="133"/>
      <c r="U249" s="133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57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33"/>
      <c r="T250" s="133"/>
      <c r="U250" s="133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57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33"/>
      <c r="T251" s="133"/>
      <c r="U251" s="133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57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33"/>
      <c r="T252" s="133"/>
      <c r="U252" s="133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57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33"/>
      <c r="T253" s="133"/>
      <c r="U253" s="133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57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33"/>
      <c r="T254" s="133"/>
      <c r="U254" s="133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57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33"/>
      <c r="T255" s="133"/>
      <c r="U255" s="133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57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33"/>
      <c r="T256" s="133"/>
      <c r="U256" s="133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57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33"/>
      <c r="T257" s="133"/>
      <c r="U257" s="133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57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33"/>
      <c r="T258" s="133"/>
      <c r="U258" s="133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57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33"/>
      <c r="T259" s="133"/>
      <c r="U259" s="133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57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33"/>
      <c r="T260" s="133"/>
      <c r="U260" s="133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57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33"/>
      <c r="T261" s="133"/>
      <c r="U261" s="133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57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33"/>
      <c r="T262" s="133"/>
      <c r="U262" s="133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57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33"/>
      <c r="T263" s="133"/>
      <c r="U263" s="133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57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33"/>
      <c r="T264" s="133"/>
      <c r="U264" s="133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57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33"/>
      <c r="T265" s="133"/>
      <c r="U265" s="133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57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33"/>
      <c r="T266" s="133"/>
      <c r="U266" s="133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57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33"/>
      <c r="T267" s="133"/>
      <c r="U267" s="133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57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33"/>
      <c r="T268" s="133"/>
      <c r="U268" s="133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57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33"/>
      <c r="T269" s="133"/>
      <c r="U269" s="133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57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33"/>
      <c r="T270" s="133"/>
      <c r="U270" s="133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57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33"/>
      <c r="T271" s="133"/>
      <c r="U271" s="133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57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33"/>
      <c r="T272" s="133"/>
      <c r="U272" s="133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57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33"/>
      <c r="T273" s="133"/>
      <c r="U273" s="133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57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33"/>
      <c r="T274" s="133"/>
      <c r="U274" s="133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57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33"/>
      <c r="T275" s="133"/>
      <c r="U275" s="133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57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33"/>
      <c r="T276" s="133"/>
      <c r="U276" s="133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57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33"/>
      <c r="T277" s="133"/>
      <c r="U277" s="133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57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33"/>
      <c r="T278" s="133"/>
      <c r="U278" s="133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57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33"/>
      <c r="T279" s="133"/>
      <c r="U279" s="133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57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33"/>
      <c r="T280" s="133"/>
      <c r="U280" s="133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57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33"/>
      <c r="T281" s="133"/>
      <c r="U281" s="133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57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33"/>
      <c r="T282" s="133"/>
      <c r="U282" s="133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57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33"/>
      <c r="T283" s="133"/>
      <c r="U283" s="133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57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33"/>
      <c r="T284" s="133"/>
      <c r="U284" s="133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57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33"/>
      <c r="T285" s="133"/>
      <c r="U285" s="133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57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33"/>
      <c r="T286" s="133"/>
      <c r="U286" s="133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57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33"/>
      <c r="T287" s="133"/>
      <c r="U287" s="133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57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33"/>
      <c r="T288" s="133"/>
      <c r="U288" s="133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57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33"/>
      <c r="T289" s="133"/>
      <c r="U289" s="133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57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33"/>
      <c r="T290" s="133"/>
      <c r="U290" s="133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57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33"/>
      <c r="T291" s="133"/>
      <c r="U291" s="133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57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33"/>
      <c r="T292" s="133"/>
      <c r="U292" s="133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57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33"/>
      <c r="T293" s="133"/>
      <c r="U293" s="133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57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33"/>
      <c r="T294" s="133"/>
      <c r="U294" s="133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57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33"/>
      <c r="T295" s="133"/>
      <c r="U295" s="133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57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33"/>
      <c r="T296" s="133"/>
      <c r="U296" s="133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57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33"/>
      <c r="T297" s="133"/>
      <c r="U297" s="133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57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33"/>
      <c r="T298" s="133"/>
      <c r="U298" s="133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57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33"/>
      <c r="T299" s="133"/>
      <c r="U299" s="133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57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33"/>
      <c r="T300" s="133"/>
      <c r="U300" s="133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57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33"/>
      <c r="T301" s="133"/>
      <c r="U301" s="133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57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33"/>
      <c r="T302" s="133"/>
      <c r="U302" s="133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57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33"/>
      <c r="T303" s="133"/>
      <c r="U303" s="133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57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33"/>
      <c r="T304" s="133"/>
      <c r="U304" s="133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57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33"/>
      <c r="T305" s="133"/>
      <c r="U305" s="133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57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33"/>
      <c r="T306" s="133"/>
      <c r="U306" s="133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57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33"/>
      <c r="T307" s="133"/>
      <c r="U307" s="133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57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33"/>
      <c r="T308" s="133"/>
      <c r="U308" s="133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57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33"/>
      <c r="T309" s="133"/>
      <c r="U309" s="133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57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33"/>
      <c r="T310" s="133"/>
      <c r="U310" s="133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57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33"/>
      <c r="T311" s="133"/>
      <c r="U311" s="133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57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33"/>
      <c r="T312" s="133"/>
      <c r="U312" s="133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57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33"/>
      <c r="T313" s="133"/>
      <c r="U313" s="133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57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33"/>
      <c r="T314" s="133"/>
      <c r="U314" s="133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57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33"/>
      <c r="T315" s="133"/>
      <c r="U315" s="133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57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33"/>
      <c r="T316" s="133"/>
      <c r="U316" s="133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57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33"/>
      <c r="T317" s="133"/>
      <c r="U317" s="133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57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33"/>
      <c r="T318" s="133"/>
      <c r="U318" s="133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57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33"/>
      <c r="T319" s="133"/>
      <c r="U319" s="133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57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33"/>
      <c r="T320" s="133"/>
      <c r="U320" s="133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57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33"/>
      <c r="T321" s="133"/>
      <c r="U321" s="133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57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33"/>
      <c r="T322" s="133"/>
      <c r="U322" s="133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57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33"/>
      <c r="T323" s="133"/>
      <c r="U323" s="133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57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33"/>
      <c r="T324" s="133"/>
      <c r="U324" s="133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57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33"/>
      <c r="T325" s="133"/>
      <c r="U325" s="133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57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33"/>
      <c r="T326" s="133"/>
      <c r="U326" s="133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57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33"/>
      <c r="T327" s="133"/>
      <c r="U327" s="133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57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33"/>
      <c r="T328" s="133"/>
      <c r="U328" s="133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57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33"/>
      <c r="T329" s="133"/>
      <c r="U329" s="133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57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33"/>
      <c r="T330" s="133"/>
      <c r="U330" s="133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57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33"/>
      <c r="T331" s="133"/>
      <c r="U331" s="133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57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33"/>
      <c r="T332" s="133"/>
      <c r="U332" s="133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57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33"/>
      <c r="T333" s="133"/>
      <c r="U333" s="133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57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33"/>
      <c r="T334" s="133"/>
      <c r="U334" s="133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57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33"/>
      <c r="T335" s="133"/>
      <c r="U335" s="133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57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33"/>
      <c r="T336" s="133"/>
      <c r="U336" s="133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57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33"/>
      <c r="T337" s="133"/>
      <c r="U337" s="133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57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33"/>
      <c r="T338" s="133"/>
      <c r="U338" s="133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57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33"/>
      <c r="T339" s="133"/>
      <c r="U339" s="133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57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33"/>
      <c r="T340" s="133"/>
      <c r="U340" s="133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57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33"/>
      <c r="T341" s="133"/>
      <c r="U341" s="133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57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33"/>
      <c r="T342" s="133"/>
      <c r="U342" s="133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57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33"/>
      <c r="T343" s="133"/>
      <c r="U343" s="133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57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33"/>
      <c r="T344" s="133"/>
      <c r="U344" s="133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57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33"/>
      <c r="T345" s="133"/>
      <c r="U345" s="133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57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33"/>
      <c r="T346" s="133"/>
      <c r="U346" s="133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57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33"/>
      <c r="T347" s="133"/>
      <c r="U347" s="133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57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33"/>
      <c r="T348" s="133"/>
      <c r="U348" s="133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57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33"/>
      <c r="T349" s="133"/>
      <c r="U349" s="133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57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33"/>
      <c r="T350" s="133"/>
      <c r="U350" s="133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57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33"/>
      <c r="T351" s="133"/>
      <c r="U351" s="133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57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33"/>
      <c r="T352" s="133"/>
      <c r="U352" s="133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57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33"/>
      <c r="T353" s="133"/>
      <c r="U353" s="133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57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33"/>
      <c r="T354" s="133"/>
      <c r="U354" s="133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57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33"/>
      <c r="T355" s="133"/>
      <c r="U355" s="133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57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33"/>
      <c r="T356" s="133"/>
      <c r="U356" s="133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57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33"/>
      <c r="T357" s="133"/>
      <c r="U357" s="133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57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33"/>
      <c r="T358" s="133"/>
      <c r="U358" s="133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57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33"/>
      <c r="T359" s="133"/>
      <c r="U359" s="133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57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33"/>
      <c r="T360" s="133"/>
      <c r="U360" s="133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57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33"/>
      <c r="T361" s="133"/>
      <c r="U361" s="133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57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33"/>
      <c r="T362" s="133"/>
      <c r="U362" s="133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57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33"/>
      <c r="T363" s="133"/>
      <c r="U363" s="133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57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33"/>
      <c r="T364" s="133"/>
      <c r="U364" s="133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57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33"/>
      <c r="T365" s="133"/>
      <c r="U365" s="133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57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33"/>
      <c r="T366" s="133"/>
      <c r="U366" s="133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57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33"/>
      <c r="T367" s="133"/>
      <c r="U367" s="133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57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33"/>
      <c r="T368" s="133"/>
      <c r="U368" s="133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57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33"/>
      <c r="T369" s="133"/>
      <c r="U369" s="133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57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33"/>
      <c r="T370" s="133"/>
      <c r="U370" s="133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57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33"/>
      <c r="T371" s="133"/>
      <c r="U371" s="133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57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33"/>
      <c r="T372" s="133"/>
      <c r="U372" s="133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57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33"/>
      <c r="T373" s="133"/>
      <c r="U373" s="133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57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33"/>
      <c r="T374" s="133"/>
      <c r="U374" s="133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57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33"/>
      <c r="T375" s="133"/>
      <c r="U375" s="133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57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33"/>
      <c r="T376" s="133"/>
      <c r="U376" s="133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57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33"/>
      <c r="T377" s="133"/>
      <c r="U377" s="133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57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33"/>
      <c r="T378" s="133"/>
      <c r="U378" s="133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57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33"/>
      <c r="T379" s="133"/>
      <c r="U379" s="133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57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33"/>
      <c r="T380" s="133"/>
      <c r="U380" s="133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57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33"/>
      <c r="T381" s="133"/>
      <c r="U381" s="133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57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33"/>
      <c r="T382" s="133"/>
      <c r="U382" s="133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57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33"/>
      <c r="T383" s="133"/>
      <c r="U383" s="133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57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33"/>
      <c r="T384" s="133"/>
      <c r="U384" s="133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57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33"/>
      <c r="T385" s="133"/>
      <c r="U385" s="133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57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33"/>
      <c r="T386" s="133"/>
      <c r="U386" s="133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57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33"/>
      <c r="T387" s="133"/>
      <c r="U387" s="133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57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33"/>
      <c r="T388" s="133"/>
      <c r="U388" s="133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57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33"/>
      <c r="T389" s="133"/>
      <c r="U389" s="133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57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33"/>
      <c r="T390" s="133"/>
      <c r="U390" s="133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57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33"/>
      <c r="T391" s="133"/>
      <c r="U391" s="133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57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33"/>
      <c r="T392" s="133"/>
      <c r="U392" s="133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57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33"/>
      <c r="T393" s="133"/>
      <c r="U393" s="133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57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33"/>
      <c r="T394" s="133"/>
      <c r="U394" s="133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57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33"/>
      <c r="T395" s="133"/>
      <c r="U395" s="133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57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33"/>
      <c r="T396" s="133"/>
      <c r="U396" s="133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57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33"/>
      <c r="T397" s="133"/>
      <c r="U397" s="133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57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33"/>
      <c r="T398" s="133"/>
      <c r="U398" s="133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57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33"/>
      <c r="T399" s="133"/>
      <c r="U399" s="133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57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33"/>
      <c r="T400" s="133"/>
      <c r="U400" s="133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57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33"/>
      <c r="T401" s="133"/>
      <c r="U401" s="133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57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33"/>
      <c r="T402" s="133"/>
      <c r="U402" s="133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57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33"/>
      <c r="T403" s="133"/>
      <c r="U403" s="133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57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33"/>
      <c r="T404" s="133"/>
      <c r="U404" s="133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57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33"/>
      <c r="T405" s="133"/>
      <c r="U405" s="133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57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33"/>
      <c r="T406" s="133"/>
      <c r="U406" s="133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57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33"/>
      <c r="T407" s="133"/>
      <c r="U407" s="133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57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33"/>
      <c r="T408" s="133"/>
      <c r="U408" s="133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57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33"/>
      <c r="T409" s="133"/>
      <c r="U409" s="133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57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33"/>
      <c r="T410" s="133"/>
      <c r="U410" s="133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57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33"/>
      <c r="T411" s="133"/>
      <c r="U411" s="133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57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33"/>
      <c r="T412" s="133"/>
      <c r="U412" s="133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57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33"/>
      <c r="T413" s="133"/>
      <c r="U413" s="133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57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33"/>
      <c r="T414" s="133"/>
      <c r="U414" s="133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57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33"/>
      <c r="T415" s="133"/>
      <c r="U415" s="133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57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33"/>
      <c r="T416" s="133"/>
      <c r="U416" s="133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57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33"/>
      <c r="T417" s="133"/>
      <c r="U417" s="133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57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33"/>
      <c r="T418" s="133"/>
      <c r="U418" s="133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57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33"/>
      <c r="T419" s="133"/>
      <c r="U419" s="133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57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33"/>
      <c r="T420" s="133"/>
      <c r="U420" s="133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57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33"/>
      <c r="T421" s="133"/>
      <c r="U421" s="133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57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33"/>
      <c r="T422" s="133"/>
      <c r="U422" s="133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57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33"/>
      <c r="T423" s="133"/>
      <c r="U423" s="133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57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33"/>
      <c r="T424" s="133"/>
      <c r="U424" s="133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57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33"/>
      <c r="T425" s="133"/>
      <c r="U425" s="133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57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33"/>
      <c r="T426" s="133"/>
      <c r="U426" s="133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57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33"/>
      <c r="T427" s="133"/>
      <c r="U427" s="133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57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33"/>
      <c r="T428" s="133"/>
      <c r="U428" s="133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57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33"/>
      <c r="T429" s="133"/>
      <c r="U429" s="133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57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33"/>
      <c r="T430" s="133"/>
      <c r="U430" s="133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57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33"/>
      <c r="T431" s="133"/>
      <c r="U431" s="133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57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33"/>
      <c r="T432" s="133"/>
      <c r="U432" s="133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57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33"/>
      <c r="T433" s="133"/>
      <c r="U433" s="133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57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33"/>
      <c r="T434" s="133"/>
      <c r="U434" s="133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57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33"/>
      <c r="T435" s="133"/>
      <c r="U435" s="133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57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33"/>
      <c r="T436" s="133"/>
      <c r="U436" s="133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57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33"/>
      <c r="T437" s="133"/>
      <c r="U437" s="133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57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33"/>
      <c r="T438" s="133"/>
      <c r="U438" s="133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57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33"/>
      <c r="T439" s="133"/>
      <c r="U439" s="133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57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33"/>
      <c r="T440" s="133"/>
      <c r="U440" s="133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57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33"/>
      <c r="T441" s="133"/>
      <c r="U441" s="133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57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33"/>
      <c r="T442" s="133"/>
      <c r="U442" s="133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57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33"/>
      <c r="T443" s="133"/>
      <c r="U443" s="133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57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33"/>
      <c r="T444" s="133"/>
      <c r="U444" s="133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57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33"/>
      <c r="T445" s="133"/>
      <c r="U445" s="133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57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33"/>
      <c r="T446" s="133"/>
      <c r="U446" s="133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57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33"/>
      <c r="T447" s="133"/>
      <c r="U447" s="133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57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33"/>
      <c r="T448" s="133"/>
      <c r="U448" s="133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57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33"/>
      <c r="T449" s="133"/>
      <c r="U449" s="133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57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33"/>
      <c r="T450" s="133"/>
      <c r="U450" s="133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57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33"/>
      <c r="T451" s="133"/>
      <c r="U451" s="133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57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33"/>
      <c r="T452" s="133"/>
      <c r="U452" s="133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57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33"/>
      <c r="T453" s="133"/>
      <c r="U453" s="133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57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33"/>
      <c r="T454" s="133"/>
      <c r="U454" s="133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57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33"/>
      <c r="T455" s="133"/>
      <c r="U455" s="133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57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33"/>
      <c r="T456" s="133"/>
      <c r="U456" s="133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57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33"/>
      <c r="T457" s="133"/>
      <c r="U457" s="133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57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33"/>
      <c r="T458" s="133"/>
      <c r="U458" s="133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57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33"/>
      <c r="T459" s="133"/>
      <c r="U459" s="133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57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33"/>
      <c r="T460" s="133"/>
      <c r="U460" s="133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57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33"/>
      <c r="T461" s="133"/>
      <c r="U461" s="133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57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33"/>
      <c r="T462" s="133"/>
      <c r="U462" s="133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57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33"/>
      <c r="T463" s="133"/>
      <c r="U463" s="133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57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33"/>
      <c r="T464" s="133"/>
      <c r="U464" s="133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57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33"/>
      <c r="T465" s="133"/>
      <c r="U465" s="133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57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33"/>
      <c r="T466" s="133"/>
      <c r="U466" s="133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57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33"/>
      <c r="T467" s="133"/>
      <c r="U467" s="133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57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33"/>
      <c r="T468" s="133"/>
      <c r="U468" s="133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57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33"/>
      <c r="T469" s="133"/>
      <c r="U469" s="133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57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33"/>
      <c r="T470" s="133"/>
      <c r="U470" s="133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57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33"/>
      <c r="T471" s="133"/>
      <c r="U471" s="133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57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33"/>
      <c r="T472" s="133"/>
      <c r="U472" s="133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57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33"/>
      <c r="T473" s="133"/>
      <c r="U473" s="133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57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33"/>
      <c r="T474" s="133"/>
      <c r="U474" s="133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57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33"/>
      <c r="T475" s="133"/>
      <c r="U475" s="133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57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33"/>
      <c r="T476" s="133"/>
      <c r="U476" s="133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57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33"/>
      <c r="T477" s="133"/>
      <c r="U477" s="133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57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33"/>
      <c r="T478" s="133"/>
      <c r="U478" s="133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57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33"/>
      <c r="T479" s="133"/>
      <c r="U479" s="133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57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33"/>
      <c r="T480" s="133"/>
      <c r="U480" s="133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57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33"/>
      <c r="T481" s="133"/>
      <c r="U481" s="133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57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33"/>
      <c r="T482" s="133"/>
      <c r="U482" s="133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57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33"/>
      <c r="T483" s="133"/>
      <c r="U483" s="133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57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33"/>
      <c r="T484" s="133"/>
      <c r="U484" s="133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57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33"/>
      <c r="T485" s="133"/>
      <c r="U485" s="133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57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33"/>
      <c r="T486" s="133"/>
      <c r="U486" s="133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57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33"/>
      <c r="T487" s="133"/>
      <c r="U487" s="133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57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33"/>
      <c r="T488" s="133"/>
      <c r="U488" s="133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57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33"/>
      <c r="T489" s="133"/>
      <c r="U489" s="133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57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33"/>
      <c r="T490" s="133"/>
      <c r="U490" s="133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57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33"/>
      <c r="T491" s="133"/>
      <c r="U491" s="133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57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33"/>
      <c r="T492" s="133"/>
      <c r="U492" s="133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57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33"/>
      <c r="T493" s="133"/>
      <c r="U493" s="133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57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33"/>
      <c r="T494" s="133"/>
      <c r="U494" s="133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57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33"/>
      <c r="T495" s="133"/>
      <c r="U495" s="133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57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33"/>
      <c r="T496" s="133"/>
      <c r="U496" s="133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57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33"/>
      <c r="T497" s="133"/>
      <c r="U497" s="133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57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33"/>
      <c r="T498" s="133"/>
      <c r="U498" s="133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57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33"/>
      <c r="T499" s="133"/>
      <c r="U499" s="133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57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33"/>
      <c r="T500" s="133"/>
      <c r="U500" s="133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57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33"/>
      <c r="T501" s="133"/>
      <c r="U501" s="133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57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33"/>
      <c r="T502" s="133"/>
      <c r="U502" s="133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57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33"/>
      <c r="T503" s="133"/>
      <c r="U503" s="133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57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33"/>
      <c r="T504" s="133"/>
      <c r="U504" s="133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57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33"/>
      <c r="T505" s="133"/>
      <c r="U505" s="133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57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33"/>
      <c r="T506" s="133"/>
      <c r="U506" s="133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57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33"/>
      <c r="T507" s="133"/>
      <c r="U507" s="133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57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33"/>
      <c r="T508" s="133"/>
      <c r="U508" s="133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57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33"/>
      <c r="T509" s="133"/>
      <c r="U509" s="133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57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33"/>
      <c r="T510" s="133"/>
      <c r="U510" s="133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57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33"/>
      <c r="T511" s="133"/>
      <c r="U511" s="133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57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33"/>
      <c r="T512" s="133"/>
      <c r="U512" s="133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57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33"/>
      <c r="T513" s="133"/>
      <c r="U513" s="133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57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33"/>
      <c r="T514" s="133"/>
      <c r="U514" s="133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57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33"/>
      <c r="T515" s="133"/>
      <c r="U515" s="133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57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33"/>
      <c r="T516" s="133"/>
      <c r="U516" s="133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57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33"/>
      <c r="T517" s="133"/>
      <c r="U517" s="133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57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33"/>
      <c r="T518" s="133"/>
      <c r="U518" s="133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57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33"/>
      <c r="T519" s="133"/>
      <c r="U519" s="133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57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33"/>
      <c r="T520" s="133"/>
      <c r="U520" s="133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57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33"/>
      <c r="T521" s="133"/>
      <c r="U521" s="133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57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33"/>
      <c r="T522" s="133"/>
      <c r="U522" s="133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57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33"/>
      <c r="T523" s="133"/>
      <c r="U523" s="133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57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33"/>
      <c r="T524" s="133"/>
      <c r="U524" s="133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57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33"/>
      <c r="T525" s="133"/>
      <c r="U525" s="133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57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33"/>
      <c r="T526" s="133"/>
      <c r="U526" s="133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57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33"/>
      <c r="T527" s="133"/>
      <c r="U527" s="133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57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33"/>
      <c r="T528" s="133"/>
      <c r="U528" s="133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57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33"/>
      <c r="T529" s="133"/>
      <c r="U529" s="133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57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33"/>
      <c r="T530" s="133"/>
      <c r="U530" s="133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57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33"/>
      <c r="T531" s="133"/>
      <c r="U531" s="133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57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33"/>
      <c r="T532" s="133"/>
      <c r="U532" s="133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57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33"/>
      <c r="T533" s="133"/>
      <c r="U533" s="133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57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33"/>
      <c r="T534" s="133"/>
      <c r="U534" s="133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57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33"/>
      <c r="T535" s="133"/>
      <c r="U535" s="133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57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33"/>
      <c r="T536" s="133"/>
      <c r="U536" s="133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57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33"/>
      <c r="T537" s="133"/>
      <c r="U537" s="133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57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33"/>
      <c r="T538" s="133"/>
      <c r="U538" s="133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57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33"/>
      <c r="T539" s="133"/>
      <c r="U539" s="133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57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33"/>
      <c r="T540" s="133"/>
      <c r="U540" s="133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57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33"/>
      <c r="T541" s="133"/>
      <c r="U541" s="133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57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33"/>
      <c r="T542" s="133"/>
      <c r="U542" s="133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57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33"/>
      <c r="T543" s="133"/>
      <c r="U543" s="133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57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33"/>
      <c r="T544" s="133"/>
      <c r="U544" s="133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57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33"/>
      <c r="T545" s="133"/>
      <c r="U545" s="133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57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33"/>
      <c r="T546" s="133"/>
      <c r="U546" s="133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57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33"/>
      <c r="T547" s="133"/>
      <c r="U547" s="133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57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33"/>
      <c r="T548" s="133"/>
      <c r="U548" s="133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57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33"/>
      <c r="T549" s="133"/>
      <c r="U549" s="133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57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33"/>
      <c r="T550" s="133"/>
      <c r="U550" s="133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57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33"/>
      <c r="T551" s="133"/>
      <c r="U551" s="133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57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33"/>
      <c r="T552" s="133"/>
      <c r="U552" s="133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57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33"/>
      <c r="T553" s="133"/>
      <c r="U553" s="133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57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33"/>
      <c r="T554" s="133"/>
      <c r="U554" s="133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57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33"/>
      <c r="T555" s="133"/>
      <c r="U555" s="133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57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33"/>
      <c r="T556" s="133"/>
      <c r="U556" s="133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57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33"/>
      <c r="T557" s="133"/>
      <c r="U557" s="133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57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33"/>
      <c r="T558" s="133"/>
      <c r="U558" s="133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57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33"/>
      <c r="T559" s="133"/>
      <c r="U559" s="133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57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33"/>
      <c r="T560" s="133"/>
      <c r="U560" s="133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57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33"/>
      <c r="T561" s="133"/>
      <c r="U561" s="133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57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33"/>
      <c r="T562" s="133"/>
      <c r="U562" s="133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57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33"/>
      <c r="T563" s="133"/>
      <c r="U563" s="133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57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33"/>
      <c r="T564" s="133"/>
      <c r="U564" s="133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57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33"/>
      <c r="T565" s="133"/>
      <c r="U565" s="133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57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33"/>
      <c r="T566" s="133"/>
      <c r="U566" s="133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57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33"/>
      <c r="T567" s="133"/>
      <c r="U567" s="133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57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33"/>
      <c r="T568" s="133"/>
      <c r="U568" s="133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57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33"/>
      <c r="T569" s="133"/>
      <c r="U569" s="133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57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33"/>
      <c r="T570" s="133"/>
      <c r="U570" s="133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57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33"/>
      <c r="T571" s="133"/>
      <c r="U571" s="133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57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33"/>
      <c r="T572" s="133"/>
      <c r="U572" s="133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57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33"/>
      <c r="T573" s="133"/>
      <c r="U573" s="133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57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33"/>
      <c r="T574" s="133"/>
      <c r="U574" s="133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57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33"/>
      <c r="T575" s="133"/>
      <c r="U575" s="133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57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33"/>
      <c r="T576" s="133"/>
      <c r="U576" s="133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57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33"/>
      <c r="T577" s="133"/>
      <c r="U577" s="133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57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33"/>
      <c r="T578" s="133"/>
      <c r="U578" s="133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57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33"/>
      <c r="T579" s="133"/>
      <c r="U579" s="133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57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33"/>
      <c r="T580" s="133"/>
      <c r="U580" s="133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57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33"/>
      <c r="T581" s="133"/>
      <c r="U581" s="133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57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33"/>
      <c r="T582" s="133"/>
      <c r="U582" s="133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57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33"/>
      <c r="T583" s="133"/>
      <c r="U583" s="133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57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33"/>
      <c r="T584" s="133"/>
      <c r="U584" s="133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57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33"/>
      <c r="T585" s="133"/>
      <c r="U585" s="133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57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33"/>
      <c r="T586" s="133"/>
      <c r="U586" s="133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57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33"/>
      <c r="T587" s="133"/>
      <c r="U587" s="133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57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33"/>
      <c r="T588" s="133"/>
      <c r="U588" s="133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57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33"/>
      <c r="T589" s="133"/>
      <c r="U589" s="133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57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33"/>
      <c r="T590" s="133"/>
      <c r="U590" s="133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57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33"/>
      <c r="T591" s="133"/>
      <c r="U591" s="133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57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33"/>
      <c r="T592" s="133"/>
      <c r="U592" s="133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57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33"/>
      <c r="T593" s="133"/>
      <c r="U593" s="133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57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33"/>
      <c r="T594" s="133"/>
      <c r="U594" s="133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57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33"/>
      <c r="T595" s="133"/>
      <c r="U595" s="133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57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33"/>
      <c r="T596" s="133"/>
      <c r="U596" s="133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57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33"/>
      <c r="T597" s="133"/>
      <c r="U597" s="133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57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33"/>
      <c r="T598" s="133"/>
      <c r="U598" s="133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57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33"/>
      <c r="T599" s="133"/>
      <c r="U599" s="133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57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33"/>
      <c r="T600" s="133"/>
      <c r="U600" s="133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57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33"/>
      <c r="T601" s="133"/>
      <c r="U601" s="133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57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33"/>
      <c r="T602" s="133"/>
      <c r="U602" s="133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57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33"/>
      <c r="T603" s="133"/>
      <c r="U603" s="133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57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33"/>
      <c r="T604" s="133"/>
      <c r="U604" s="133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57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33"/>
      <c r="T605" s="133"/>
      <c r="U605" s="133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57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33"/>
      <c r="T606" s="133"/>
      <c r="U606" s="133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57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33"/>
      <c r="T607" s="133"/>
      <c r="U607" s="133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57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33"/>
      <c r="T608" s="133"/>
      <c r="U608" s="133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57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33"/>
      <c r="T609" s="133"/>
      <c r="U609" s="133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57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33"/>
      <c r="T610" s="133"/>
      <c r="U610" s="133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57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33"/>
      <c r="T611" s="133"/>
      <c r="U611" s="133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57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33"/>
      <c r="T612" s="133"/>
      <c r="U612" s="133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57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33"/>
      <c r="T613" s="133"/>
      <c r="U613" s="133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57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33"/>
      <c r="T614" s="133"/>
      <c r="U614" s="133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57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33"/>
      <c r="T615" s="133"/>
      <c r="U615" s="133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57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33"/>
      <c r="T616" s="133"/>
      <c r="U616" s="133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57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33"/>
      <c r="T617" s="133"/>
      <c r="U617" s="133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57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33"/>
      <c r="T618" s="133"/>
      <c r="U618" s="133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57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33"/>
      <c r="T619" s="133"/>
      <c r="U619" s="133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57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33"/>
      <c r="T620" s="133"/>
      <c r="U620" s="133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57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33"/>
      <c r="T621" s="133"/>
      <c r="U621" s="133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57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33"/>
      <c r="T622" s="133"/>
      <c r="U622" s="133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57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33"/>
      <c r="T623" s="133"/>
      <c r="U623" s="133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57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33"/>
      <c r="T624" s="133"/>
      <c r="U624" s="133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57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33"/>
      <c r="T625" s="133"/>
      <c r="U625" s="133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57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33"/>
      <c r="T626" s="133"/>
      <c r="U626" s="133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57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33"/>
      <c r="T627" s="133"/>
      <c r="U627" s="133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57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33"/>
      <c r="T628" s="133"/>
      <c r="U628" s="133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57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33"/>
      <c r="T629" s="133"/>
      <c r="U629" s="133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57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33"/>
      <c r="T630" s="133"/>
      <c r="U630" s="133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57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33"/>
      <c r="T631" s="133"/>
      <c r="U631" s="133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57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33"/>
      <c r="T632" s="133"/>
      <c r="U632" s="133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57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33"/>
      <c r="T633" s="133"/>
      <c r="U633" s="133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57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33"/>
      <c r="T634" s="133"/>
      <c r="U634" s="133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57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33"/>
      <c r="T635" s="133"/>
      <c r="U635" s="133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57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33"/>
      <c r="T636" s="133"/>
      <c r="U636" s="133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57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33"/>
      <c r="T637" s="133"/>
      <c r="U637" s="133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57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33"/>
      <c r="T638" s="133"/>
      <c r="U638" s="133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57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33"/>
      <c r="T639" s="133"/>
      <c r="U639" s="133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57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33"/>
      <c r="T640" s="133"/>
      <c r="U640" s="133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57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33"/>
      <c r="T641" s="133"/>
      <c r="U641" s="133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57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33"/>
      <c r="T642" s="133"/>
      <c r="U642" s="133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57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33"/>
      <c r="T643" s="133"/>
      <c r="U643" s="133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57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33"/>
      <c r="T644" s="133"/>
      <c r="U644" s="133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57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33"/>
      <c r="T645" s="133"/>
      <c r="U645" s="133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57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33"/>
      <c r="T646" s="133"/>
      <c r="U646" s="133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57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33"/>
      <c r="T647" s="133"/>
      <c r="U647" s="133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57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33"/>
      <c r="T648" s="133"/>
      <c r="U648" s="133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57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33"/>
      <c r="T649" s="133"/>
      <c r="U649" s="133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57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33"/>
      <c r="T650" s="133"/>
      <c r="U650" s="133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57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33"/>
      <c r="T651" s="133"/>
      <c r="U651" s="133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57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33"/>
      <c r="T652" s="133"/>
      <c r="U652" s="133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57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33"/>
      <c r="T653" s="133"/>
      <c r="U653" s="133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57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33"/>
      <c r="T654" s="133"/>
      <c r="U654" s="133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57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33"/>
      <c r="T655" s="133"/>
      <c r="U655" s="133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57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33"/>
      <c r="T656" s="133"/>
      <c r="U656" s="133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57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33"/>
      <c r="T657" s="133"/>
      <c r="U657" s="133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57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33"/>
      <c r="T658" s="133"/>
      <c r="U658" s="133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57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33"/>
      <c r="T659" s="133"/>
      <c r="U659" s="133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57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33"/>
      <c r="T660" s="133"/>
      <c r="U660" s="133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57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33"/>
      <c r="T661" s="133"/>
      <c r="U661" s="133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57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33"/>
      <c r="T662" s="133"/>
      <c r="U662" s="133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57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33"/>
      <c r="T663" s="133"/>
      <c r="U663" s="133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57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33"/>
      <c r="T664" s="133"/>
      <c r="U664" s="133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57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33"/>
      <c r="T665" s="133"/>
      <c r="U665" s="133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57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33"/>
      <c r="T666" s="133"/>
      <c r="U666" s="133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57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33"/>
      <c r="T667" s="133"/>
      <c r="U667" s="133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57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33"/>
      <c r="T668" s="133"/>
      <c r="U668" s="133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57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33"/>
      <c r="T669" s="133"/>
      <c r="U669" s="133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57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33"/>
      <c r="T670" s="133"/>
      <c r="U670" s="133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57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33"/>
      <c r="T671" s="133"/>
      <c r="U671" s="133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57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33"/>
      <c r="T672" s="133"/>
      <c r="U672" s="133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57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33"/>
      <c r="T673" s="133"/>
      <c r="U673" s="133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57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33"/>
      <c r="T674" s="133"/>
      <c r="U674" s="133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57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33"/>
      <c r="T675" s="133"/>
      <c r="U675" s="133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57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33"/>
      <c r="T676" s="133"/>
      <c r="U676" s="133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57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33"/>
      <c r="T677" s="133"/>
      <c r="U677" s="133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57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33"/>
      <c r="T678" s="133"/>
      <c r="U678" s="133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57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33"/>
      <c r="T679" s="133"/>
      <c r="U679" s="133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57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33"/>
      <c r="T680" s="133"/>
      <c r="U680" s="133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57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33"/>
      <c r="T681" s="133"/>
      <c r="U681" s="133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57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33"/>
      <c r="T682" s="133"/>
      <c r="U682" s="133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57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33"/>
      <c r="T683" s="133"/>
      <c r="U683" s="133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57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33"/>
      <c r="T684" s="133"/>
      <c r="U684" s="133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57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33"/>
      <c r="T685" s="133"/>
      <c r="U685" s="133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57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33"/>
      <c r="T686" s="133"/>
      <c r="U686" s="133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57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33"/>
      <c r="T687" s="133"/>
      <c r="U687" s="133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57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33"/>
      <c r="T688" s="133"/>
      <c r="U688" s="133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57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33"/>
      <c r="T689" s="133"/>
      <c r="U689" s="133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57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33"/>
      <c r="T690" s="133"/>
      <c r="U690" s="133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57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33"/>
      <c r="T691" s="133"/>
      <c r="U691" s="133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57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33"/>
      <c r="T692" s="133"/>
      <c r="U692" s="133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57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33"/>
      <c r="T693" s="133"/>
      <c r="U693" s="133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57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33"/>
      <c r="T694" s="133"/>
      <c r="U694" s="133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57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33"/>
      <c r="T695" s="133"/>
      <c r="U695" s="133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57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33"/>
      <c r="T696" s="133"/>
      <c r="U696" s="133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57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33"/>
      <c r="T697" s="133"/>
      <c r="U697" s="133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57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33"/>
      <c r="T698" s="133"/>
      <c r="U698" s="133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57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33"/>
      <c r="T699" s="133"/>
      <c r="U699" s="133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57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33"/>
      <c r="T700" s="133"/>
      <c r="U700" s="133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57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33"/>
      <c r="T701" s="133"/>
      <c r="U701" s="133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57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33"/>
      <c r="T702" s="133"/>
      <c r="U702" s="133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57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33"/>
      <c r="T703" s="133"/>
      <c r="U703" s="133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57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33"/>
      <c r="T704" s="133"/>
      <c r="U704" s="133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57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33"/>
      <c r="T705" s="133"/>
      <c r="U705" s="133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57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33"/>
      <c r="T706" s="133"/>
      <c r="U706" s="133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57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33"/>
      <c r="T707" s="133"/>
      <c r="U707" s="133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57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33"/>
      <c r="T708" s="133"/>
      <c r="U708" s="133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57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33"/>
      <c r="T709" s="133"/>
      <c r="U709" s="133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57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33"/>
      <c r="T710" s="133"/>
      <c r="U710" s="133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57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33"/>
      <c r="T711" s="133"/>
      <c r="U711" s="133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57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33"/>
      <c r="T712" s="133"/>
      <c r="U712" s="133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57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33"/>
      <c r="T713" s="133"/>
      <c r="U713" s="133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57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33"/>
      <c r="T714" s="133"/>
      <c r="U714" s="133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57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33"/>
      <c r="T715" s="133"/>
      <c r="U715" s="133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57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33"/>
      <c r="T716" s="133"/>
      <c r="U716" s="133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57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33"/>
      <c r="T717" s="133"/>
      <c r="U717" s="133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57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33"/>
      <c r="T718" s="133"/>
      <c r="U718" s="133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57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33"/>
      <c r="T719" s="133"/>
      <c r="U719" s="133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57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33"/>
      <c r="T720" s="133"/>
      <c r="U720" s="133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57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33"/>
      <c r="T721" s="133"/>
      <c r="U721" s="133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57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33"/>
      <c r="T722" s="133"/>
      <c r="U722" s="133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57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33"/>
      <c r="T723" s="133"/>
      <c r="U723" s="133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57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33"/>
      <c r="T724" s="133"/>
      <c r="U724" s="133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57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33"/>
      <c r="T725" s="133"/>
      <c r="U725" s="133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57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33"/>
      <c r="T726" s="133"/>
      <c r="U726" s="133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57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33"/>
      <c r="T727" s="133"/>
      <c r="U727" s="133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57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33"/>
      <c r="T728" s="133"/>
      <c r="U728" s="133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57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33"/>
      <c r="T729" s="133"/>
      <c r="U729" s="133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57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33"/>
      <c r="T730" s="133"/>
      <c r="U730" s="133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57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33"/>
      <c r="T731" s="133"/>
      <c r="U731" s="133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57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33"/>
      <c r="T732" s="133"/>
      <c r="U732" s="133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57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33"/>
      <c r="T733" s="133"/>
      <c r="U733" s="133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57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33"/>
      <c r="T734" s="133"/>
      <c r="U734" s="133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57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33"/>
      <c r="T735" s="133"/>
      <c r="U735" s="133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57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33"/>
      <c r="T736" s="133"/>
      <c r="U736" s="133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57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33"/>
      <c r="T737" s="133"/>
      <c r="U737" s="133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57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33"/>
      <c r="T738" s="133"/>
      <c r="U738" s="133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57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33"/>
      <c r="T739" s="133"/>
      <c r="U739" s="133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57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33"/>
      <c r="T740" s="133"/>
      <c r="U740" s="133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57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33"/>
      <c r="T741" s="133"/>
      <c r="U741" s="133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57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33"/>
      <c r="T742" s="133"/>
      <c r="U742" s="133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57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33"/>
      <c r="T743" s="133"/>
      <c r="U743" s="133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57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33"/>
      <c r="T744" s="133"/>
      <c r="U744" s="133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57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33"/>
      <c r="T745" s="133"/>
      <c r="U745" s="133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57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33"/>
      <c r="T746" s="133"/>
      <c r="U746" s="133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57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33"/>
      <c r="T747" s="133"/>
      <c r="U747" s="133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57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33"/>
      <c r="T748" s="133"/>
      <c r="U748" s="133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57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33"/>
      <c r="T749" s="133"/>
      <c r="U749" s="133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57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33"/>
      <c r="T750" s="133"/>
      <c r="U750" s="133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57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33"/>
      <c r="T751" s="133"/>
      <c r="U751" s="133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57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33"/>
      <c r="T752" s="133"/>
      <c r="U752" s="133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57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33"/>
      <c r="T753" s="133"/>
      <c r="U753" s="133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57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33"/>
      <c r="T754" s="133"/>
      <c r="U754" s="133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57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33"/>
      <c r="T755" s="133"/>
      <c r="U755" s="133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57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33"/>
      <c r="T756" s="133"/>
      <c r="U756" s="133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57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33"/>
      <c r="T757" s="133"/>
      <c r="U757" s="133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57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33"/>
      <c r="T758" s="133"/>
      <c r="U758" s="133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57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33"/>
      <c r="T759" s="133"/>
      <c r="U759" s="133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57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33"/>
      <c r="T760" s="133"/>
      <c r="U760" s="133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57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33"/>
      <c r="T761" s="133"/>
      <c r="U761" s="133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57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33"/>
      <c r="T762" s="133"/>
      <c r="U762" s="133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57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33"/>
      <c r="T763" s="133"/>
      <c r="U763" s="133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57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33"/>
      <c r="T764" s="133"/>
      <c r="U764" s="133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57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33"/>
      <c r="T765" s="133"/>
      <c r="U765" s="133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57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33"/>
      <c r="T766" s="133"/>
      <c r="U766" s="133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57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33"/>
      <c r="T767" s="133"/>
      <c r="U767" s="133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57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33"/>
      <c r="T768" s="133"/>
      <c r="U768" s="133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57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33"/>
      <c r="T769" s="133"/>
      <c r="U769" s="133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57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33"/>
      <c r="T770" s="133"/>
      <c r="U770" s="133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57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33"/>
      <c r="T771" s="133"/>
      <c r="U771" s="133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57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33"/>
      <c r="T772" s="133"/>
      <c r="U772" s="133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57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33"/>
      <c r="T773" s="133"/>
      <c r="U773" s="133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57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33"/>
      <c r="T774" s="133"/>
      <c r="U774" s="133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57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33"/>
      <c r="T775" s="133"/>
      <c r="U775" s="133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57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33"/>
      <c r="T776" s="133"/>
      <c r="U776" s="133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57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33"/>
      <c r="T777" s="133"/>
      <c r="U777" s="133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57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33"/>
      <c r="T778" s="133"/>
      <c r="U778" s="133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57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33"/>
      <c r="T779" s="133"/>
      <c r="U779" s="133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57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33"/>
      <c r="T780" s="133"/>
      <c r="U780" s="133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57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33"/>
      <c r="T781" s="133"/>
      <c r="U781" s="133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57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33"/>
      <c r="T782" s="133"/>
      <c r="U782" s="133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57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33"/>
      <c r="T783" s="133"/>
      <c r="U783" s="133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57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33"/>
      <c r="T784" s="133"/>
      <c r="U784" s="133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57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33"/>
      <c r="T785" s="133"/>
      <c r="U785" s="133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57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33"/>
      <c r="T786" s="133"/>
      <c r="U786" s="133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57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33"/>
      <c r="T787" s="133"/>
      <c r="U787" s="133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57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33"/>
      <c r="T788" s="133"/>
      <c r="U788" s="133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57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33"/>
      <c r="T789" s="133"/>
      <c r="U789" s="133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57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33"/>
      <c r="T790" s="133"/>
      <c r="U790" s="133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57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33"/>
      <c r="T791" s="133"/>
      <c r="U791" s="133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57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33"/>
      <c r="T792" s="133"/>
      <c r="U792" s="133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57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33"/>
      <c r="T793" s="133"/>
      <c r="U793" s="133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57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33"/>
      <c r="T794" s="133"/>
      <c r="U794" s="133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57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33"/>
      <c r="T795" s="133"/>
      <c r="U795" s="133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57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33"/>
      <c r="T796" s="133"/>
      <c r="U796" s="133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57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33"/>
      <c r="T797" s="133"/>
      <c r="U797" s="133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57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33"/>
      <c r="T798" s="133"/>
      <c r="U798" s="133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57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33"/>
      <c r="T799" s="133"/>
      <c r="U799" s="133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57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33"/>
      <c r="T800" s="133"/>
      <c r="U800" s="133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57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33"/>
      <c r="T801" s="133"/>
      <c r="U801" s="133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57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33"/>
      <c r="T802" s="133"/>
      <c r="U802" s="133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57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33"/>
      <c r="T803" s="133"/>
      <c r="U803" s="133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57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33"/>
      <c r="T804" s="133"/>
      <c r="U804" s="133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57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33"/>
      <c r="T805" s="133"/>
      <c r="U805" s="133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57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33"/>
      <c r="T806" s="133"/>
      <c r="U806" s="133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57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33"/>
      <c r="T807" s="133"/>
      <c r="U807" s="133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57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33"/>
      <c r="T808" s="133"/>
      <c r="U808" s="133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57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33"/>
      <c r="T809" s="133"/>
      <c r="U809" s="133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57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33"/>
      <c r="T810" s="133"/>
      <c r="U810" s="133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57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33"/>
      <c r="T811" s="133"/>
      <c r="U811" s="133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57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33"/>
      <c r="T812" s="133"/>
      <c r="U812" s="133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57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33"/>
      <c r="T813" s="133"/>
      <c r="U813" s="133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57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33"/>
      <c r="T814" s="133"/>
      <c r="U814" s="133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57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33"/>
      <c r="T815" s="133"/>
      <c r="U815" s="133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57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33"/>
      <c r="T816" s="133"/>
      <c r="U816" s="133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57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33"/>
      <c r="T817" s="133"/>
      <c r="U817" s="133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57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33"/>
      <c r="T818" s="133"/>
      <c r="U818" s="133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57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33"/>
      <c r="T819" s="133"/>
      <c r="U819" s="133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57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33"/>
      <c r="T820" s="133"/>
      <c r="U820" s="133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57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33"/>
      <c r="T821" s="133"/>
      <c r="U821" s="133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57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33"/>
      <c r="T822" s="133"/>
      <c r="U822" s="133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57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33"/>
      <c r="T823" s="133"/>
      <c r="U823" s="133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57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33"/>
      <c r="T824" s="133"/>
      <c r="U824" s="133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57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33"/>
      <c r="T825" s="133"/>
      <c r="U825" s="133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57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33"/>
      <c r="T826" s="133"/>
      <c r="U826" s="133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57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33"/>
      <c r="T827" s="133"/>
      <c r="U827" s="133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57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33"/>
      <c r="T828" s="133"/>
      <c r="U828" s="133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57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33"/>
      <c r="T829" s="133"/>
      <c r="U829" s="133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57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33"/>
      <c r="T830" s="133"/>
      <c r="U830" s="133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57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33"/>
      <c r="T831" s="133"/>
      <c r="U831" s="133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57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33"/>
      <c r="T832" s="133"/>
      <c r="U832" s="133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57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33"/>
      <c r="T833" s="133"/>
      <c r="U833" s="133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57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33"/>
      <c r="T834" s="133"/>
      <c r="U834" s="133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57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33"/>
      <c r="T835" s="133"/>
      <c r="U835" s="133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57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33"/>
      <c r="T836" s="133"/>
      <c r="U836" s="133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57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33"/>
      <c r="T837" s="133"/>
      <c r="U837" s="133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57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33"/>
      <c r="T838" s="133"/>
      <c r="U838" s="133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57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33"/>
      <c r="T839" s="133"/>
      <c r="U839" s="133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57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33"/>
      <c r="T840" s="133"/>
      <c r="U840" s="133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57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33"/>
      <c r="T841" s="133"/>
      <c r="U841" s="133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57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33"/>
      <c r="T842" s="133"/>
      <c r="U842" s="133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57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33"/>
      <c r="T843" s="133"/>
      <c r="U843" s="133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57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33"/>
      <c r="T844" s="133"/>
      <c r="U844" s="133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57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33"/>
      <c r="T845" s="133"/>
      <c r="U845" s="133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57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33"/>
      <c r="T846" s="133"/>
      <c r="U846" s="133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57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33"/>
      <c r="T847" s="133"/>
      <c r="U847" s="133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57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33"/>
      <c r="T848" s="133"/>
      <c r="U848" s="133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57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33"/>
      <c r="T849" s="133"/>
      <c r="U849" s="133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57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33"/>
      <c r="T850" s="133"/>
      <c r="U850" s="133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57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33"/>
      <c r="T851" s="133"/>
      <c r="U851" s="133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57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33"/>
      <c r="T852" s="133"/>
      <c r="U852" s="133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57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33"/>
      <c r="T853" s="133"/>
      <c r="U853" s="133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57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33"/>
      <c r="T854" s="133"/>
      <c r="U854" s="133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57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33"/>
      <c r="T855" s="133"/>
      <c r="U855" s="133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57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33"/>
      <c r="T856" s="133"/>
      <c r="U856" s="133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57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33"/>
      <c r="T857" s="133"/>
      <c r="U857" s="133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57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33"/>
      <c r="T858" s="133"/>
      <c r="U858" s="133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57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33"/>
      <c r="T859" s="133"/>
      <c r="U859" s="133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57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33"/>
      <c r="T860" s="133"/>
      <c r="U860" s="133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57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33"/>
      <c r="T861" s="133"/>
      <c r="U861" s="133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57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33"/>
      <c r="T862" s="133"/>
      <c r="U862" s="133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57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33"/>
      <c r="T863" s="133"/>
      <c r="U863" s="133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57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33"/>
      <c r="T864" s="133"/>
      <c r="U864" s="133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57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33"/>
      <c r="T865" s="133"/>
      <c r="U865" s="133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57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33"/>
      <c r="T866" s="133"/>
      <c r="U866" s="133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57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33"/>
      <c r="T867" s="133"/>
      <c r="U867" s="133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57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33"/>
      <c r="T868" s="133"/>
      <c r="U868" s="133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57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33"/>
      <c r="T869" s="133"/>
      <c r="U869" s="133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57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33"/>
      <c r="T870" s="133"/>
      <c r="U870" s="133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57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33"/>
      <c r="T871" s="133"/>
      <c r="U871" s="133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57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33"/>
      <c r="T872" s="133"/>
      <c r="U872" s="133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57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33"/>
      <c r="T873" s="133"/>
      <c r="U873" s="133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57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33"/>
      <c r="T874" s="133"/>
      <c r="U874" s="133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57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33"/>
      <c r="T875" s="133"/>
      <c r="U875" s="133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57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33"/>
      <c r="T876" s="133"/>
      <c r="U876" s="133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57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33"/>
      <c r="T877" s="133"/>
      <c r="U877" s="133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57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33"/>
      <c r="T878" s="133"/>
      <c r="U878" s="133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57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33"/>
      <c r="T879" s="133"/>
      <c r="U879" s="133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57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33"/>
      <c r="T880" s="133"/>
      <c r="U880" s="133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57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33"/>
      <c r="T881" s="133"/>
      <c r="U881" s="133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57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33"/>
      <c r="T882" s="133"/>
      <c r="U882" s="133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57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33"/>
      <c r="T883" s="133"/>
      <c r="U883" s="133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57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33"/>
      <c r="T884" s="133"/>
      <c r="U884" s="133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57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33"/>
      <c r="T885" s="133"/>
      <c r="U885" s="133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57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33"/>
      <c r="T886" s="133"/>
      <c r="U886" s="133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57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33"/>
      <c r="T887" s="133"/>
      <c r="U887" s="133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57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33"/>
      <c r="T888" s="133"/>
      <c r="U888" s="133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57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33"/>
      <c r="T889" s="133"/>
      <c r="U889" s="133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57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33"/>
      <c r="T890" s="133"/>
      <c r="U890" s="133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57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33"/>
      <c r="T891" s="133"/>
      <c r="U891" s="133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57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33"/>
      <c r="T892" s="133"/>
      <c r="U892" s="133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57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33"/>
      <c r="T893" s="133"/>
      <c r="U893" s="133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57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33"/>
      <c r="T894" s="133"/>
      <c r="U894" s="133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57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33"/>
      <c r="T895" s="133"/>
      <c r="U895" s="133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57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33"/>
      <c r="T896" s="133"/>
      <c r="U896" s="133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57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33"/>
      <c r="T897" s="133"/>
      <c r="U897" s="133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57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33"/>
      <c r="T898" s="133"/>
      <c r="U898" s="133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57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33"/>
      <c r="T899" s="133"/>
      <c r="U899" s="133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57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33"/>
      <c r="T900" s="133"/>
      <c r="U900" s="133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57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33"/>
      <c r="T901" s="133"/>
      <c r="U901" s="133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57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33"/>
      <c r="T902" s="133"/>
      <c r="U902" s="133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57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33"/>
      <c r="T903" s="133"/>
      <c r="U903" s="133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57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33"/>
      <c r="T904" s="133"/>
      <c r="U904" s="133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57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33"/>
      <c r="T905" s="133"/>
      <c r="U905" s="133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57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33"/>
      <c r="T906" s="133"/>
      <c r="U906" s="133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57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33"/>
      <c r="T907" s="133"/>
      <c r="U907" s="133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57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33"/>
      <c r="T908" s="133"/>
      <c r="U908" s="133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57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33"/>
      <c r="T909" s="133"/>
      <c r="U909" s="133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57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33"/>
      <c r="T910" s="133"/>
      <c r="U910" s="133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57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33"/>
      <c r="T911" s="133"/>
      <c r="U911" s="133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57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33"/>
      <c r="T912" s="133"/>
      <c r="U912" s="133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57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33"/>
      <c r="T913" s="133"/>
      <c r="U913" s="133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57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33"/>
      <c r="T914" s="133"/>
      <c r="U914" s="133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57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33"/>
      <c r="T915" s="133"/>
      <c r="U915" s="133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57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33"/>
      <c r="T916" s="133"/>
      <c r="U916" s="133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57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33"/>
      <c r="T917" s="133"/>
      <c r="U917" s="133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57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33"/>
      <c r="T918" s="133"/>
      <c r="U918" s="133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57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33"/>
      <c r="T919" s="133"/>
      <c r="U919" s="133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57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33"/>
      <c r="T920" s="133"/>
      <c r="U920" s="133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57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33"/>
      <c r="T921" s="133"/>
      <c r="U921" s="133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57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33"/>
      <c r="T922" s="133"/>
      <c r="U922" s="133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57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33"/>
      <c r="T923" s="133"/>
      <c r="U923" s="133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57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33"/>
      <c r="T924" s="133"/>
      <c r="U924" s="133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57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33"/>
      <c r="T925" s="133"/>
      <c r="U925" s="133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57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33"/>
      <c r="T926" s="133"/>
      <c r="U926" s="133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57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33"/>
      <c r="T927" s="133"/>
      <c r="U927" s="133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57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33"/>
      <c r="T928" s="133"/>
      <c r="U928" s="133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57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33"/>
      <c r="T929" s="133"/>
      <c r="U929" s="133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57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33"/>
      <c r="T930" s="133"/>
      <c r="U930" s="133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57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33"/>
      <c r="T931" s="133"/>
      <c r="U931" s="133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57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33"/>
      <c r="T932" s="133"/>
      <c r="U932" s="133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57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33"/>
      <c r="T933" s="133"/>
      <c r="U933" s="133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57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33"/>
      <c r="T934" s="133"/>
      <c r="U934" s="133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57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33"/>
      <c r="T935" s="133"/>
      <c r="U935" s="133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57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33"/>
      <c r="T936" s="133"/>
      <c r="U936" s="133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57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33"/>
      <c r="T937" s="133"/>
      <c r="U937" s="133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57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33"/>
      <c r="T938" s="133"/>
      <c r="U938" s="133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57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33"/>
      <c r="T939" s="133"/>
      <c r="U939" s="133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57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33"/>
      <c r="T940" s="133"/>
      <c r="U940" s="133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57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33"/>
      <c r="T941" s="133"/>
      <c r="U941" s="133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57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33"/>
      <c r="T942" s="133"/>
      <c r="U942" s="133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57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33"/>
      <c r="T943" s="133"/>
      <c r="U943" s="133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57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33"/>
      <c r="T944" s="133"/>
      <c r="U944" s="133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57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33"/>
      <c r="T945" s="133"/>
      <c r="U945" s="133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57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33"/>
      <c r="T946" s="133"/>
      <c r="U946" s="133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57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33"/>
      <c r="T947" s="133"/>
      <c r="U947" s="133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57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33"/>
      <c r="T948" s="133"/>
      <c r="U948" s="133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57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33"/>
      <c r="T949" s="133"/>
      <c r="U949" s="133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57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33"/>
      <c r="T950" s="133"/>
      <c r="U950" s="133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57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33"/>
      <c r="T951" s="133"/>
      <c r="U951" s="133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57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33"/>
      <c r="T952" s="133"/>
      <c r="U952" s="133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57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33"/>
      <c r="T953" s="133"/>
      <c r="U953" s="133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57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33"/>
      <c r="T954" s="133"/>
      <c r="U954" s="133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57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33"/>
      <c r="T955" s="133"/>
      <c r="U955" s="133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57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33"/>
      <c r="T956" s="133"/>
      <c r="U956" s="133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57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33"/>
      <c r="T957" s="133"/>
      <c r="U957" s="133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57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33"/>
      <c r="T958" s="133"/>
      <c r="U958" s="133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57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33"/>
      <c r="T959" s="133"/>
      <c r="U959" s="133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57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33"/>
      <c r="T960" s="133"/>
      <c r="U960" s="133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57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33"/>
      <c r="T961" s="133"/>
      <c r="U961" s="133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57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33"/>
      <c r="T962" s="133"/>
      <c r="U962" s="133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57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33"/>
      <c r="T963" s="133"/>
      <c r="U963" s="133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57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33"/>
      <c r="T964" s="133"/>
      <c r="U964" s="133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57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33"/>
      <c r="T965" s="133"/>
      <c r="U965" s="133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57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33"/>
      <c r="T966" s="133"/>
      <c r="U966" s="133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57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33"/>
      <c r="T967" s="133"/>
      <c r="U967" s="133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57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33"/>
      <c r="T968" s="133"/>
      <c r="U968" s="133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57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33"/>
      <c r="T969" s="133"/>
      <c r="U969" s="133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57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33"/>
      <c r="T970" s="133"/>
      <c r="U970" s="133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57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33"/>
      <c r="T971" s="133"/>
      <c r="U971" s="133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57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33"/>
      <c r="T972" s="133"/>
      <c r="U972" s="133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57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33"/>
      <c r="T973" s="133"/>
      <c r="U973" s="133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57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33"/>
      <c r="T974" s="133"/>
      <c r="U974" s="133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57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33"/>
      <c r="T975" s="133"/>
      <c r="U975" s="133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57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33"/>
      <c r="T976" s="133"/>
      <c r="U976" s="133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57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33"/>
      <c r="T977" s="133"/>
      <c r="U977" s="133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57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33"/>
      <c r="T978" s="133"/>
      <c r="U978" s="133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57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33"/>
      <c r="T979" s="133"/>
      <c r="U979" s="133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57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33"/>
      <c r="T980" s="133"/>
      <c r="U980" s="133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57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33"/>
      <c r="T981" s="133"/>
      <c r="U981" s="133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57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33"/>
      <c r="T982" s="133"/>
      <c r="U982" s="133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57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33"/>
      <c r="T983" s="133"/>
      <c r="U983" s="133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57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33"/>
      <c r="T984" s="133"/>
      <c r="U984" s="133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57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33"/>
      <c r="T985" s="133"/>
      <c r="U985" s="133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57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33"/>
      <c r="T986" s="133"/>
      <c r="U986" s="133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57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33"/>
      <c r="T987" s="133"/>
      <c r="U987" s="133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57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33"/>
      <c r="T988" s="133"/>
      <c r="U988" s="133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57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33"/>
      <c r="T989" s="133"/>
      <c r="U989" s="133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57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33"/>
      <c r="T990" s="133"/>
      <c r="U990" s="133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57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33"/>
      <c r="T991" s="133"/>
      <c r="U991" s="133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57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33"/>
      <c r="T992" s="133"/>
      <c r="U992" s="133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57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33"/>
      <c r="T993" s="133"/>
      <c r="U993" s="133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57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33"/>
      <c r="T994" s="133"/>
      <c r="U994" s="133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57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33"/>
      <c r="T995" s="133"/>
      <c r="U995" s="133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57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33"/>
      <c r="T996" s="133"/>
      <c r="U996" s="133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57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33"/>
      <c r="T997" s="133"/>
      <c r="U997" s="133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57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33"/>
      <c r="T998" s="133"/>
      <c r="U998" s="133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57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33"/>
      <c r="T999" s="133"/>
      <c r="U999" s="133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57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33"/>
      <c r="T1000" s="133"/>
      <c r="U1000" s="133"/>
      <c r="V1000" s="1"/>
      <c r="W1000" s="1"/>
      <c r="X1000" s="1"/>
      <c r="Y1000" s="1"/>
      <c r="Z1000" s="1"/>
      <c r="AA1000" s="1"/>
      <c r="AB1000" s="1"/>
    </row>
    <row r="1001">
      <c r="A1001" s="1"/>
      <c r="B1001" s="1"/>
      <c r="C1001" s="1"/>
      <c r="D1001" s="1"/>
      <c r="E1001" s="157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33"/>
      <c r="T1001" s="133"/>
      <c r="U1001" s="133"/>
      <c r="V1001" s="1"/>
      <c r="W1001" s="1"/>
      <c r="X1001" s="1"/>
      <c r="Y1001" s="1"/>
      <c r="Z1001" s="1"/>
      <c r="AA1001" s="1"/>
      <c r="AB1001" s="1"/>
    </row>
    <row r="1002">
      <c r="A1002" s="1"/>
      <c r="B1002" s="1"/>
      <c r="C1002" s="1"/>
      <c r="D1002" s="1"/>
      <c r="E1002" s="157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33"/>
      <c r="T1002" s="133"/>
      <c r="U1002" s="133"/>
      <c r="V1002" s="1"/>
      <c r="W1002" s="1"/>
      <c r="X1002" s="1"/>
      <c r="Y1002" s="1"/>
      <c r="Z1002" s="1"/>
      <c r="AA1002" s="1"/>
      <c r="AB1002" s="1"/>
    </row>
    <row r="1003">
      <c r="A1003" s="1"/>
      <c r="B1003" s="1"/>
      <c r="C1003" s="1"/>
      <c r="D1003" s="1"/>
      <c r="E1003" s="157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33"/>
      <c r="T1003" s="133"/>
      <c r="U1003" s="133"/>
      <c r="V1003" s="1"/>
      <c r="W1003" s="1"/>
      <c r="X1003" s="1"/>
      <c r="Y1003" s="1"/>
      <c r="Z1003" s="1"/>
      <c r="AA1003" s="1"/>
      <c r="AB1003" s="1"/>
    </row>
    <row r="1004">
      <c r="A1004" s="1"/>
      <c r="B1004" s="1"/>
      <c r="C1004" s="1"/>
      <c r="D1004" s="1"/>
      <c r="E1004" s="157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33"/>
      <c r="T1004" s="133"/>
      <c r="U1004" s="133"/>
      <c r="V1004" s="1"/>
      <c r="W1004" s="1"/>
      <c r="X1004" s="1"/>
      <c r="Y1004" s="1"/>
      <c r="Z1004" s="1"/>
      <c r="AA1004" s="1"/>
      <c r="AB1004" s="1"/>
    </row>
    <row r="1005">
      <c r="A1005" s="1"/>
      <c r="B1005" s="1"/>
      <c r="C1005" s="1"/>
      <c r="D1005" s="1"/>
      <c r="E1005" s="157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33"/>
      <c r="T1005" s="133"/>
      <c r="U1005" s="133"/>
      <c r="V1005" s="1"/>
      <c r="W1005" s="1"/>
      <c r="X1005" s="1"/>
      <c r="Y1005" s="1"/>
      <c r="Z1005" s="1"/>
      <c r="AA1005" s="1"/>
      <c r="AB1005" s="1"/>
    </row>
    <row r="1006">
      <c r="A1006" s="1"/>
      <c r="B1006" s="1"/>
      <c r="C1006" s="1"/>
      <c r="D1006" s="1"/>
      <c r="E1006" s="157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33"/>
      <c r="T1006" s="133"/>
      <c r="U1006" s="133"/>
      <c r="V1006" s="1"/>
      <c r="W1006" s="1"/>
      <c r="X1006" s="1"/>
      <c r="Y1006" s="1"/>
      <c r="Z1006" s="1"/>
      <c r="AA1006" s="1"/>
      <c r="AB1006" s="1"/>
    </row>
    <row r="1007">
      <c r="A1007" s="1"/>
      <c r="B1007" s="1"/>
      <c r="C1007" s="1"/>
      <c r="D1007" s="1"/>
      <c r="E1007" s="157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33"/>
      <c r="T1007" s="133"/>
      <c r="U1007" s="133"/>
      <c r="V1007" s="1"/>
      <c r="W1007" s="1"/>
      <c r="X1007" s="1"/>
      <c r="Y1007" s="1"/>
      <c r="Z1007" s="1"/>
      <c r="AA1007" s="1"/>
      <c r="AB1007" s="1"/>
    </row>
    <row r="1008">
      <c r="A1008" s="1"/>
      <c r="B1008" s="1"/>
      <c r="C1008" s="1"/>
      <c r="D1008" s="1"/>
      <c r="E1008" s="157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33"/>
      <c r="T1008" s="133"/>
      <c r="U1008" s="133"/>
      <c r="V1008" s="1"/>
      <c r="W1008" s="1"/>
      <c r="X1008" s="1"/>
      <c r="Y1008" s="1"/>
      <c r="Z1008" s="1"/>
      <c r="AA1008" s="1"/>
      <c r="AB1008" s="1"/>
    </row>
    <row r="1009">
      <c r="A1009" s="1"/>
      <c r="B1009" s="1"/>
      <c r="C1009" s="1"/>
      <c r="D1009" s="1"/>
      <c r="E1009" s="157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33"/>
      <c r="T1009" s="133"/>
      <c r="U1009" s="133"/>
      <c r="V1009" s="1"/>
      <c r="W1009" s="1"/>
      <c r="X1009" s="1"/>
      <c r="Y1009" s="1"/>
      <c r="Z1009" s="1"/>
      <c r="AA1009" s="1"/>
      <c r="AB1009" s="1"/>
    </row>
    <row r="1010">
      <c r="A1010" s="1"/>
      <c r="B1010" s="1"/>
      <c r="C1010" s="1"/>
      <c r="D1010" s="1"/>
      <c r="E1010" s="157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33"/>
      <c r="T1010" s="133"/>
      <c r="U1010" s="133"/>
      <c r="V1010" s="1"/>
      <c r="W1010" s="1"/>
      <c r="X1010" s="1"/>
      <c r="Y1010" s="1"/>
      <c r="Z1010" s="1"/>
      <c r="AA1010" s="1"/>
      <c r="AB1010" s="1"/>
    </row>
    <row r="1011">
      <c r="A1011" s="1"/>
      <c r="B1011" s="1"/>
      <c r="C1011" s="1"/>
      <c r="D1011" s="1"/>
      <c r="E1011" s="157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33"/>
      <c r="T1011" s="133"/>
      <c r="U1011" s="133"/>
      <c r="V1011" s="1"/>
      <c r="W1011" s="1"/>
      <c r="X1011" s="1"/>
      <c r="Y1011" s="1"/>
      <c r="Z1011" s="1"/>
      <c r="AA1011" s="1"/>
      <c r="AB1011" s="1"/>
    </row>
    <row r="1012">
      <c r="A1012" s="1"/>
      <c r="B1012" s="1"/>
      <c r="C1012" s="1"/>
      <c r="D1012" s="1"/>
      <c r="E1012" s="157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33"/>
      <c r="T1012" s="133"/>
      <c r="U1012" s="133"/>
      <c r="V1012" s="1"/>
      <c r="W1012" s="1"/>
      <c r="X1012" s="1"/>
      <c r="Y1012" s="1"/>
      <c r="Z1012" s="1"/>
      <c r="AA1012" s="1"/>
      <c r="AB1012" s="1"/>
    </row>
    <row r="1013">
      <c r="A1013" s="1"/>
      <c r="B1013" s="1"/>
      <c r="C1013" s="1"/>
      <c r="D1013" s="1"/>
      <c r="E1013" s="157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33"/>
      <c r="T1013" s="133"/>
      <c r="U1013" s="133"/>
      <c r="V1013" s="1"/>
      <c r="W1013" s="1"/>
      <c r="X1013" s="1"/>
      <c r="Y1013" s="1"/>
      <c r="Z1013" s="1"/>
      <c r="AA1013" s="1"/>
      <c r="AB1013" s="1"/>
    </row>
    <row r="1014">
      <c r="A1014" s="1"/>
      <c r="B1014" s="1"/>
      <c r="C1014" s="1"/>
      <c r="D1014" s="1"/>
      <c r="E1014" s="157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33"/>
      <c r="T1014" s="133"/>
      <c r="U1014" s="133"/>
      <c r="V1014" s="1"/>
      <c r="W1014" s="1"/>
      <c r="X1014" s="1"/>
      <c r="Y1014" s="1"/>
      <c r="Z1014" s="1"/>
      <c r="AA1014" s="1"/>
      <c r="AB1014" s="1"/>
    </row>
    <row r="1015">
      <c r="A1015" s="1"/>
      <c r="B1015" s="1"/>
      <c r="C1015" s="1"/>
      <c r="D1015" s="1"/>
      <c r="E1015" s="157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33"/>
      <c r="T1015" s="133"/>
      <c r="U1015" s="133"/>
      <c r="V1015" s="1"/>
      <c r="W1015" s="1"/>
      <c r="X1015" s="1"/>
      <c r="Y1015" s="1"/>
      <c r="Z1015" s="1"/>
      <c r="AA1015" s="1"/>
      <c r="AB1015" s="1"/>
    </row>
    <row r="1016">
      <c r="A1016" s="1"/>
      <c r="B1016" s="1"/>
      <c r="C1016" s="1"/>
      <c r="D1016" s="1"/>
      <c r="E1016" s="157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33"/>
      <c r="T1016" s="133"/>
      <c r="U1016" s="133"/>
      <c r="V1016" s="1"/>
      <c r="W1016" s="1"/>
      <c r="X1016" s="1"/>
      <c r="Y1016" s="1"/>
      <c r="Z1016" s="1"/>
      <c r="AA1016" s="1"/>
      <c r="AB1016" s="1"/>
    </row>
    <row r="1017">
      <c r="A1017" s="1"/>
      <c r="B1017" s="1"/>
      <c r="C1017" s="1"/>
      <c r="D1017" s="1"/>
      <c r="E1017" s="157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33"/>
      <c r="T1017" s="133"/>
      <c r="U1017" s="133"/>
      <c r="V1017" s="1"/>
      <c r="W1017" s="1"/>
      <c r="X1017" s="1"/>
      <c r="Y1017" s="1"/>
      <c r="Z1017" s="1"/>
      <c r="AA1017" s="1"/>
      <c r="AB1017" s="1"/>
    </row>
    <row r="1018">
      <c r="A1018" s="1"/>
      <c r="B1018" s="1"/>
      <c r="C1018" s="1"/>
      <c r="D1018" s="1"/>
      <c r="E1018" s="157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33"/>
      <c r="T1018" s="133"/>
      <c r="U1018" s="133"/>
      <c r="V1018" s="1"/>
      <c r="W1018" s="1"/>
      <c r="X1018" s="1"/>
      <c r="Y1018" s="1"/>
      <c r="Z1018" s="1"/>
      <c r="AA1018" s="1"/>
      <c r="AB1018" s="1"/>
    </row>
    <row r="1019">
      <c r="A1019" s="1"/>
      <c r="B1019" s="1"/>
      <c r="C1019" s="1"/>
      <c r="D1019" s="1"/>
      <c r="E1019" s="157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33"/>
      <c r="T1019" s="133"/>
      <c r="U1019" s="133"/>
      <c r="V1019" s="1"/>
      <c r="W1019" s="1"/>
      <c r="X1019" s="1"/>
      <c r="Y1019" s="1"/>
      <c r="Z1019" s="1"/>
      <c r="AA1019" s="1"/>
      <c r="AB1019" s="1"/>
    </row>
    <row r="1020">
      <c r="A1020" s="1"/>
      <c r="B1020" s="1"/>
      <c r="C1020" s="1"/>
      <c r="D1020" s="1"/>
      <c r="E1020" s="157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33"/>
      <c r="T1020" s="133"/>
      <c r="U1020" s="133"/>
      <c r="V1020" s="1"/>
      <c r="W1020" s="1"/>
      <c r="X1020" s="1"/>
      <c r="Y1020" s="1"/>
      <c r="Z1020" s="1"/>
      <c r="AA1020" s="1"/>
      <c r="AB1020" s="1"/>
    </row>
    <row r="1021">
      <c r="A1021" s="1"/>
      <c r="B1021" s="1"/>
      <c r="C1021" s="1"/>
      <c r="D1021" s="1"/>
      <c r="E1021" s="157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33"/>
      <c r="T1021" s="133"/>
      <c r="U1021" s="133"/>
      <c r="V1021" s="1"/>
      <c r="W1021" s="1"/>
      <c r="X1021" s="1"/>
      <c r="Y1021" s="1"/>
      <c r="Z1021" s="1"/>
      <c r="AA1021" s="1"/>
      <c r="AB1021" s="1"/>
    </row>
    <row r="1022">
      <c r="A1022" s="1"/>
      <c r="B1022" s="1"/>
      <c r="C1022" s="1"/>
      <c r="D1022" s="1"/>
      <c r="E1022" s="157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33"/>
      <c r="T1022" s="133"/>
      <c r="U1022" s="133"/>
      <c r="V1022" s="1"/>
      <c r="W1022" s="1"/>
      <c r="X1022" s="1"/>
      <c r="Y1022" s="1"/>
      <c r="Z1022" s="1"/>
      <c r="AA1022" s="1"/>
      <c r="AB1022" s="1"/>
    </row>
    <row r="1023">
      <c r="A1023" s="1"/>
      <c r="B1023" s="1"/>
      <c r="C1023" s="1"/>
      <c r="D1023" s="1"/>
      <c r="E1023" s="157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33"/>
      <c r="T1023" s="133"/>
      <c r="U1023" s="133"/>
      <c r="V1023" s="1"/>
      <c r="W1023" s="1"/>
      <c r="X1023" s="1"/>
      <c r="Y1023" s="1"/>
      <c r="Z1023" s="1"/>
      <c r="AA1023" s="1"/>
      <c r="AB1023" s="1"/>
    </row>
    <row r="1024">
      <c r="A1024" s="1"/>
      <c r="B1024" s="1"/>
      <c r="C1024" s="1"/>
      <c r="D1024" s="1"/>
      <c r="E1024" s="157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33"/>
      <c r="T1024" s="133"/>
      <c r="U1024" s="133"/>
      <c r="V1024" s="1"/>
      <c r="W1024" s="1"/>
      <c r="X1024" s="1"/>
      <c r="Y1024" s="1"/>
      <c r="Z1024" s="1"/>
      <c r="AA1024" s="1"/>
      <c r="AB1024" s="1"/>
    </row>
    <row r="1025">
      <c r="A1025" s="1"/>
      <c r="B1025" s="1"/>
      <c r="C1025" s="1"/>
      <c r="D1025" s="1"/>
      <c r="E1025" s="157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33"/>
      <c r="T1025" s="133"/>
      <c r="U1025" s="133"/>
      <c r="V1025" s="1"/>
      <c r="W1025" s="1"/>
      <c r="X1025" s="1"/>
      <c r="Y1025" s="1"/>
      <c r="Z1025" s="1"/>
      <c r="AA1025" s="1"/>
      <c r="AB1025" s="1"/>
    </row>
    <row r="1026">
      <c r="A1026" s="1"/>
      <c r="B1026" s="1"/>
      <c r="C1026" s="1"/>
      <c r="D1026" s="1"/>
      <c r="E1026" s="157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33"/>
      <c r="T1026" s="133"/>
      <c r="U1026" s="133"/>
      <c r="V1026" s="1"/>
      <c r="W1026" s="1"/>
      <c r="X1026" s="1"/>
      <c r="Y1026" s="1"/>
      <c r="Z1026" s="1"/>
      <c r="AA1026" s="1"/>
      <c r="AB1026" s="1"/>
    </row>
    <row r="1027">
      <c r="A1027" s="1"/>
      <c r="B1027" s="1"/>
      <c r="C1027" s="1"/>
      <c r="D1027" s="1"/>
      <c r="E1027" s="157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33"/>
      <c r="T1027" s="133"/>
      <c r="U1027" s="133"/>
      <c r="V1027" s="1"/>
      <c r="W1027" s="1"/>
      <c r="X1027" s="1"/>
      <c r="Y1027" s="1"/>
      <c r="Z1027" s="1"/>
      <c r="AA1027" s="1"/>
      <c r="AB1027" s="1"/>
    </row>
    <row r="1028">
      <c r="A1028" s="1"/>
      <c r="B1028" s="1"/>
      <c r="C1028" s="1"/>
      <c r="D1028" s="1"/>
      <c r="E1028" s="157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33"/>
      <c r="T1028" s="133"/>
      <c r="U1028" s="133"/>
      <c r="V1028" s="1"/>
      <c r="W1028" s="1"/>
      <c r="X1028" s="1"/>
      <c r="Y1028" s="1"/>
      <c r="Z1028" s="1"/>
      <c r="AA1028" s="1"/>
      <c r="AB1028" s="1"/>
    </row>
    <row r="1029">
      <c r="A1029" s="1"/>
      <c r="B1029" s="1"/>
      <c r="C1029" s="1"/>
      <c r="D1029" s="1"/>
      <c r="E1029" s="157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33"/>
      <c r="T1029" s="133"/>
      <c r="U1029" s="133"/>
      <c r="V1029" s="1"/>
      <c r="W1029" s="1"/>
      <c r="X1029" s="1"/>
      <c r="Y1029" s="1"/>
      <c r="Z1029" s="1"/>
      <c r="AA1029" s="1"/>
      <c r="AB1029" s="1"/>
    </row>
    <row r="1030">
      <c r="A1030" s="1"/>
      <c r="B1030" s="1"/>
      <c r="C1030" s="1"/>
      <c r="D1030" s="1"/>
      <c r="E1030" s="157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33"/>
      <c r="T1030" s="133"/>
      <c r="U1030" s="133"/>
      <c r="V1030" s="1"/>
      <c r="W1030" s="1"/>
      <c r="X1030" s="1"/>
      <c r="Y1030" s="1"/>
      <c r="Z1030" s="1"/>
      <c r="AA1030" s="1"/>
      <c r="AB1030" s="1"/>
    </row>
    <row r="1031">
      <c r="A1031" s="1"/>
      <c r="B1031" s="1"/>
      <c r="C1031" s="1"/>
      <c r="D1031" s="1"/>
      <c r="E1031" s="157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33"/>
      <c r="T1031" s="133"/>
      <c r="U1031" s="133"/>
      <c r="V1031" s="1"/>
      <c r="W1031" s="1"/>
      <c r="X1031" s="1"/>
      <c r="Y1031" s="1"/>
      <c r="Z1031" s="1"/>
      <c r="AA1031" s="1"/>
      <c r="AB1031" s="1"/>
    </row>
    <row r="1032">
      <c r="A1032" s="1"/>
      <c r="B1032" s="1"/>
      <c r="C1032" s="1"/>
      <c r="D1032" s="1"/>
      <c r="E1032" s="157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33"/>
      <c r="T1032" s="133"/>
      <c r="U1032" s="133"/>
      <c r="V1032" s="1"/>
      <c r="W1032" s="1"/>
      <c r="X1032" s="1"/>
      <c r="Y1032" s="1"/>
      <c r="Z1032" s="1"/>
      <c r="AA1032" s="1"/>
      <c r="AB1032" s="1"/>
    </row>
    <row r="1033">
      <c r="A1033" s="1"/>
      <c r="B1033" s="1"/>
      <c r="C1033" s="1"/>
      <c r="D1033" s="1"/>
      <c r="E1033" s="157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33"/>
      <c r="T1033" s="133"/>
      <c r="U1033" s="133"/>
      <c r="V1033" s="1"/>
      <c r="W1033" s="1"/>
      <c r="X1033" s="1"/>
      <c r="Y1033" s="1"/>
      <c r="Z1033" s="1"/>
      <c r="AA1033" s="1"/>
      <c r="AB1033" s="1"/>
    </row>
    <row r="1034">
      <c r="A1034" s="1"/>
      <c r="B1034" s="1"/>
      <c r="C1034" s="1"/>
      <c r="D1034" s="1"/>
      <c r="E1034" s="157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33"/>
      <c r="T1034" s="133"/>
      <c r="U1034" s="133"/>
      <c r="V1034" s="1"/>
      <c r="W1034" s="1"/>
      <c r="X1034" s="1"/>
      <c r="Y1034" s="1"/>
      <c r="Z1034" s="1"/>
      <c r="AA1034" s="1"/>
      <c r="AB1034" s="1"/>
    </row>
    <row r="1035">
      <c r="A1035" s="1"/>
      <c r="B1035" s="1"/>
      <c r="C1035" s="1"/>
      <c r="D1035" s="1"/>
      <c r="E1035" s="157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33"/>
      <c r="T1035" s="133"/>
      <c r="U1035" s="133"/>
      <c r="V1035" s="1"/>
      <c r="W1035" s="1"/>
      <c r="X1035" s="1"/>
      <c r="Y1035" s="1"/>
      <c r="Z1035" s="1"/>
      <c r="AA1035" s="1"/>
      <c r="AB1035" s="1"/>
    </row>
    <row r="1036">
      <c r="A1036" s="1"/>
      <c r="B1036" s="1"/>
      <c r="C1036" s="1"/>
      <c r="D1036" s="1"/>
      <c r="E1036" s="157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33"/>
      <c r="T1036" s="133"/>
      <c r="U1036" s="133"/>
      <c r="V1036" s="1"/>
      <c r="W1036" s="1"/>
      <c r="X1036" s="1"/>
      <c r="Y1036" s="1"/>
      <c r="Z1036" s="1"/>
      <c r="AA1036" s="1"/>
      <c r="AB1036" s="1"/>
    </row>
    <row r="1037">
      <c r="A1037" s="1"/>
      <c r="B1037" s="1"/>
      <c r="C1037" s="1"/>
      <c r="D1037" s="1"/>
      <c r="E1037" s="157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33"/>
      <c r="T1037" s="133"/>
      <c r="U1037" s="133"/>
      <c r="V1037" s="1"/>
      <c r="W1037" s="1"/>
      <c r="X1037" s="1"/>
      <c r="Y1037" s="1"/>
      <c r="Z1037" s="1"/>
      <c r="AA1037" s="1"/>
      <c r="AB1037" s="1"/>
    </row>
    <row r="1038">
      <c r="A1038" s="1"/>
      <c r="B1038" s="1"/>
      <c r="C1038" s="1"/>
      <c r="D1038" s="1"/>
      <c r="E1038" s="157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33"/>
      <c r="T1038" s="133"/>
      <c r="U1038" s="133"/>
      <c r="V1038" s="1"/>
      <c r="W1038" s="1"/>
      <c r="X1038" s="1"/>
      <c r="Y1038" s="1"/>
      <c r="Z1038" s="1"/>
      <c r="AA1038" s="1"/>
      <c r="AB1038" s="1"/>
    </row>
    <row r="1039">
      <c r="A1039" s="1"/>
      <c r="B1039" s="1"/>
      <c r="C1039" s="1"/>
      <c r="D1039" s="1"/>
      <c r="E1039" s="157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33"/>
      <c r="T1039" s="133"/>
      <c r="U1039" s="133"/>
      <c r="V1039" s="1"/>
      <c r="W1039" s="1"/>
      <c r="X1039" s="1"/>
      <c r="Y1039" s="1"/>
      <c r="Z1039" s="1"/>
      <c r="AA1039" s="1"/>
      <c r="AB1039" s="1"/>
    </row>
    <row r="1040">
      <c r="A1040" s="1"/>
      <c r="B1040" s="1"/>
      <c r="C1040" s="1"/>
      <c r="D1040" s="1"/>
      <c r="E1040" s="157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33"/>
      <c r="T1040" s="133"/>
      <c r="U1040" s="133"/>
      <c r="V1040" s="1"/>
      <c r="W1040" s="1"/>
      <c r="X1040" s="1"/>
      <c r="Y1040" s="1"/>
      <c r="Z1040" s="1"/>
      <c r="AA1040" s="1"/>
      <c r="AB1040" s="1"/>
    </row>
    <row r="1041">
      <c r="A1041" s="1"/>
      <c r="B1041" s="1"/>
      <c r="C1041" s="1"/>
      <c r="D1041" s="1"/>
      <c r="E1041" s="157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33"/>
      <c r="T1041" s="133"/>
      <c r="U1041" s="133"/>
      <c r="V1041" s="1"/>
      <c r="W1041" s="1"/>
      <c r="X1041" s="1"/>
      <c r="Y1041" s="1"/>
      <c r="Z1041" s="1"/>
      <c r="AA1041" s="1"/>
      <c r="AB1041" s="1"/>
    </row>
    <row r="1042">
      <c r="A1042" s="1"/>
      <c r="B1042" s="1"/>
      <c r="C1042" s="1"/>
      <c r="D1042" s="1"/>
      <c r="E1042" s="157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33"/>
      <c r="T1042" s="133"/>
      <c r="U1042" s="133"/>
      <c r="V1042" s="1"/>
      <c r="W1042" s="1"/>
      <c r="X1042" s="1"/>
      <c r="Y1042" s="1"/>
      <c r="Z1042" s="1"/>
      <c r="AA1042" s="1"/>
      <c r="AB1042" s="1"/>
    </row>
    <row r="1043">
      <c r="A1043" s="1"/>
      <c r="B1043" s="1"/>
      <c r="C1043" s="1"/>
      <c r="D1043" s="1"/>
      <c r="E1043" s="157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33"/>
      <c r="T1043" s="133"/>
      <c r="U1043" s="133"/>
      <c r="V1043" s="1"/>
      <c r="W1043" s="1"/>
      <c r="X1043" s="1"/>
      <c r="Y1043" s="1"/>
      <c r="Z1043" s="1"/>
      <c r="AA1043" s="1"/>
      <c r="AB1043" s="1"/>
    </row>
    <row r="1044">
      <c r="A1044" s="1"/>
      <c r="B1044" s="1"/>
      <c r="C1044" s="1"/>
      <c r="D1044" s="1"/>
      <c r="E1044" s="157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33"/>
      <c r="T1044" s="133"/>
      <c r="U1044" s="133"/>
      <c r="V1044" s="1"/>
      <c r="W1044" s="1"/>
      <c r="X1044" s="1"/>
      <c r="Y1044" s="1"/>
      <c r="Z1044" s="1"/>
      <c r="AA1044" s="1"/>
      <c r="AB1044" s="1"/>
    </row>
    <row r="1045">
      <c r="A1045" s="1"/>
      <c r="B1045" s="1"/>
      <c r="C1045" s="1"/>
      <c r="D1045" s="1"/>
      <c r="E1045" s="157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33"/>
      <c r="T1045" s="133"/>
      <c r="U1045" s="133"/>
      <c r="V1045" s="1"/>
      <c r="W1045" s="1"/>
      <c r="X1045" s="1"/>
      <c r="Y1045" s="1"/>
      <c r="Z1045" s="1"/>
      <c r="AA1045" s="1"/>
      <c r="AB1045" s="1"/>
    </row>
    <row r="1046">
      <c r="A1046" s="1"/>
      <c r="B1046" s="1"/>
      <c r="C1046" s="1"/>
      <c r="D1046" s="1"/>
      <c r="E1046" s="157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33"/>
      <c r="T1046" s="133"/>
      <c r="U1046" s="133"/>
      <c r="V1046" s="1"/>
      <c r="W1046" s="1"/>
      <c r="X1046" s="1"/>
      <c r="Y1046" s="1"/>
      <c r="Z1046" s="1"/>
      <c r="AA1046" s="1"/>
      <c r="AB1046" s="1"/>
    </row>
    <row r="1047">
      <c r="A1047" s="1"/>
      <c r="B1047" s="1"/>
      <c r="C1047" s="1"/>
      <c r="D1047" s="1"/>
      <c r="E1047" s="157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33"/>
      <c r="T1047" s="133"/>
      <c r="U1047" s="133"/>
      <c r="V1047" s="1"/>
      <c r="W1047" s="1"/>
      <c r="X1047" s="1"/>
      <c r="Y1047" s="1"/>
      <c r="Z1047" s="1"/>
      <c r="AA1047" s="1"/>
      <c r="AB1047" s="1"/>
    </row>
    <row r="1048">
      <c r="A1048" s="1"/>
      <c r="B1048" s="1"/>
      <c r="C1048" s="1"/>
      <c r="D1048" s="1"/>
      <c r="E1048" s="157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33"/>
      <c r="T1048" s="133"/>
      <c r="U1048" s="133"/>
      <c r="V1048" s="1"/>
      <c r="W1048" s="1"/>
      <c r="X1048" s="1"/>
      <c r="Y1048" s="1"/>
      <c r="Z1048" s="1"/>
      <c r="AA1048" s="1"/>
      <c r="AB1048" s="1"/>
    </row>
    <row r="1049">
      <c r="A1049" s="1"/>
      <c r="B1049" s="1"/>
      <c r="C1049" s="1"/>
      <c r="D1049" s="1"/>
      <c r="E1049" s="157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33"/>
      <c r="T1049" s="133"/>
      <c r="U1049" s="133"/>
      <c r="V1049" s="1"/>
      <c r="W1049" s="1"/>
      <c r="X1049" s="1"/>
      <c r="Y1049" s="1"/>
      <c r="Z1049" s="1"/>
      <c r="AA1049" s="1"/>
      <c r="AB1049" s="1"/>
    </row>
    <row r="1050">
      <c r="A1050" s="1"/>
      <c r="B1050" s="1"/>
      <c r="C1050" s="1"/>
      <c r="D1050" s="1"/>
      <c r="E1050" s="157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33"/>
      <c r="T1050" s="133"/>
      <c r="U1050" s="133"/>
      <c r="V1050" s="1"/>
      <c r="W1050" s="1"/>
      <c r="X1050" s="1"/>
      <c r="Y1050" s="1"/>
      <c r="Z1050" s="1"/>
      <c r="AA1050" s="1"/>
      <c r="AB1050" s="1"/>
    </row>
    <row r="1051">
      <c r="A1051" s="1"/>
      <c r="B1051" s="1"/>
      <c r="C1051" s="1"/>
      <c r="D1051" s="1"/>
      <c r="E1051" s="157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33"/>
      <c r="T1051" s="133"/>
      <c r="U1051" s="133"/>
      <c r="V1051" s="1"/>
      <c r="W1051" s="1"/>
      <c r="X1051" s="1"/>
      <c r="Y1051" s="1"/>
      <c r="Z1051" s="1"/>
      <c r="AA1051" s="1"/>
      <c r="AB1051" s="1"/>
    </row>
    <row r="1052">
      <c r="A1052" s="1"/>
      <c r="B1052" s="1"/>
      <c r="C1052" s="1"/>
      <c r="D1052" s="1"/>
      <c r="E1052" s="157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33"/>
      <c r="T1052" s="133"/>
      <c r="U1052" s="133"/>
      <c r="V1052" s="1"/>
      <c r="W1052" s="1"/>
      <c r="X1052" s="1"/>
      <c r="Y1052" s="1"/>
      <c r="Z1052" s="1"/>
      <c r="AA1052" s="1"/>
      <c r="AB1052" s="1"/>
    </row>
    <row r="1053">
      <c r="A1053" s="1"/>
      <c r="B1053" s="1"/>
      <c r="C1053" s="1"/>
      <c r="D1053" s="1"/>
      <c r="E1053" s="157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33"/>
      <c r="T1053" s="133"/>
      <c r="U1053" s="133"/>
      <c r="V1053" s="1"/>
      <c r="W1053" s="1"/>
      <c r="X1053" s="1"/>
      <c r="Y1053" s="1"/>
      <c r="Z1053" s="1"/>
      <c r="AA1053" s="1"/>
      <c r="AB1053" s="1"/>
    </row>
    <row r="1054">
      <c r="A1054" s="1"/>
      <c r="B1054" s="1"/>
      <c r="C1054" s="1"/>
      <c r="D1054" s="1"/>
      <c r="E1054" s="157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33"/>
      <c r="T1054" s="133"/>
      <c r="U1054" s="133"/>
      <c r="V1054" s="1"/>
      <c r="W1054" s="1"/>
      <c r="X1054" s="1"/>
      <c r="Y1054" s="1"/>
      <c r="Z1054" s="1"/>
      <c r="AA1054" s="1"/>
      <c r="AB1054" s="1"/>
    </row>
    <row r="1055">
      <c r="A1055" s="1"/>
      <c r="B1055" s="1"/>
      <c r="C1055" s="1"/>
      <c r="D1055" s="1"/>
      <c r="E1055" s="157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33"/>
      <c r="T1055" s="133"/>
      <c r="U1055" s="133"/>
      <c r="V1055" s="1"/>
      <c r="W1055" s="1"/>
      <c r="X1055" s="1"/>
      <c r="Y1055" s="1"/>
      <c r="Z1055" s="1"/>
      <c r="AA1055" s="1"/>
      <c r="AB1055" s="1"/>
    </row>
    <row r="1056">
      <c r="A1056" s="1"/>
      <c r="B1056" s="1"/>
      <c r="C1056" s="1"/>
      <c r="D1056" s="1"/>
      <c r="E1056" s="157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33"/>
      <c r="T1056" s="133"/>
      <c r="U1056" s="133"/>
      <c r="V1056" s="1"/>
      <c r="W1056" s="1"/>
      <c r="X1056" s="1"/>
      <c r="Y1056" s="1"/>
      <c r="Z1056" s="1"/>
      <c r="AA1056" s="1"/>
      <c r="AB1056" s="1"/>
    </row>
    <row r="1057">
      <c r="A1057" s="1"/>
      <c r="B1057" s="1"/>
      <c r="C1057" s="1"/>
      <c r="D1057" s="1"/>
      <c r="E1057" s="157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33"/>
      <c r="T1057" s="133"/>
      <c r="U1057" s="133"/>
      <c r="V1057" s="1"/>
      <c r="W1057" s="1"/>
      <c r="X1057" s="1"/>
      <c r="Y1057" s="1"/>
      <c r="Z1057" s="1"/>
      <c r="AA1057" s="1"/>
      <c r="AB1057" s="1"/>
    </row>
    <row r="1058">
      <c r="A1058" s="1"/>
      <c r="B1058" s="1"/>
      <c r="C1058" s="1"/>
      <c r="D1058" s="1"/>
      <c r="E1058" s="157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33"/>
      <c r="T1058" s="133"/>
      <c r="U1058" s="133"/>
      <c r="V1058" s="1"/>
      <c r="W1058" s="1"/>
      <c r="X1058" s="1"/>
      <c r="Y1058" s="1"/>
      <c r="Z1058" s="1"/>
      <c r="AA1058" s="1"/>
      <c r="AB1058" s="1"/>
    </row>
    <row r="1059">
      <c r="A1059" s="1"/>
      <c r="B1059" s="1"/>
      <c r="C1059" s="1"/>
      <c r="D1059" s="1"/>
      <c r="E1059" s="157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33"/>
      <c r="T1059" s="133"/>
      <c r="U1059" s="133"/>
      <c r="V1059" s="1"/>
      <c r="W1059" s="1"/>
      <c r="X1059" s="1"/>
      <c r="Y1059" s="1"/>
      <c r="Z1059" s="1"/>
      <c r="AA1059" s="1"/>
      <c r="AB1059" s="1"/>
    </row>
  </sheetData>
  <autoFilter ref="$B$21:$P$121">
    <sortState ref="B21:P121">
      <sortCondition descending="1" ref="O21:O121"/>
      <sortCondition ref="N21:N121"/>
      <sortCondition ref="D21:D121"/>
      <sortCondition ref="J21:J121"/>
      <sortCondition ref="K21:K121"/>
      <sortCondition ref="C21:C121"/>
      <sortCondition ref="L21:L121"/>
      <sortCondition ref="H21:H121"/>
    </sortState>
  </autoFilter>
  <mergeCells count="513">
    <mergeCell ref="D26:E26"/>
    <mergeCell ref="F26:G26"/>
    <mergeCell ref="B24:C24"/>
    <mergeCell ref="B25:C25"/>
    <mergeCell ref="D25:E25"/>
    <mergeCell ref="F25:G25"/>
    <mergeCell ref="H25:I25"/>
    <mergeCell ref="B26:C26"/>
    <mergeCell ref="H26:I26"/>
    <mergeCell ref="B35:C35"/>
    <mergeCell ref="D35:E35"/>
    <mergeCell ref="F35:G35"/>
    <mergeCell ref="H35:I35"/>
    <mergeCell ref="D36:E36"/>
    <mergeCell ref="F36:G36"/>
    <mergeCell ref="H36:I36"/>
    <mergeCell ref="B36:C36"/>
    <mergeCell ref="B37:C37"/>
    <mergeCell ref="D37:E37"/>
    <mergeCell ref="F37:G37"/>
    <mergeCell ref="H37:I37"/>
    <mergeCell ref="B38:C38"/>
    <mergeCell ref="D38:E38"/>
    <mergeCell ref="B3:E5"/>
    <mergeCell ref="F3:F5"/>
    <mergeCell ref="G3:H5"/>
    <mergeCell ref="J3:J5"/>
    <mergeCell ref="K3:L5"/>
    <mergeCell ref="N3:P5"/>
    <mergeCell ref="F12:H19"/>
    <mergeCell ref="L21:M21"/>
    <mergeCell ref="F22:G22"/>
    <mergeCell ref="H22:I22"/>
    <mergeCell ref="L22:M22"/>
    <mergeCell ref="B12:D19"/>
    <mergeCell ref="B21:C21"/>
    <mergeCell ref="D21:E21"/>
    <mergeCell ref="F21:G21"/>
    <mergeCell ref="H21:I21"/>
    <mergeCell ref="B22:C22"/>
    <mergeCell ref="D22:E22"/>
    <mergeCell ref="F24:G24"/>
    <mergeCell ref="H24:I24"/>
    <mergeCell ref="B23:C23"/>
    <mergeCell ref="D23:E23"/>
    <mergeCell ref="F23:G23"/>
    <mergeCell ref="H23:I23"/>
    <mergeCell ref="L23:M23"/>
    <mergeCell ref="D24:E24"/>
    <mergeCell ref="L24:M24"/>
    <mergeCell ref="F30:G30"/>
    <mergeCell ref="H30:I30"/>
    <mergeCell ref="L25:M25"/>
    <mergeCell ref="L26:M26"/>
    <mergeCell ref="L27:M27"/>
    <mergeCell ref="L28:M28"/>
    <mergeCell ref="L29:M29"/>
    <mergeCell ref="L30:M30"/>
    <mergeCell ref="L31:M31"/>
    <mergeCell ref="B39:C39"/>
    <mergeCell ref="D39:E39"/>
    <mergeCell ref="F39:G39"/>
    <mergeCell ref="H39:I39"/>
    <mergeCell ref="D40:E40"/>
    <mergeCell ref="F40:G40"/>
    <mergeCell ref="H40:I40"/>
    <mergeCell ref="B40:C40"/>
    <mergeCell ref="B41:C41"/>
    <mergeCell ref="D41:E41"/>
    <mergeCell ref="F41:G41"/>
    <mergeCell ref="H41:I41"/>
    <mergeCell ref="B42:C42"/>
    <mergeCell ref="D42:E42"/>
    <mergeCell ref="D44:E44"/>
    <mergeCell ref="F44:G44"/>
    <mergeCell ref="F42:G42"/>
    <mergeCell ref="H42:I42"/>
    <mergeCell ref="B43:C43"/>
    <mergeCell ref="D43:E43"/>
    <mergeCell ref="F43:G43"/>
    <mergeCell ref="H43:I43"/>
    <mergeCell ref="H44:I44"/>
    <mergeCell ref="F46:G46"/>
    <mergeCell ref="H46:I46"/>
    <mergeCell ref="B44:C44"/>
    <mergeCell ref="B45:C45"/>
    <mergeCell ref="D45:E45"/>
    <mergeCell ref="F45:G45"/>
    <mergeCell ref="H45:I45"/>
    <mergeCell ref="B46:C46"/>
    <mergeCell ref="D46:E46"/>
    <mergeCell ref="L81:M81"/>
    <mergeCell ref="L82:M82"/>
    <mergeCell ref="L83:M83"/>
    <mergeCell ref="L84:M84"/>
    <mergeCell ref="L85:M85"/>
    <mergeCell ref="L86:M86"/>
    <mergeCell ref="L87:M87"/>
    <mergeCell ref="L88:M88"/>
    <mergeCell ref="L89:M89"/>
    <mergeCell ref="L90:M90"/>
    <mergeCell ref="L91:M91"/>
    <mergeCell ref="L92:M92"/>
    <mergeCell ref="L93:M93"/>
    <mergeCell ref="L94:M94"/>
    <mergeCell ref="L95:M95"/>
    <mergeCell ref="L96:M96"/>
    <mergeCell ref="L97:M97"/>
    <mergeCell ref="L98:M98"/>
    <mergeCell ref="L99:M99"/>
    <mergeCell ref="L100:M100"/>
    <mergeCell ref="L101:M101"/>
    <mergeCell ref="L102:M102"/>
    <mergeCell ref="L103:M103"/>
    <mergeCell ref="L104:M104"/>
    <mergeCell ref="L105:M105"/>
    <mergeCell ref="L106:M106"/>
    <mergeCell ref="L107:M107"/>
    <mergeCell ref="L108:M108"/>
    <mergeCell ref="L116:M116"/>
    <mergeCell ref="L117:M117"/>
    <mergeCell ref="L118:M118"/>
    <mergeCell ref="L119:M119"/>
    <mergeCell ref="L120:M120"/>
    <mergeCell ref="L121:M121"/>
    <mergeCell ref="L109:M109"/>
    <mergeCell ref="L110:M110"/>
    <mergeCell ref="L111:M111"/>
    <mergeCell ref="L112:M112"/>
    <mergeCell ref="L113:M113"/>
    <mergeCell ref="L114:M114"/>
    <mergeCell ref="L115:M115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49:M49"/>
    <mergeCell ref="L50:M50"/>
    <mergeCell ref="L51:M51"/>
    <mergeCell ref="L52:M52"/>
    <mergeCell ref="L53:M53"/>
    <mergeCell ref="L54:M54"/>
    <mergeCell ref="L55:M55"/>
    <mergeCell ref="L56:M56"/>
    <mergeCell ref="L57:M57"/>
    <mergeCell ref="L58:M58"/>
    <mergeCell ref="L59:M59"/>
    <mergeCell ref="L60:M60"/>
    <mergeCell ref="L61:M61"/>
    <mergeCell ref="L62:M62"/>
    <mergeCell ref="L63:M63"/>
    <mergeCell ref="L64:M64"/>
    <mergeCell ref="L65:M65"/>
    <mergeCell ref="L66:M66"/>
    <mergeCell ref="L67:M67"/>
    <mergeCell ref="L68:M68"/>
    <mergeCell ref="L69:M69"/>
    <mergeCell ref="L70:M70"/>
    <mergeCell ref="L71:M71"/>
    <mergeCell ref="L72:M72"/>
    <mergeCell ref="L73:M73"/>
    <mergeCell ref="L74:M74"/>
    <mergeCell ref="L75:M75"/>
    <mergeCell ref="L76:M76"/>
    <mergeCell ref="L77:M77"/>
    <mergeCell ref="L78:M78"/>
    <mergeCell ref="L79:M79"/>
    <mergeCell ref="L80:M80"/>
    <mergeCell ref="B47:C47"/>
    <mergeCell ref="D47:E47"/>
    <mergeCell ref="F47:G47"/>
    <mergeCell ref="H47:I47"/>
    <mergeCell ref="D48:E48"/>
    <mergeCell ref="F48:G48"/>
    <mergeCell ref="H48:I48"/>
    <mergeCell ref="B48:C48"/>
    <mergeCell ref="B49:C49"/>
    <mergeCell ref="D49:E49"/>
    <mergeCell ref="F49:G49"/>
    <mergeCell ref="H49:I49"/>
    <mergeCell ref="B50:C50"/>
    <mergeCell ref="D50:E50"/>
    <mergeCell ref="D52:E52"/>
    <mergeCell ref="F52:G52"/>
    <mergeCell ref="F50:G50"/>
    <mergeCell ref="H50:I50"/>
    <mergeCell ref="B51:C51"/>
    <mergeCell ref="D51:E51"/>
    <mergeCell ref="F51:G51"/>
    <mergeCell ref="H51:I51"/>
    <mergeCell ref="H52:I52"/>
    <mergeCell ref="F54:G54"/>
    <mergeCell ref="H54:I54"/>
    <mergeCell ref="B52:C52"/>
    <mergeCell ref="B53:C53"/>
    <mergeCell ref="D53:E53"/>
    <mergeCell ref="F53:G53"/>
    <mergeCell ref="H53:I53"/>
    <mergeCell ref="B54:C54"/>
    <mergeCell ref="D54:E54"/>
    <mergeCell ref="B55:C55"/>
    <mergeCell ref="D55:E55"/>
    <mergeCell ref="F55:G55"/>
    <mergeCell ref="H55:I55"/>
    <mergeCell ref="D56:E56"/>
    <mergeCell ref="F56:G56"/>
    <mergeCell ref="H56:I56"/>
    <mergeCell ref="B56:C56"/>
    <mergeCell ref="B57:C57"/>
    <mergeCell ref="D57:E57"/>
    <mergeCell ref="F57:G57"/>
    <mergeCell ref="H57:I57"/>
    <mergeCell ref="B58:C58"/>
    <mergeCell ref="D58:E58"/>
    <mergeCell ref="D60:E60"/>
    <mergeCell ref="F60:G60"/>
    <mergeCell ref="F58:G58"/>
    <mergeCell ref="H58:I58"/>
    <mergeCell ref="B59:C59"/>
    <mergeCell ref="D59:E59"/>
    <mergeCell ref="F59:G59"/>
    <mergeCell ref="H59:I59"/>
    <mergeCell ref="H60:I60"/>
    <mergeCell ref="F62:G62"/>
    <mergeCell ref="H62:I62"/>
    <mergeCell ref="B60:C60"/>
    <mergeCell ref="B61:C61"/>
    <mergeCell ref="D61:E61"/>
    <mergeCell ref="F61:G61"/>
    <mergeCell ref="H61:I61"/>
    <mergeCell ref="B62:C62"/>
    <mergeCell ref="D62:E62"/>
    <mergeCell ref="D68:E68"/>
    <mergeCell ref="F68:G68"/>
    <mergeCell ref="F66:G66"/>
    <mergeCell ref="H66:I66"/>
    <mergeCell ref="B67:C67"/>
    <mergeCell ref="D67:E67"/>
    <mergeCell ref="F67:G67"/>
    <mergeCell ref="H67:I67"/>
    <mergeCell ref="H68:I68"/>
    <mergeCell ref="B63:C63"/>
    <mergeCell ref="D63:E63"/>
    <mergeCell ref="F63:G63"/>
    <mergeCell ref="H63:I63"/>
    <mergeCell ref="D64:E64"/>
    <mergeCell ref="F64:G64"/>
    <mergeCell ref="H64:I64"/>
    <mergeCell ref="B64:C64"/>
    <mergeCell ref="B65:C65"/>
    <mergeCell ref="D65:E65"/>
    <mergeCell ref="F65:G65"/>
    <mergeCell ref="H65:I65"/>
    <mergeCell ref="B66:C66"/>
    <mergeCell ref="D66:E66"/>
    <mergeCell ref="F70:G70"/>
    <mergeCell ref="H70:I70"/>
    <mergeCell ref="B68:C68"/>
    <mergeCell ref="B69:C69"/>
    <mergeCell ref="D69:E69"/>
    <mergeCell ref="F69:G69"/>
    <mergeCell ref="H69:I69"/>
    <mergeCell ref="B70:C70"/>
    <mergeCell ref="D70:E70"/>
    <mergeCell ref="B71:C71"/>
    <mergeCell ref="D71:E71"/>
    <mergeCell ref="F71:G71"/>
    <mergeCell ref="H71:I71"/>
    <mergeCell ref="D72:E72"/>
    <mergeCell ref="F72:G72"/>
    <mergeCell ref="H72:I72"/>
    <mergeCell ref="B72:C72"/>
    <mergeCell ref="B73:C73"/>
    <mergeCell ref="D73:E73"/>
    <mergeCell ref="F73:G73"/>
    <mergeCell ref="H73:I73"/>
    <mergeCell ref="B74:C74"/>
    <mergeCell ref="D74:E74"/>
    <mergeCell ref="D76:E76"/>
    <mergeCell ref="F76:G76"/>
    <mergeCell ref="F74:G74"/>
    <mergeCell ref="H74:I74"/>
    <mergeCell ref="B75:C75"/>
    <mergeCell ref="D75:E75"/>
    <mergeCell ref="F75:G75"/>
    <mergeCell ref="H75:I75"/>
    <mergeCell ref="H76:I76"/>
    <mergeCell ref="F78:G78"/>
    <mergeCell ref="H78:I78"/>
    <mergeCell ref="B76:C76"/>
    <mergeCell ref="B77:C77"/>
    <mergeCell ref="D77:E77"/>
    <mergeCell ref="F77:G77"/>
    <mergeCell ref="H77:I77"/>
    <mergeCell ref="B78:C78"/>
    <mergeCell ref="D78:E78"/>
    <mergeCell ref="D84:E84"/>
    <mergeCell ref="F84:G84"/>
    <mergeCell ref="F82:G82"/>
    <mergeCell ref="H82:I82"/>
    <mergeCell ref="B83:C83"/>
    <mergeCell ref="D83:E83"/>
    <mergeCell ref="F83:G83"/>
    <mergeCell ref="H83:I83"/>
    <mergeCell ref="H84:I84"/>
    <mergeCell ref="F86:G86"/>
    <mergeCell ref="H86:I86"/>
    <mergeCell ref="B84:C84"/>
    <mergeCell ref="B85:C85"/>
    <mergeCell ref="D85:E85"/>
    <mergeCell ref="F85:G85"/>
    <mergeCell ref="H85:I85"/>
    <mergeCell ref="B86:C86"/>
    <mergeCell ref="D86:E86"/>
    <mergeCell ref="B103:C103"/>
    <mergeCell ref="D103:E103"/>
    <mergeCell ref="F103:G103"/>
    <mergeCell ref="H103:I103"/>
    <mergeCell ref="D104:E104"/>
    <mergeCell ref="F104:G104"/>
    <mergeCell ref="H104:I104"/>
    <mergeCell ref="B104:C104"/>
    <mergeCell ref="B105:C105"/>
    <mergeCell ref="D105:E105"/>
    <mergeCell ref="F105:G105"/>
    <mergeCell ref="H105:I105"/>
    <mergeCell ref="B106:C106"/>
    <mergeCell ref="D106:E106"/>
    <mergeCell ref="D108:E108"/>
    <mergeCell ref="F108:G108"/>
    <mergeCell ref="F106:G106"/>
    <mergeCell ref="H106:I106"/>
    <mergeCell ref="B107:C107"/>
    <mergeCell ref="D107:E107"/>
    <mergeCell ref="F107:G107"/>
    <mergeCell ref="H107:I107"/>
    <mergeCell ref="H108:I108"/>
    <mergeCell ref="F110:G110"/>
    <mergeCell ref="H110:I110"/>
    <mergeCell ref="B108:C108"/>
    <mergeCell ref="B109:C109"/>
    <mergeCell ref="D109:E109"/>
    <mergeCell ref="F109:G109"/>
    <mergeCell ref="H109:I109"/>
    <mergeCell ref="B110:C110"/>
    <mergeCell ref="D110:E110"/>
    <mergeCell ref="B111:C111"/>
    <mergeCell ref="D111:E111"/>
    <mergeCell ref="F111:G111"/>
    <mergeCell ref="H111:I111"/>
    <mergeCell ref="D112:E112"/>
    <mergeCell ref="F112:G112"/>
    <mergeCell ref="H112:I112"/>
    <mergeCell ref="B112:C112"/>
    <mergeCell ref="B113:C113"/>
    <mergeCell ref="D113:E113"/>
    <mergeCell ref="F113:G113"/>
    <mergeCell ref="H113:I113"/>
    <mergeCell ref="B114:C114"/>
    <mergeCell ref="D114:E114"/>
    <mergeCell ref="D116:E116"/>
    <mergeCell ref="F116:G116"/>
    <mergeCell ref="F114:G114"/>
    <mergeCell ref="H114:I114"/>
    <mergeCell ref="B115:C115"/>
    <mergeCell ref="D115:E115"/>
    <mergeCell ref="F115:G115"/>
    <mergeCell ref="H115:I115"/>
    <mergeCell ref="H116:I116"/>
    <mergeCell ref="F118:G118"/>
    <mergeCell ref="H118:I118"/>
    <mergeCell ref="B116:C116"/>
    <mergeCell ref="B117:C117"/>
    <mergeCell ref="D117:E117"/>
    <mergeCell ref="F117:G117"/>
    <mergeCell ref="H117:I117"/>
    <mergeCell ref="B118:C118"/>
    <mergeCell ref="D118:E118"/>
    <mergeCell ref="B27:C27"/>
    <mergeCell ref="D27:E27"/>
    <mergeCell ref="F27:G27"/>
    <mergeCell ref="H27:I27"/>
    <mergeCell ref="D28:E28"/>
    <mergeCell ref="F28:G28"/>
    <mergeCell ref="H28:I28"/>
    <mergeCell ref="B28:C28"/>
    <mergeCell ref="B29:C29"/>
    <mergeCell ref="D29:E29"/>
    <mergeCell ref="F29:G29"/>
    <mergeCell ref="H29:I29"/>
    <mergeCell ref="B30:C30"/>
    <mergeCell ref="D30:E30"/>
    <mergeCell ref="B31:C31"/>
    <mergeCell ref="D31:E31"/>
    <mergeCell ref="F31:G31"/>
    <mergeCell ref="H31:I31"/>
    <mergeCell ref="D32:E32"/>
    <mergeCell ref="F32:G32"/>
    <mergeCell ref="H32:I32"/>
    <mergeCell ref="F34:G34"/>
    <mergeCell ref="H34:I34"/>
    <mergeCell ref="B32:C32"/>
    <mergeCell ref="B33:C33"/>
    <mergeCell ref="D33:E33"/>
    <mergeCell ref="F33:G33"/>
    <mergeCell ref="H33:I33"/>
    <mergeCell ref="B34:C34"/>
    <mergeCell ref="D34:E34"/>
    <mergeCell ref="F38:G38"/>
    <mergeCell ref="H38:I38"/>
    <mergeCell ref="B120:C120"/>
    <mergeCell ref="B121:C121"/>
    <mergeCell ref="D121:E121"/>
    <mergeCell ref="F121:G121"/>
    <mergeCell ref="H121:I121"/>
    <mergeCell ref="B119:C119"/>
    <mergeCell ref="D119:E119"/>
    <mergeCell ref="F119:G119"/>
    <mergeCell ref="H119:I119"/>
    <mergeCell ref="D120:E120"/>
    <mergeCell ref="F120:G120"/>
    <mergeCell ref="H120:I120"/>
    <mergeCell ref="B79:C79"/>
    <mergeCell ref="D79:E79"/>
    <mergeCell ref="F79:G79"/>
    <mergeCell ref="H79:I79"/>
    <mergeCell ref="D80:E80"/>
    <mergeCell ref="F80:G80"/>
    <mergeCell ref="H80:I80"/>
    <mergeCell ref="B80:C80"/>
    <mergeCell ref="B81:C81"/>
    <mergeCell ref="D81:E81"/>
    <mergeCell ref="F81:G81"/>
    <mergeCell ref="H81:I81"/>
    <mergeCell ref="B82:C82"/>
    <mergeCell ref="D82:E82"/>
    <mergeCell ref="B87:C87"/>
    <mergeCell ref="D87:E87"/>
    <mergeCell ref="F87:G87"/>
    <mergeCell ref="H87:I87"/>
    <mergeCell ref="D88:E88"/>
    <mergeCell ref="F88:G88"/>
    <mergeCell ref="H88:I88"/>
    <mergeCell ref="B88:C88"/>
    <mergeCell ref="B89:C89"/>
    <mergeCell ref="D89:E89"/>
    <mergeCell ref="F89:G89"/>
    <mergeCell ref="H89:I89"/>
    <mergeCell ref="B90:C90"/>
    <mergeCell ref="D90:E90"/>
    <mergeCell ref="D92:E92"/>
    <mergeCell ref="F92:G92"/>
    <mergeCell ref="F90:G90"/>
    <mergeCell ref="H90:I90"/>
    <mergeCell ref="B91:C91"/>
    <mergeCell ref="D91:E91"/>
    <mergeCell ref="F91:G91"/>
    <mergeCell ref="H91:I91"/>
    <mergeCell ref="H92:I92"/>
    <mergeCell ref="F94:G94"/>
    <mergeCell ref="H94:I94"/>
    <mergeCell ref="B92:C92"/>
    <mergeCell ref="B93:C93"/>
    <mergeCell ref="D93:E93"/>
    <mergeCell ref="F93:G93"/>
    <mergeCell ref="H93:I93"/>
    <mergeCell ref="B94:C94"/>
    <mergeCell ref="D94:E94"/>
    <mergeCell ref="B95:C95"/>
    <mergeCell ref="D95:E95"/>
    <mergeCell ref="F95:G95"/>
    <mergeCell ref="H95:I95"/>
    <mergeCell ref="D96:E96"/>
    <mergeCell ref="F96:G96"/>
    <mergeCell ref="H96:I96"/>
    <mergeCell ref="B96:C96"/>
    <mergeCell ref="B97:C97"/>
    <mergeCell ref="D97:E97"/>
    <mergeCell ref="F97:G97"/>
    <mergeCell ref="H97:I97"/>
    <mergeCell ref="B98:C98"/>
    <mergeCell ref="D98:E98"/>
    <mergeCell ref="D100:E100"/>
    <mergeCell ref="F100:G100"/>
    <mergeCell ref="F98:G98"/>
    <mergeCell ref="H98:I98"/>
    <mergeCell ref="B99:C99"/>
    <mergeCell ref="D99:E99"/>
    <mergeCell ref="F99:G99"/>
    <mergeCell ref="H99:I99"/>
    <mergeCell ref="H100:I100"/>
    <mergeCell ref="F102:G102"/>
    <mergeCell ref="H102:I102"/>
    <mergeCell ref="B100:C100"/>
    <mergeCell ref="B101:C101"/>
    <mergeCell ref="D101:E101"/>
    <mergeCell ref="F101:G101"/>
    <mergeCell ref="H101:I101"/>
    <mergeCell ref="B102:C102"/>
    <mergeCell ref="D102:E102"/>
  </mergeCells>
  <conditionalFormatting sqref="H22:I121">
    <cfRule type="cellIs" dxfId="1" priority="1" operator="equal">
      <formula>0</formula>
    </cfRule>
  </conditionalFormatting>
  <conditionalFormatting sqref="N9:N19">
    <cfRule type="cellIs" dxfId="0" priority="2" operator="equal">
      <formula>1899</formula>
    </cfRule>
  </conditionalFormatting>
  <conditionalFormatting sqref="K15:L19">
    <cfRule type="cellIs" dxfId="0" priority="3" operator="equal">
      <formula>0</formula>
    </cfRule>
  </conditionalFormatting>
  <dataValidations>
    <dataValidation type="list" allowBlank="1" showErrorMessage="1" sqref="N22:N121">
      <formula1>"Ľuboš,Domča"</formula1>
    </dataValidation>
    <dataValidation type="list" allowBlank="1" showErrorMessage="1" sqref="O22:O121">
      <formula1>"Určite!,Možno..."</formula1>
    </dataValidation>
  </dataValidations>
  <hyperlinks>
    <hyperlink r:id="rId1" ref="N3"/>
    <hyperlink r:id="rId2" ref="D23"/>
    <hyperlink r:id="rId3" ref="D24"/>
    <hyperlink r:id="rId4" ref="D25"/>
    <hyperlink r:id="rId5" ref="D26"/>
    <hyperlink r:id="rId6" ref="D27"/>
    <hyperlink r:id="rId7" ref="D28"/>
    <hyperlink r:id="rId8" ref="D29"/>
    <hyperlink r:id="rId9" ref="D30"/>
    <hyperlink r:id="rId10" ref="D36"/>
    <hyperlink r:id="rId11" ref="D37"/>
    <hyperlink r:id="rId12" ref="D38"/>
    <hyperlink r:id="rId13" ref="D44"/>
    <hyperlink r:id="rId14" ref="D45"/>
    <hyperlink r:id="rId15" ref="D46"/>
    <hyperlink r:id="rId16" ref="D47"/>
    <hyperlink r:id="rId17" ref="D48"/>
    <hyperlink r:id="rId18" ref="D49"/>
    <hyperlink r:id="rId19" ref="D50"/>
    <hyperlink r:id="rId20" ref="D51"/>
    <hyperlink r:id="rId21" ref="D53"/>
    <hyperlink r:id="rId22" ref="D54"/>
  </hyperlinks>
  <drawing r:id="rId23"/>
</worksheet>
</file>